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2.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drawings/drawing3.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4.xml" ContentType="application/vnd.openxmlformats-officedocument.drawing+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drawings/drawing5.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drawings/drawing6.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7.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drawings/drawing8.xml" ContentType="application/vnd.openxmlformats-officedocument.drawing+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drawings/drawing9.xml" ContentType="application/vnd.openxmlformats-officedocument.drawing+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drawings/drawing10.xml" ContentType="application/vnd.openxmlformats-officedocument.drawing+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drawings/drawing11.xml" ContentType="application/vnd.openxmlformats-officedocument.drawing+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drawings/drawing12.xml" ContentType="application/vnd.openxmlformats-officedocument.drawing+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drawings/drawing13.xml" ContentType="application/vnd.openxmlformats-officedocument.drawing+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drawings/drawing14.xml" ContentType="application/vnd.openxmlformats-officedocument.drawing+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drawings/drawing15.xml" ContentType="application/vnd.openxmlformats-officedocument.drawing+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drawings/drawing16.xml" ContentType="application/vnd.openxmlformats-officedocument.drawing+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drawings/drawing17.xml" ContentType="application/vnd.openxmlformats-officedocument.drawing+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drawings/drawing18.xml" ContentType="application/vnd.openxmlformats-officedocument.drawing+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drawings/drawing19.xml" ContentType="application/vnd.openxmlformats-officedocument.drawing+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drawings/drawing20.xml" ContentType="application/vnd.openxmlformats-officedocument.drawing+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drawings/drawing21.xml" ContentType="application/vnd.openxmlformats-officedocument.drawing+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drawings/drawing22.xml" ContentType="application/vnd.openxmlformats-officedocument.drawing+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drawings/drawing23.xml" ContentType="application/vnd.openxmlformats-officedocument.drawing+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drawings/drawing24.xml" ContentType="application/vnd.openxmlformats-officedocument.drawing+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drawings/drawing25.xml" ContentType="application/vnd.openxmlformats-officedocument.drawing+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workbookPr defaultThemeVersion="164011"/>
  <mc:AlternateContent xmlns:mc="http://schemas.openxmlformats.org/markup-compatibility/2006">
    <mc:Choice Requires="x15">
      <x15ac:absPath xmlns:x15ac="http://schemas.microsoft.com/office/spreadsheetml/2010/11/ac" url="D:\Users\Teddy\Documents\Firaxis ModBuddy\XCOM\Long War Divided\Long War Divided\"/>
    </mc:Choice>
  </mc:AlternateContent>
  <bookViews>
    <workbookView xWindow="0" yWindow="0" windowWidth="15360" windowHeight="7530" tabRatio="954" firstSheet="1" activeTab="1"/>
  </bookViews>
  <sheets>
    <sheet name="Dirty" sheetId="77" state="hidden" r:id="rId1"/>
    <sheet name="Instructions" sheetId="10" r:id="rId2"/>
    <sheet name="Blank" sheetId="44" r:id="rId3"/>
    <sheet name="Artillery" sheetId="75" r:id="rId4"/>
    <sheet name="Assault" sheetId="71" r:id="rId5"/>
    <sheet name="Chemist" sheetId="73" r:id="rId6"/>
    <sheet name="CombatEngineer" sheetId="70" r:id="rId7"/>
    <sheet name="Courser" sheetId="72" r:id="rId8"/>
    <sheet name="Cowboy" sheetId="74" r:id="rId9"/>
    <sheet name="Dreadnought" sheetId="48" r:id="rId10"/>
    <sheet name="FieldScientist" sheetId="49" r:id="rId11"/>
    <sheet name="Fireman" sheetId="50" r:id="rId12"/>
    <sheet name="Guerrilla" sheetId="55" r:id="rId13"/>
    <sheet name="Gunner" sheetId="57" r:id="rId14"/>
    <sheet name="Hacker" sheetId="58" r:id="rId15"/>
    <sheet name="Hunter" sheetId="60" r:id="rId16"/>
    <sheet name="Marksman" sheetId="68" r:id="rId17"/>
    <sheet name="Medic" sheetId="59" r:id="rId18"/>
    <sheet name="Partisan" sheetId="62" r:id="rId19"/>
    <sheet name="Protector" sheetId="53" r:id="rId20"/>
    <sheet name="Raider" sheetId="63" r:id="rId21"/>
    <sheet name="Ranger" sheetId="64" r:id="rId22"/>
    <sheet name="Recon" sheetId="65" r:id="rId23"/>
    <sheet name="Sapper" sheetId="52" r:id="rId24"/>
    <sheet name="Scrapper" sheetId="67" r:id="rId25"/>
    <sheet name="Sharpshooter" sheetId="69" r:id="rId26"/>
    <sheet name="Shinobi" sheetId="56" r:id="rId27"/>
    <sheet name="Output" sheetId="78" r:id="rId28"/>
    <sheet name="Abilities" sheetId="1" r:id="rId29"/>
  </sheets>
  <definedNames>
    <definedName name="Abilities">Abilities!$A:$G</definedName>
    <definedName name="AbilitiesCol">Abilities!$A$1:$A$374</definedName>
    <definedName name="AbilitiesStart">Abilities!$D$1</definedName>
    <definedName name="AbilTab">Abilities!$A:$G</definedName>
    <definedName name="Sheets">SUBSTITUTE(GET.WORKBOOK(1),"["&amp;GET.WORKBOOK(16)&amp;"]","")</definedName>
    <definedName name="XcomClassData">#REF!</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25" i="44" l="1"/>
  <c r="A118" i="44"/>
  <c r="A111" i="44"/>
  <c r="A104" i="44"/>
  <c r="A97" i="44"/>
  <c r="A90" i="44"/>
  <c r="E87" i="44"/>
  <c r="A83" i="44"/>
  <c r="E81" i="44"/>
  <c r="A73" i="44"/>
  <c r="E48" i="44"/>
  <c r="A45" i="44"/>
  <c r="C40" i="44"/>
  <c r="A125" i="56"/>
  <c r="A118" i="56"/>
  <c r="A111" i="56"/>
  <c r="A104" i="56"/>
  <c r="A97" i="56"/>
  <c r="A90" i="56"/>
  <c r="E87" i="56"/>
  <c r="A83" i="56"/>
  <c r="E81" i="56"/>
  <c r="A73" i="56"/>
  <c r="E48" i="56"/>
  <c r="A45" i="56"/>
  <c r="C40" i="56"/>
  <c r="A125" i="69"/>
  <c r="A118" i="69"/>
  <c r="A111" i="69"/>
  <c r="A104" i="69"/>
  <c r="A97" i="69"/>
  <c r="A90" i="69"/>
  <c r="E87" i="69"/>
  <c r="A83" i="69"/>
  <c r="E81" i="69"/>
  <c r="A73" i="69"/>
  <c r="E48" i="69"/>
  <c r="A45" i="69"/>
  <c r="C40" i="69"/>
  <c r="A125" i="67"/>
  <c r="A118" i="67"/>
  <c r="A111" i="67"/>
  <c r="A104" i="67"/>
  <c r="A97" i="67"/>
  <c r="A90" i="67"/>
  <c r="E87" i="67"/>
  <c r="A83" i="67"/>
  <c r="E81" i="67"/>
  <c r="A73" i="67"/>
  <c r="E48" i="67"/>
  <c r="A45" i="67"/>
  <c r="C40" i="67"/>
  <c r="A125" i="52"/>
  <c r="A118" i="52"/>
  <c r="A111" i="52"/>
  <c r="A104" i="52"/>
  <c r="A97" i="52"/>
  <c r="A90" i="52"/>
  <c r="E87" i="52"/>
  <c r="A83" i="52"/>
  <c r="E81" i="52"/>
  <c r="A73" i="52"/>
  <c r="E48" i="52"/>
  <c r="A45" i="52"/>
  <c r="C40" i="52"/>
  <c r="A125" i="65"/>
  <c r="A118" i="65"/>
  <c r="A111" i="65"/>
  <c r="A104" i="65"/>
  <c r="A97" i="65"/>
  <c r="A90" i="65"/>
  <c r="E87" i="65"/>
  <c r="A83" i="65"/>
  <c r="E81" i="65"/>
  <c r="A73" i="65"/>
  <c r="E48" i="65"/>
  <c r="A45" i="65"/>
  <c r="C40" i="65"/>
  <c r="A125" i="64"/>
  <c r="A118" i="64"/>
  <c r="A111" i="64"/>
  <c r="A104" i="64"/>
  <c r="A97" i="64"/>
  <c r="A90" i="64"/>
  <c r="E87" i="64"/>
  <c r="A83" i="64"/>
  <c r="E81" i="64"/>
  <c r="A73" i="64"/>
  <c r="E48" i="64"/>
  <c r="A45" i="64"/>
  <c r="C40" i="64"/>
  <c r="A125" i="63"/>
  <c r="A118" i="63"/>
  <c r="A111" i="63"/>
  <c r="A104" i="63"/>
  <c r="A97" i="63"/>
  <c r="A90" i="63"/>
  <c r="E87" i="63"/>
  <c r="A83" i="63"/>
  <c r="E81" i="63"/>
  <c r="A73" i="63"/>
  <c r="E48" i="63"/>
  <c r="A45" i="63"/>
  <c r="C40" i="63"/>
  <c r="A125" i="53"/>
  <c r="A118" i="53"/>
  <c r="A111" i="53"/>
  <c r="A104" i="53"/>
  <c r="A97" i="53"/>
  <c r="A90" i="53"/>
  <c r="E87" i="53"/>
  <c r="A83" i="53"/>
  <c r="E81" i="53"/>
  <c r="A73" i="53"/>
  <c r="E48" i="53"/>
  <c r="A45" i="53"/>
  <c r="C40" i="53"/>
  <c r="A125" i="62"/>
  <c r="A118" i="62"/>
  <c r="A111" i="62"/>
  <c r="A104" i="62"/>
  <c r="A97" i="62"/>
  <c r="A90" i="62"/>
  <c r="E87" i="62"/>
  <c r="A83" i="62"/>
  <c r="E81" i="62"/>
  <c r="A73" i="62"/>
  <c r="E48" i="62"/>
  <c r="A45" i="62"/>
  <c r="C40" i="62"/>
  <c r="A125" i="59"/>
  <c r="A118" i="59"/>
  <c r="A111" i="59"/>
  <c r="A104" i="59"/>
  <c r="A97" i="59"/>
  <c r="A90" i="59"/>
  <c r="E87" i="59"/>
  <c r="A83" i="59"/>
  <c r="E81" i="59"/>
  <c r="A73" i="59"/>
  <c r="E48" i="59"/>
  <c r="A45" i="59"/>
  <c r="C40" i="59"/>
  <c r="A125" i="60"/>
  <c r="A118" i="60"/>
  <c r="A111" i="60"/>
  <c r="A104" i="60"/>
  <c r="A97" i="60"/>
  <c r="A90" i="60"/>
  <c r="E87" i="60"/>
  <c r="A83" i="60"/>
  <c r="E81" i="60"/>
  <c r="A73" i="60"/>
  <c r="E48" i="60"/>
  <c r="A45" i="60"/>
  <c r="C40" i="60"/>
  <c r="A125" i="58"/>
  <c r="A118" i="58"/>
  <c r="A111" i="58"/>
  <c r="A104" i="58"/>
  <c r="A97" i="58"/>
  <c r="A90" i="58"/>
  <c r="E87" i="58"/>
  <c r="A83" i="58"/>
  <c r="E81" i="58"/>
  <c r="A73" i="58"/>
  <c r="E48" i="58"/>
  <c r="A45" i="58"/>
  <c r="C40" i="58"/>
  <c r="A125" i="57"/>
  <c r="A118" i="57"/>
  <c r="A111" i="57"/>
  <c r="A104" i="57"/>
  <c r="A97" i="57"/>
  <c r="A90" i="57"/>
  <c r="E87" i="57"/>
  <c r="A83" i="57"/>
  <c r="E81" i="57"/>
  <c r="A73" i="57"/>
  <c r="E48" i="57"/>
  <c r="A45" i="57"/>
  <c r="C40" i="57"/>
  <c r="A125" i="55"/>
  <c r="A118" i="55"/>
  <c r="A111" i="55"/>
  <c r="A104" i="55"/>
  <c r="A97" i="55"/>
  <c r="A90" i="55"/>
  <c r="E87" i="55"/>
  <c r="A83" i="55"/>
  <c r="E81" i="55"/>
  <c r="A73" i="55"/>
  <c r="E48" i="55"/>
  <c r="A45" i="55"/>
  <c r="C40" i="55"/>
  <c r="A125" i="50"/>
  <c r="A118" i="50"/>
  <c r="A111" i="50"/>
  <c r="A104" i="50"/>
  <c r="A97" i="50"/>
  <c r="A90" i="50"/>
  <c r="E87" i="50"/>
  <c r="A83" i="50"/>
  <c r="E81" i="50"/>
  <c r="A73" i="50"/>
  <c r="E48" i="50"/>
  <c r="A45" i="50"/>
  <c r="C40" i="50"/>
  <c r="A125" i="49"/>
  <c r="A118" i="49"/>
  <c r="A111" i="49"/>
  <c r="A104" i="49"/>
  <c r="A97" i="49"/>
  <c r="A90" i="49"/>
  <c r="E87" i="49"/>
  <c r="A83" i="49"/>
  <c r="E81" i="49"/>
  <c r="A73" i="49"/>
  <c r="E48" i="49"/>
  <c r="A45" i="49"/>
  <c r="C40" i="49"/>
  <c r="A125" i="48"/>
  <c r="A118" i="48"/>
  <c r="A111" i="48"/>
  <c r="A104" i="48"/>
  <c r="A97" i="48"/>
  <c r="A90" i="48"/>
  <c r="E87" i="48"/>
  <c r="A83" i="48"/>
  <c r="E81" i="48"/>
  <c r="A73" i="48"/>
  <c r="E48" i="48"/>
  <c r="A45" i="48"/>
  <c r="C40" i="48"/>
  <c r="A125" i="74"/>
  <c r="A118" i="74"/>
  <c r="A111" i="74"/>
  <c r="A104" i="74"/>
  <c r="A97" i="74"/>
  <c r="A90" i="74"/>
  <c r="E87" i="74"/>
  <c r="A83" i="74"/>
  <c r="E81" i="74"/>
  <c r="A73" i="74"/>
  <c r="E48" i="74"/>
  <c r="A45" i="74"/>
  <c r="C40" i="74"/>
  <c r="A125" i="72"/>
  <c r="A118" i="72"/>
  <c r="A111" i="72"/>
  <c r="A104" i="72"/>
  <c r="A97" i="72"/>
  <c r="A90" i="72"/>
  <c r="E87" i="72"/>
  <c r="A83" i="72"/>
  <c r="E81" i="72"/>
  <c r="A73" i="72"/>
  <c r="E48" i="72"/>
  <c r="A45" i="72"/>
  <c r="C40" i="72"/>
  <c r="A125" i="70"/>
  <c r="A118" i="70"/>
  <c r="A111" i="70"/>
  <c r="A104" i="70"/>
  <c r="A97" i="70"/>
  <c r="A90" i="70"/>
  <c r="E87" i="70"/>
  <c r="A83" i="70"/>
  <c r="E81" i="70"/>
  <c r="A73" i="70"/>
  <c r="E48" i="70"/>
  <c r="A45" i="70"/>
  <c r="C40" i="70"/>
  <c r="A125" i="73"/>
  <c r="A118" i="73"/>
  <c r="A111" i="73"/>
  <c r="A104" i="73"/>
  <c r="A97" i="73"/>
  <c r="A90" i="73"/>
  <c r="E87" i="73"/>
  <c r="A83" i="73"/>
  <c r="E81" i="73"/>
  <c r="A73" i="73"/>
  <c r="E48" i="73"/>
  <c r="A45" i="73"/>
  <c r="C40" i="73"/>
  <c r="A125" i="71"/>
  <c r="A118" i="71"/>
  <c r="A111" i="71"/>
  <c r="A104" i="71"/>
  <c r="A97" i="71"/>
  <c r="A90" i="71"/>
  <c r="E87" i="71"/>
  <c r="A83" i="71"/>
  <c r="E81" i="71"/>
  <c r="A73" i="71"/>
  <c r="E48" i="71"/>
  <c r="A45" i="71"/>
  <c r="C40" i="71"/>
  <c r="A125" i="75"/>
  <c r="A118" i="75"/>
  <c r="A111" i="75"/>
  <c r="A104" i="75"/>
  <c r="A97" i="75"/>
  <c r="A90" i="75"/>
  <c r="E87" i="75"/>
  <c r="A83" i="75"/>
  <c r="E81" i="75"/>
  <c r="A73" i="75"/>
  <c r="E48" i="75"/>
  <c r="A45" i="75"/>
  <c r="C40" i="75"/>
  <c r="A130" i="44"/>
  <c r="A119" i="44"/>
  <c r="A113" i="44"/>
  <c r="A107" i="44"/>
  <c r="A102" i="44"/>
  <c r="A92" i="44"/>
  <c r="A85" i="44"/>
  <c r="E80" i="44"/>
  <c r="A78" i="44"/>
  <c r="A76" i="44"/>
  <c r="A74" i="44"/>
  <c r="A72" i="44"/>
  <c r="A70" i="44"/>
  <c r="A68" i="44"/>
  <c r="A66" i="44"/>
  <c r="A64" i="44"/>
  <c r="A62" i="44"/>
  <c r="A60" i="44"/>
  <c r="A58" i="44"/>
  <c r="A56" i="44"/>
  <c r="A54" i="44"/>
  <c r="A52" i="44"/>
  <c r="A50" i="44"/>
  <c r="C46" i="44"/>
  <c r="E44" i="44"/>
  <c r="A121" i="44"/>
  <c r="A116" i="44"/>
  <c r="A93" i="44"/>
  <c r="E88" i="44"/>
  <c r="A84" i="44"/>
  <c r="A77" i="44"/>
  <c r="A71" i="44"/>
  <c r="A69" i="44"/>
  <c r="A65" i="44"/>
  <c r="A63" i="44"/>
  <c r="A59" i="44"/>
  <c r="A55" i="44"/>
  <c r="A51" i="44"/>
  <c r="C43" i="44"/>
  <c r="A120" i="44"/>
  <c r="A114" i="44"/>
  <c r="A109" i="44"/>
  <c r="E90" i="44"/>
  <c r="A88" i="44"/>
  <c r="E78" i="44"/>
  <c r="E76" i="44"/>
  <c r="E74" i="44"/>
  <c r="E70" i="44"/>
  <c r="E66" i="44"/>
  <c r="E62" i="44"/>
  <c r="E60" i="44"/>
  <c r="E56" i="44"/>
  <c r="E52" i="44"/>
  <c r="A49" i="44"/>
  <c r="A128" i="44"/>
  <c r="A123" i="44"/>
  <c r="A112" i="44"/>
  <c r="A106" i="44"/>
  <c r="A100" i="44"/>
  <c r="A95" i="44"/>
  <c r="E91" i="44"/>
  <c r="E89" i="44"/>
  <c r="E86" i="44"/>
  <c r="E84" i="44"/>
  <c r="E82" i="44"/>
  <c r="E79" i="44"/>
  <c r="E77" i="44"/>
  <c r="E75" i="44"/>
  <c r="E73" i="44"/>
  <c r="E71" i="44"/>
  <c r="E69" i="44"/>
  <c r="E67" i="44"/>
  <c r="E65" i="44"/>
  <c r="E63" i="44"/>
  <c r="E61" i="44"/>
  <c r="E59" i="44"/>
  <c r="E57" i="44"/>
  <c r="E55" i="44"/>
  <c r="E53" i="44"/>
  <c r="E51" i="44"/>
  <c r="E49" i="44"/>
  <c r="A48" i="44"/>
  <c r="A46" i="44"/>
  <c r="E43" i="44"/>
  <c r="A127" i="44"/>
  <c r="A105" i="44"/>
  <c r="A99" i="44"/>
  <c r="A91" i="44"/>
  <c r="A86" i="44"/>
  <c r="A79" i="44"/>
  <c r="A75" i="44"/>
  <c r="A67" i="44"/>
  <c r="A61" i="44"/>
  <c r="A57" i="44"/>
  <c r="A53" i="44"/>
  <c r="C49" i="44"/>
  <c r="E47" i="44"/>
  <c r="E45" i="44"/>
  <c r="A126" i="44"/>
  <c r="A98" i="44"/>
  <c r="E92" i="44"/>
  <c r="E85" i="44"/>
  <c r="E83" i="44"/>
  <c r="A81" i="44"/>
  <c r="E72" i="44"/>
  <c r="E68" i="44"/>
  <c r="E64" i="44"/>
  <c r="E58" i="44"/>
  <c r="E54" i="44"/>
  <c r="E50" i="44"/>
  <c r="E46" i="44"/>
  <c r="A43" i="44"/>
  <c r="A130" i="56"/>
  <c r="A119" i="56"/>
  <c r="A113" i="56"/>
  <c r="A107" i="56"/>
  <c r="A102" i="56"/>
  <c r="A92" i="56"/>
  <c r="A85" i="56"/>
  <c r="E80" i="56"/>
  <c r="A78" i="56"/>
  <c r="A76" i="56"/>
  <c r="A74" i="56"/>
  <c r="A72" i="56"/>
  <c r="A70" i="56"/>
  <c r="A68" i="56"/>
  <c r="A66" i="56"/>
  <c r="A64" i="56"/>
  <c r="A62" i="56"/>
  <c r="A60" i="56"/>
  <c r="A58" i="56"/>
  <c r="A56" i="56"/>
  <c r="A54" i="56"/>
  <c r="A52" i="56"/>
  <c r="A50" i="56"/>
  <c r="C46" i="56"/>
  <c r="E44" i="56"/>
  <c r="A128" i="56"/>
  <c r="A123" i="56"/>
  <c r="A112" i="56"/>
  <c r="A106" i="56"/>
  <c r="A100" i="56"/>
  <c r="A95" i="56"/>
  <c r="E91" i="56"/>
  <c r="E89" i="56"/>
  <c r="E86" i="56"/>
  <c r="E84" i="56"/>
  <c r="E82" i="56"/>
  <c r="E79" i="56"/>
  <c r="E77" i="56"/>
  <c r="E75" i="56"/>
  <c r="E73" i="56"/>
  <c r="E71" i="56"/>
  <c r="E69" i="56"/>
  <c r="E67" i="56"/>
  <c r="E65" i="56"/>
  <c r="E63" i="56"/>
  <c r="E61" i="56"/>
  <c r="E59" i="56"/>
  <c r="E57" i="56"/>
  <c r="E55" i="56"/>
  <c r="E53" i="56"/>
  <c r="E51" i="56"/>
  <c r="E49" i="56"/>
  <c r="A48" i="56"/>
  <c r="A46" i="56"/>
  <c r="E43" i="56"/>
  <c r="A120" i="56"/>
  <c r="A114" i="56"/>
  <c r="A98" i="56"/>
  <c r="E92" i="56"/>
  <c r="E90" i="56"/>
  <c r="E85" i="56"/>
  <c r="E83" i="56"/>
  <c r="A81" i="56"/>
  <c r="E70" i="56"/>
  <c r="E64" i="56"/>
  <c r="E60" i="56"/>
  <c r="E56" i="56"/>
  <c r="E52" i="56"/>
  <c r="A49" i="56"/>
  <c r="A127" i="56"/>
  <c r="A121" i="56"/>
  <c r="A116" i="56"/>
  <c r="A105" i="56"/>
  <c r="A99" i="56"/>
  <c r="A93" i="56"/>
  <c r="A91" i="56"/>
  <c r="E88" i="56"/>
  <c r="A86" i="56"/>
  <c r="A84" i="56"/>
  <c r="A79" i="56"/>
  <c r="A77" i="56"/>
  <c r="A75" i="56"/>
  <c r="A71" i="56"/>
  <c r="A69" i="56"/>
  <c r="A67" i="56"/>
  <c r="A65" i="56"/>
  <c r="A63" i="56"/>
  <c r="A61" i="56"/>
  <c r="A59" i="56"/>
  <c r="A57" i="56"/>
  <c r="A55" i="56"/>
  <c r="A53" i="56"/>
  <c r="A51" i="56"/>
  <c r="C49" i="56"/>
  <c r="E47" i="56"/>
  <c r="E45" i="56"/>
  <c r="C43" i="56"/>
  <c r="A126" i="56"/>
  <c r="A109" i="56"/>
  <c r="A88" i="56"/>
  <c r="E78" i="56"/>
  <c r="E76" i="56"/>
  <c r="E74" i="56"/>
  <c r="E72" i="56"/>
  <c r="E68" i="56"/>
  <c r="E66" i="56"/>
  <c r="E62" i="56"/>
  <c r="E58" i="56"/>
  <c r="E54" i="56"/>
  <c r="E50" i="56"/>
  <c r="E46" i="56"/>
  <c r="A43" i="56"/>
  <c r="A130" i="69"/>
  <c r="A119" i="69"/>
  <c r="A113" i="69"/>
  <c r="A107" i="69"/>
  <c r="A102" i="69"/>
  <c r="A92" i="69"/>
  <c r="A85" i="69"/>
  <c r="E80" i="69"/>
  <c r="A78" i="69"/>
  <c r="A76" i="69"/>
  <c r="A74" i="69"/>
  <c r="A72" i="69"/>
  <c r="A70" i="69"/>
  <c r="A68" i="69"/>
  <c r="A66" i="69"/>
  <c r="A64" i="69"/>
  <c r="A62" i="69"/>
  <c r="A60" i="69"/>
  <c r="A58" i="69"/>
  <c r="A56" i="69"/>
  <c r="A54" i="69"/>
  <c r="A52" i="69"/>
  <c r="A50" i="69"/>
  <c r="C46" i="69"/>
  <c r="E44" i="69"/>
  <c r="A98" i="69"/>
  <c r="A81" i="69"/>
  <c r="E62" i="69"/>
  <c r="E54" i="69"/>
  <c r="A128" i="69"/>
  <c r="A123" i="69"/>
  <c r="A112" i="69"/>
  <c r="A106" i="69"/>
  <c r="A100" i="69"/>
  <c r="A95" i="69"/>
  <c r="E91" i="69"/>
  <c r="E89" i="69"/>
  <c r="E86" i="69"/>
  <c r="E84" i="69"/>
  <c r="E82" i="69"/>
  <c r="E79" i="69"/>
  <c r="E77" i="69"/>
  <c r="E75" i="69"/>
  <c r="E73" i="69"/>
  <c r="E71" i="69"/>
  <c r="E69" i="69"/>
  <c r="E67" i="69"/>
  <c r="E65" i="69"/>
  <c r="E63" i="69"/>
  <c r="E61" i="69"/>
  <c r="E59" i="69"/>
  <c r="E57" i="69"/>
  <c r="E55" i="69"/>
  <c r="E53" i="69"/>
  <c r="E51" i="69"/>
  <c r="E49" i="69"/>
  <c r="A48" i="69"/>
  <c r="A46" i="69"/>
  <c r="E43" i="69"/>
  <c r="E90" i="69"/>
  <c r="E85" i="69"/>
  <c r="E83" i="69"/>
  <c r="E78" i="69"/>
  <c r="E76" i="69"/>
  <c r="E74" i="69"/>
  <c r="E70" i="69"/>
  <c r="E66" i="69"/>
  <c r="E60" i="69"/>
  <c r="E56" i="69"/>
  <c r="E50" i="69"/>
  <c r="A49" i="69"/>
  <c r="A43" i="69"/>
  <c r="A127" i="69"/>
  <c r="A121" i="69"/>
  <c r="A116" i="69"/>
  <c r="A105" i="69"/>
  <c r="A99" i="69"/>
  <c r="A93" i="69"/>
  <c r="A91" i="69"/>
  <c r="E88" i="69"/>
  <c r="A86" i="69"/>
  <c r="A84" i="69"/>
  <c r="A79" i="69"/>
  <c r="A77" i="69"/>
  <c r="A75" i="69"/>
  <c r="A71" i="69"/>
  <c r="A69" i="69"/>
  <c r="A67" i="69"/>
  <c r="A65" i="69"/>
  <c r="A63" i="69"/>
  <c r="A61" i="69"/>
  <c r="A59" i="69"/>
  <c r="A57" i="69"/>
  <c r="A55" i="69"/>
  <c r="A53" i="69"/>
  <c r="A51" i="69"/>
  <c r="C49" i="69"/>
  <c r="E47" i="69"/>
  <c r="E45" i="69"/>
  <c r="C43" i="69"/>
  <c r="A126" i="69"/>
  <c r="A120" i="69"/>
  <c r="A114" i="69"/>
  <c r="A109" i="69"/>
  <c r="E92" i="69"/>
  <c r="A88" i="69"/>
  <c r="E72" i="69"/>
  <c r="E68" i="69"/>
  <c r="E64" i="69"/>
  <c r="E58" i="69"/>
  <c r="E52" i="69"/>
  <c r="E46" i="69"/>
  <c r="A130" i="67"/>
  <c r="A119" i="67"/>
  <c r="A113" i="67"/>
  <c r="A107" i="67"/>
  <c r="A102" i="67"/>
  <c r="A92" i="67"/>
  <c r="A85" i="67"/>
  <c r="E80" i="67"/>
  <c r="A78" i="67"/>
  <c r="A76" i="67"/>
  <c r="A74" i="67"/>
  <c r="A72" i="67"/>
  <c r="A70" i="67"/>
  <c r="A68" i="67"/>
  <c r="A66" i="67"/>
  <c r="A64" i="67"/>
  <c r="A62" i="67"/>
  <c r="A60" i="67"/>
  <c r="A58" i="67"/>
  <c r="A56" i="67"/>
  <c r="A54" i="67"/>
  <c r="A52" i="67"/>
  <c r="A50" i="67"/>
  <c r="C46" i="67"/>
  <c r="E44" i="67"/>
  <c r="A120" i="67"/>
  <c r="A109" i="67"/>
  <c r="A81" i="67"/>
  <c r="E60" i="67"/>
  <c r="A49" i="67"/>
  <c r="A43" i="67"/>
  <c r="A128" i="67"/>
  <c r="A123" i="67"/>
  <c r="A112" i="67"/>
  <c r="A106" i="67"/>
  <c r="A100" i="67"/>
  <c r="A95" i="67"/>
  <c r="E91" i="67"/>
  <c r="E89" i="67"/>
  <c r="E86" i="67"/>
  <c r="E84" i="67"/>
  <c r="E82" i="67"/>
  <c r="E79" i="67"/>
  <c r="E77" i="67"/>
  <c r="E75" i="67"/>
  <c r="E73" i="67"/>
  <c r="E71" i="67"/>
  <c r="E69" i="67"/>
  <c r="E67" i="67"/>
  <c r="E65" i="67"/>
  <c r="E63" i="67"/>
  <c r="E61" i="67"/>
  <c r="E59" i="67"/>
  <c r="E57" i="67"/>
  <c r="E55" i="67"/>
  <c r="E53" i="67"/>
  <c r="E51" i="67"/>
  <c r="E49" i="67"/>
  <c r="A48" i="67"/>
  <c r="A46" i="67"/>
  <c r="E43" i="67"/>
  <c r="A114" i="67"/>
  <c r="A98" i="67"/>
  <c r="E90" i="67"/>
  <c r="A88" i="67"/>
  <c r="E72" i="67"/>
  <c r="E66" i="67"/>
  <c r="E62" i="67"/>
  <c r="E56" i="67"/>
  <c r="E52" i="67"/>
  <c r="E46" i="67"/>
  <c r="A127" i="67"/>
  <c r="A121" i="67"/>
  <c r="A116" i="67"/>
  <c r="A105" i="67"/>
  <c r="A99" i="67"/>
  <c r="A93" i="67"/>
  <c r="A91" i="67"/>
  <c r="E88" i="67"/>
  <c r="A86" i="67"/>
  <c r="A84" i="67"/>
  <c r="A79" i="67"/>
  <c r="A77" i="67"/>
  <c r="A75" i="67"/>
  <c r="A71" i="67"/>
  <c r="A69" i="67"/>
  <c r="A67" i="67"/>
  <c r="A65" i="67"/>
  <c r="A63" i="67"/>
  <c r="A61" i="67"/>
  <c r="A59" i="67"/>
  <c r="A57" i="67"/>
  <c r="A55" i="67"/>
  <c r="A53" i="67"/>
  <c r="A51" i="67"/>
  <c r="C49" i="67"/>
  <c r="E47" i="67"/>
  <c r="E45" i="67"/>
  <c r="C43" i="67"/>
  <c r="A126" i="67"/>
  <c r="E92" i="67"/>
  <c r="E85" i="67"/>
  <c r="E83" i="67"/>
  <c r="E78" i="67"/>
  <c r="E76" i="67"/>
  <c r="E74" i="67"/>
  <c r="E70" i="67"/>
  <c r="E68" i="67"/>
  <c r="E64" i="67"/>
  <c r="E58" i="67"/>
  <c r="E54" i="67"/>
  <c r="E50" i="67"/>
  <c r="A130" i="52"/>
  <c r="A119" i="52"/>
  <c r="A113" i="52"/>
  <c r="A107" i="52"/>
  <c r="A102" i="52"/>
  <c r="A92" i="52"/>
  <c r="A85" i="52"/>
  <c r="E80" i="52"/>
  <c r="A78" i="52"/>
  <c r="A76" i="52"/>
  <c r="A74" i="52"/>
  <c r="A72" i="52"/>
  <c r="A70" i="52"/>
  <c r="A68" i="52"/>
  <c r="A66" i="52"/>
  <c r="A64" i="52"/>
  <c r="A62" i="52"/>
  <c r="A60" i="52"/>
  <c r="A58" i="52"/>
  <c r="A56" i="52"/>
  <c r="A54" i="52"/>
  <c r="A52" i="52"/>
  <c r="A50" i="52"/>
  <c r="C46" i="52"/>
  <c r="E44" i="52"/>
  <c r="A114" i="52"/>
  <c r="E92" i="52"/>
  <c r="E90" i="52"/>
  <c r="E85" i="52"/>
  <c r="A81" i="52"/>
  <c r="E70" i="52"/>
  <c r="E62" i="52"/>
  <c r="E58" i="52"/>
  <c r="E52" i="52"/>
  <c r="A128" i="52"/>
  <c r="A123" i="52"/>
  <c r="A112" i="52"/>
  <c r="A106" i="52"/>
  <c r="A100" i="52"/>
  <c r="A95" i="52"/>
  <c r="E91" i="52"/>
  <c r="E89" i="52"/>
  <c r="E86" i="52"/>
  <c r="E84" i="52"/>
  <c r="E82" i="52"/>
  <c r="E79" i="52"/>
  <c r="E77" i="52"/>
  <c r="E75" i="52"/>
  <c r="E73" i="52"/>
  <c r="E71" i="52"/>
  <c r="E69" i="52"/>
  <c r="E67" i="52"/>
  <c r="E65" i="52"/>
  <c r="E63" i="52"/>
  <c r="E61" i="52"/>
  <c r="E59" i="52"/>
  <c r="E57" i="52"/>
  <c r="E55" i="52"/>
  <c r="E53" i="52"/>
  <c r="E51" i="52"/>
  <c r="E49" i="52"/>
  <c r="A48" i="52"/>
  <c r="A46" i="52"/>
  <c r="E43" i="52"/>
  <c r="A126" i="52"/>
  <c r="A98" i="52"/>
  <c r="A88" i="52"/>
  <c r="E74" i="52"/>
  <c r="E66" i="52"/>
  <c r="E60" i="52"/>
  <c r="E56" i="52"/>
  <c r="A49" i="52"/>
  <c r="A43" i="52"/>
  <c r="A127" i="52"/>
  <c r="A121" i="52"/>
  <c r="A116" i="52"/>
  <c r="A105" i="52"/>
  <c r="A99" i="52"/>
  <c r="A93" i="52"/>
  <c r="A91" i="52"/>
  <c r="E88" i="52"/>
  <c r="A86" i="52"/>
  <c r="A84" i="52"/>
  <c r="A79" i="52"/>
  <c r="A77" i="52"/>
  <c r="A75" i="52"/>
  <c r="A71" i="52"/>
  <c r="A69" i="52"/>
  <c r="A67" i="52"/>
  <c r="A65" i="52"/>
  <c r="A63" i="52"/>
  <c r="A61" i="52"/>
  <c r="A59" i="52"/>
  <c r="A57" i="52"/>
  <c r="A55" i="52"/>
  <c r="A53" i="52"/>
  <c r="A51" i="52"/>
  <c r="C49" i="52"/>
  <c r="E47" i="52"/>
  <c r="E45" i="52"/>
  <c r="C43" i="52"/>
  <c r="A120" i="52"/>
  <c r="A109" i="52"/>
  <c r="E83" i="52"/>
  <c r="E78" i="52"/>
  <c r="E76" i="52"/>
  <c r="E72" i="52"/>
  <c r="E68" i="52"/>
  <c r="E64" i="52"/>
  <c r="E54" i="52"/>
  <c r="E50" i="52"/>
  <c r="E46" i="52"/>
  <c r="A130" i="65"/>
  <c r="A119" i="65"/>
  <c r="A113" i="65"/>
  <c r="A107" i="65"/>
  <c r="A102" i="65"/>
  <c r="A92" i="65"/>
  <c r="A85" i="65"/>
  <c r="E80" i="65"/>
  <c r="A78" i="65"/>
  <c r="A76" i="65"/>
  <c r="A74" i="65"/>
  <c r="A72" i="65"/>
  <c r="A70" i="65"/>
  <c r="A68" i="65"/>
  <c r="A66" i="65"/>
  <c r="A64" i="65"/>
  <c r="A62" i="65"/>
  <c r="A60" i="65"/>
  <c r="A58" i="65"/>
  <c r="A56" i="65"/>
  <c r="A54" i="65"/>
  <c r="A52" i="65"/>
  <c r="A50" i="65"/>
  <c r="C46" i="65"/>
  <c r="E44" i="65"/>
  <c r="A67" i="65"/>
  <c r="A51" i="65"/>
  <c r="A126" i="65"/>
  <c r="A109" i="65"/>
  <c r="A88" i="65"/>
  <c r="E74" i="65"/>
  <c r="E64" i="65"/>
  <c r="E60" i="65"/>
  <c r="E54" i="65"/>
  <c r="E46" i="65"/>
  <c r="A128" i="65"/>
  <c r="A123" i="65"/>
  <c r="A112" i="65"/>
  <c r="A106" i="65"/>
  <c r="A100" i="65"/>
  <c r="A95" i="65"/>
  <c r="E91" i="65"/>
  <c r="E89" i="65"/>
  <c r="E86" i="65"/>
  <c r="E84" i="65"/>
  <c r="E82" i="65"/>
  <c r="E79" i="65"/>
  <c r="E77" i="65"/>
  <c r="E75" i="65"/>
  <c r="E73" i="65"/>
  <c r="E71" i="65"/>
  <c r="E69" i="65"/>
  <c r="E67" i="65"/>
  <c r="E65" i="65"/>
  <c r="E63" i="65"/>
  <c r="E61" i="65"/>
  <c r="E59" i="65"/>
  <c r="E57" i="65"/>
  <c r="E55" i="65"/>
  <c r="E53" i="65"/>
  <c r="E51" i="65"/>
  <c r="E49" i="65"/>
  <c r="A48" i="65"/>
  <c r="A46" i="65"/>
  <c r="E43" i="65"/>
  <c r="A91" i="65"/>
  <c r="A77" i="65"/>
  <c r="A65" i="65"/>
  <c r="A59" i="65"/>
  <c r="A55" i="65"/>
  <c r="C49" i="65"/>
  <c r="E45" i="65"/>
  <c r="A120" i="65"/>
  <c r="A98" i="65"/>
  <c r="E92" i="65"/>
  <c r="E85" i="65"/>
  <c r="A81" i="65"/>
  <c r="E66" i="65"/>
  <c r="E56" i="65"/>
  <c r="E50" i="65"/>
  <c r="A127" i="65"/>
  <c r="A121" i="65"/>
  <c r="A116" i="65"/>
  <c r="A105" i="65"/>
  <c r="A99" i="65"/>
  <c r="A93" i="65"/>
  <c r="E88" i="65"/>
  <c r="A86" i="65"/>
  <c r="A84" i="65"/>
  <c r="A79" i="65"/>
  <c r="A75" i="65"/>
  <c r="A71" i="65"/>
  <c r="A69" i="65"/>
  <c r="A63" i="65"/>
  <c r="A61" i="65"/>
  <c r="A57" i="65"/>
  <c r="A53" i="65"/>
  <c r="E47" i="65"/>
  <c r="C43" i="65"/>
  <c r="A114" i="65"/>
  <c r="E90" i="65"/>
  <c r="E83" i="65"/>
  <c r="E78" i="65"/>
  <c r="E76" i="65"/>
  <c r="E72" i="65"/>
  <c r="E70" i="65"/>
  <c r="E68" i="65"/>
  <c r="E62" i="65"/>
  <c r="E58" i="65"/>
  <c r="E52" i="65"/>
  <c r="A49" i="65"/>
  <c r="A43" i="65"/>
  <c r="A130" i="64"/>
  <c r="A119" i="64"/>
  <c r="A113" i="64"/>
  <c r="A107" i="64"/>
  <c r="A102" i="64"/>
  <c r="A92" i="64"/>
  <c r="A85" i="64"/>
  <c r="E80" i="64"/>
  <c r="A78" i="64"/>
  <c r="A76" i="64"/>
  <c r="A74" i="64"/>
  <c r="A72" i="64"/>
  <c r="A70" i="64"/>
  <c r="A68" i="64"/>
  <c r="A66" i="64"/>
  <c r="A64" i="64"/>
  <c r="A62" i="64"/>
  <c r="A60" i="64"/>
  <c r="A58" i="64"/>
  <c r="A56" i="64"/>
  <c r="A54" i="64"/>
  <c r="A52" i="64"/>
  <c r="A50" i="64"/>
  <c r="C46" i="64"/>
  <c r="E44" i="64"/>
  <c r="E85" i="64"/>
  <c r="E83" i="64"/>
  <c r="A81" i="64"/>
  <c r="E72" i="64"/>
  <c r="E68" i="64"/>
  <c r="E64" i="64"/>
  <c r="E60" i="64"/>
  <c r="E56" i="64"/>
  <c r="E52" i="64"/>
  <c r="E50" i="64"/>
  <c r="E46" i="64"/>
  <c r="A43" i="64"/>
  <c r="A128" i="64"/>
  <c r="A123" i="64"/>
  <c r="A112" i="64"/>
  <c r="A106" i="64"/>
  <c r="A100" i="64"/>
  <c r="A95" i="64"/>
  <c r="E91" i="64"/>
  <c r="E89" i="64"/>
  <c r="E86" i="64"/>
  <c r="E84" i="64"/>
  <c r="E82" i="64"/>
  <c r="E79" i="64"/>
  <c r="E77" i="64"/>
  <c r="E75" i="64"/>
  <c r="E73" i="64"/>
  <c r="E71" i="64"/>
  <c r="E69" i="64"/>
  <c r="E67" i="64"/>
  <c r="E65" i="64"/>
  <c r="E63" i="64"/>
  <c r="E61" i="64"/>
  <c r="E59" i="64"/>
  <c r="E57" i="64"/>
  <c r="E55" i="64"/>
  <c r="E53" i="64"/>
  <c r="E51" i="64"/>
  <c r="E49" i="64"/>
  <c r="A48" i="64"/>
  <c r="A46" i="64"/>
  <c r="E43" i="64"/>
  <c r="A127" i="64"/>
  <c r="A121" i="64"/>
  <c r="A116" i="64"/>
  <c r="A105" i="64"/>
  <c r="A99" i="64"/>
  <c r="A93" i="64"/>
  <c r="A91" i="64"/>
  <c r="E88" i="64"/>
  <c r="A86" i="64"/>
  <c r="A84" i="64"/>
  <c r="A79" i="64"/>
  <c r="A77" i="64"/>
  <c r="A75" i="64"/>
  <c r="A71" i="64"/>
  <c r="A69" i="64"/>
  <c r="A67" i="64"/>
  <c r="A65" i="64"/>
  <c r="A63" i="64"/>
  <c r="A61" i="64"/>
  <c r="A59" i="64"/>
  <c r="A57" i="64"/>
  <c r="A55" i="64"/>
  <c r="A53" i="64"/>
  <c r="A51" i="64"/>
  <c r="C49" i="64"/>
  <c r="E47" i="64"/>
  <c r="E45" i="64"/>
  <c r="C43" i="64"/>
  <c r="A126" i="64"/>
  <c r="A120" i="64"/>
  <c r="A114" i="64"/>
  <c r="A109" i="64"/>
  <c r="A98" i="64"/>
  <c r="E92" i="64"/>
  <c r="E90" i="64"/>
  <c r="A88" i="64"/>
  <c r="E78" i="64"/>
  <c r="E76" i="64"/>
  <c r="E74" i="64"/>
  <c r="E70" i="64"/>
  <c r="E66" i="64"/>
  <c r="E62" i="64"/>
  <c r="E58" i="64"/>
  <c r="E54" i="64"/>
  <c r="A49" i="64"/>
  <c r="A130" i="63"/>
  <c r="A119" i="63"/>
  <c r="A113" i="63"/>
  <c r="A107" i="63"/>
  <c r="A102" i="63"/>
  <c r="A92" i="63"/>
  <c r="A85" i="63"/>
  <c r="E80" i="63"/>
  <c r="A78" i="63"/>
  <c r="A76" i="63"/>
  <c r="A74" i="63"/>
  <c r="A72" i="63"/>
  <c r="A70" i="63"/>
  <c r="A68" i="63"/>
  <c r="A66" i="63"/>
  <c r="A64" i="63"/>
  <c r="A62" i="63"/>
  <c r="A60" i="63"/>
  <c r="A58" i="63"/>
  <c r="A56" i="63"/>
  <c r="A54" i="63"/>
  <c r="A52" i="63"/>
  <c r="A50" i="63"/>
  <c r="C46" i="63"/>
  <c r="E44" i="63"/>
  <c r="A98" i="63"/>
  <c r="E78" i="63"/>
  <c r="E76" i="63"/>
  <c r="E72" i="63"/>
  <c r="E70" i="63"/>
  <c r="E64" i="63"/>
  <c r="E58" i="63"/>
  <c r="E52" i="63"/>
  <c r="E46" i="63"/>
  <c r="A128" i="63"/>
  <c r="A123" i="63"/>
  <c r="A112" i="63"/>
  <c r="A106" i="63"/>
  <c r="A100" i="63"/>
  <c r="A95" i="63"/>
  <c r="E91" i="63"/>
  <c r="E89" i="63"/>
  <c r="E86" i="63"/>
  <c r="E84" i="63"/>
  <c r="E82" i="63"/>
  <c r="E79" i="63"/>
  <c r="E77" i="63"/>
  <c r="E75" i="63"/>
  <c r="E73" i="63"/>
  <c r="E71" i="63"/>
  <c r="E69" i="63"/>
  <c r="E67" i="63"/>
  <c r="E65" i="63"/>
  <c r="E63" i="63"/>
  <c r="E61" i="63"/>
  <c r="E59" i="63"/>
  <c r="E57" i="63"/>
  <c r="E55" i="63"/>
  <c r="E53" i="63"/>
  <c r="E51" i="63"/>
  <c r="E49" i="63"/>
  <c r="A48" i="63"/>
  <c r="A46" i="63"/>
  <c r="E43" i="63"/>
  <c r="A120" i="63"/>
  <c r="A114" i="63"/>
  <c r="A109" i="63"/>
  <c r="E85" i="63"/>
  <c r="E83" i="63"/>
  <c r="A81" i="63"/>
  <c r="E68" i="63"/>
  <c r="E62" i="63"/>
  <c r="E54" i="63"/>
  <c r="E50" i="63"/>
  <c r="A127" i="63"/>
  <c r="A121" i="63"/>
  <c r="A116" i="63"/>
  <c r="A105" i="63"/>
  <c r="A99" i="63"/>
  <c r="A93" i="63"/>
  <c r="A91" i="63"/>
  <c r="E88" i="63"/>
  <c r="A86" i="63"/>
  <c r="A84" i="63"/>
  <c r="A79" i="63"/>
  <c r="A77" i="63"/>
  <c r="A75" i="63"/>
  <c r="A71" i="63"/>
  <c r="A69" i="63"/>
  <c r="A67" i="63"/>
  <c r="A65" i="63"/>
  <c r="A63" i="63"/>
  <c r="A61" i="63"/>
  <c r="A59" i="63"/>
  <c r="A57" i="63"/>
  <c r="A55" i="63"/>
  <c r="A53" i="63"/>
  <c r="A51" i="63"/>
  <c r="C49" i="63"/>
  <c r="E47" i="63"/>
  <c r="E45" i="63"/>
  <c r="C43" i="63"/>
  <c r="A126" i="63"/>
  <c r="E92" i="63"/>
  <c r="E90" i="63"/>
  <c r="A88" i="63"/>
  <c r="E74" i="63"/>
  <c r="E66" i="63"/>
  <c r="E60" i="63"/>
  <c r="E56" i="63"/>
  <c r="A49" i="63"/>
  <c r="A43" i="63"/>
  <c r="A130" i="53"/>
  <c r="A119" i="53"/>
  <c r="A113" i="53"/>
  <c r="A107" i="53"/>
  <c r="A102" i="53"/>
  <c r="A92" i="53"/>
  <c r="A85" i="53"/>
  <c r="E80" i="53"/>
  <c r="A78" i="53"/>
  <c r="A76" i="53"/>
  <c r="A74" i="53"/>
  <c r="A72" i="53"/>
  <c r="A70" i="53"/>
  <c r="A68" i="53"/>
  <c r="A66" i="53"/>
  <c r="A64" i="53"/>
  <c r="A62" i="53"/>
  <c r="A60" i="53"/>
  <c r="A58" i="53"/>
  <c r="A56" i="53"/>
  <c r="A54" i="53"/>
  <c r="A52" i="53"/>
  <c r="A50" i="53"/>
  <c r="C46" i="53"/>
  <c r="E44" i="53"/>
  <c r="A99" i="53"/>
  <c r="A91" i="53"/>
  <c r="A79" i="53"/>
  <c r="A75" i="53"/>
  <c r="A71" i="53"/>
  <c r="A69" i="53"/>
  <c r="A65" i="53"/>
  <c r="A61" i="53"/>
  <c r="A57" i="53"/>
  <c r="A53" i="53"/>
  <c r="C49" i="53"/>
  <c r="E47" i="53"/>
  <c r="E45" i="53"/>
  <c r="C43" i="53"/>
  <c r="A120" i="53"/>
  <c r="A114" i="53"/>
  <c r="A109" i="53"/>
  <c r="A88" i="53"/>
  <c r="E78" i="53"/>
  <c r="E74" i="53"/>
  <c r="E70" i="53"/>
  <c r="E66" i="53"/>
  <c r="E62" i="53"/>
  <c r="E58" i="53"/>
  <c r="E54" i="53"/>
  <c r="E50" i="53"/>
  <c r="E46" i="53"/>
  <c r="A43" i="53"/>
  <c r="A128" i="53"/>
  <c r="A123" i="53"/>
  <c r="A112" i="53"/>
  <c r="A106" i="53"/>
  <c r="A100" i="53"/>
  <c r="A95" i="53"/>
  <c r="E91" i="53"/>
  <c r="E89" i="53"/>
  <c r="E86" i="53"/>
  <c r="E84" i="53"/>
  <c r="E82" i="53"/>
  <c r="E79" i="53"/>
  <c r="E77" i="53"/>
  <c r="E75" i="53"/>
  <c r="E73" i="53"/>
  <c r="E71" i="53"/>
  <c r="E69" i="53"/>
  <c r="E67" i="53"/>
  <c r="E65" i="53"/>
  <c r="E63" i="53"/>
  <c r="E61" i="53"/>
  <c r="E59" i="53"/>
  <c r="E57" i="53"/>
  <c r="E55" i="53"/>
  <c r="E53" i="53"/>
  <c r="E51" i="53"/>
  <c r="E49" i="53"/>
  <c r="A48" i="53"/>
  <c r="A46" i="53"/>
  <c r="E43" i="53"/>
  <c r="A127" i="53"/>
  <c r="A121" i="53"/>
  <c r="A116" i="53"/>
  <c r="A105" i="53"/>
  <c r="A93" i="53"/>
  <c r="E88" i="53"/>
  <c r="A86" i="53"/>
  <c r="A84" i="53"/>
  <c r="A77" i="53"/>
  <c r="A67" i="53"/>
  <c r="A63" i="53"/>
  <c r="A59" i="53"/>
  <c r="A55" i="53"/>
  <c r="A51" i="53"/>
  <c r="A126" i="53"/>
  <c r="A98" i="53"/>
  <c r="E92" i="53"/>
  <c r="E90" i="53"/>
  <c r="E85" i="53"/>
  <c r="E83" i="53"/>
  <c r="A81" i="53"/>
  <c r="E76" i="53"/>
  <c r="E72" i="53"/>
  <c r="E68" i="53"/>
  <c r="E64" i="53"/>
  <c r="E60" i="53"/>
  <c r="E56" i="53"/>
  <c r="E52" i="53"/>
  <c r="A49" i="53"/>
  <c r="A130" i="62"/>
  <c r="A119" i="62"/>
  <c r="A113" i="62"/>
  <c r="A107" i="62"/>
  <c r="A102" i="62"/>
  <c r="A92" i="62"/>
  <c r="A85" i="62"/>
  <c r="E80" i="62"/>
  <c r="A78" i="62"/>
  <c r="A76" i="62"/>
  <c r="A74" i="62"/>
  <c r="A72" i="62"/>
  <c r="A70" i="62"/>
  <c r="A68" i="62"/>
  <c r="A66" i="62"/>
  <c r="A64" i="62"/>
  <c r="A62" i="62"/>
  <c r="A60" i="62"/>
  <c r="A58" i="62"/>
  <c r="A56" i="62"/>
  <c r="A54" i="62"/>
  <c r="A52" i="62"/>
  <c r="A50" i="62"/>
  <c r="C46" i="62"/>
  <c r="E44" i="62"/>
  <c r="A98" i="62"/>
  <c r="E85" i="62"/>
  <c r="A81" i="62"/>
  <c r="E62" i="62"/>
  <c r="E52" i="62"/>
  <c r="A128" i="62"/>
  <c r="A123" i="62"/>
  <c r="A112" i="62"/>
  <c r="A106" i="62"/>
  <c r="A100" i="62"/>
  <c r="A95" i="62"/>
  <c r="E91" i="62"/>
  <c r="E89" i="62"/>
  <c r="E86" i="62"/>
  <c r="E84" i="62"/>
  <c r="E82" i="62"/>
  <c r="E79" i="62"/>
  <c r="E77" i="62"/>
  <c r="E75" i="62"/>
  <c r="E73" i="62"/>
  <c r="E71" i="62"/>
  <c r="E69" i="62"/>
  <c r="E67" i="62"/>
  <c r="E65" i="62"/>
  <c r="E63" i="62"/>
  <c r="E61" i="62"/>
  <c r="E59" i="62"/>
  <c r="E57" i="62"/>
  <c r="E55" i="62"/>
  <c r="E53" i="62"/>
  <c r="E51" i="62"/>
  <c r="E49" i="62"/>
  <c r="A48" i="62"/>
  <c r="A46" i="62"/>
  <c r="E43" i="62"/>
  <c r="A120" i="62"/>
  <c r="A114" i="62"/>
  <c r="A109" i="62"/>
  <c r="E83" i="62"/>
  <c r="E78" i="62"/>
  <c r="E76" i="62"/>
  <c r="E72" i="62"/>
  <c r="E68" i="62"/>
  <c r="E64" i="62"/>
  <c r="E60" i="62"/>
  <c r="E56" i="62"/>
  <c r="E50" i="62"/>
  <c r="E46" i="62"/>
  <c r="A127" i="62"/>
  <c r="A121" i="62"/>
  <c r="A116" i="62"/>
  <c r="A105" i="62"/>
  <c r="A99" i="62"/>
  <c r="A93" i="62"/>
  <c r="A91" i="62"/>
  <c r="E88" i="62"/>
  <c r="A86" i="62"/>
  <c r="A84" i="62"/>
  <c r="A79" i="62"/>
  <c r="A77" i="62"/>
  <c r="A75" i="62"/>
  <c r="A71" i="62"/>
  <c r="A69" i="62"/>
  <c r="A67" i="62"/>
  <c r="A65" i="62"/>
  <c r="A63" i="62"/>
  <c r="A61" i="62"/>
  <c r="A59" i="62"/>
  <c r="A57" i="62"/>
  <c r="A55" i="62"/>
  <c r="A53" i="62"/>
  <c r="A51" i="62"/>
  <c r="C49" i="62"/>
  <c r="E47" i="62"/>
  <c r="E45" i="62"/>
  <c r="C43" i="62"/>
  <c r="A126" i="62"/>
  <c r="E92" i="62"/>
  <c r="E90" i="62"/>
  <c r="A88" i="62"/>
  <c r="E74" i="62"/>
  <c r="E70" i="62"/>
  <c r="E66" i="62"/>
  <c r="E58" i="62"/>
  <c r="E54" i="62"/>
  <c r="A49" i="62"/>
  <c r="A43" i="62"/>
  <c r="A130" i="59"/>
  <c r="A119" i="59"/>
  <c r="A113" i="59"/>
  <c r="A107" i="59"/>
  <c r="A102" i="59"/>
  <c r="A92" i="59"/>
  <c r="A85" i="59"/>
  <c r="E80" i="59"/>
  <c r="A78" i="59"/>
  <c r="A76" i="59"/>
  <c r="A74" i="59"/>
  <c r="A72" i="59"/>
  <c r="A70" i="59"/>
  <c r="A68" i="59"/>
  <c r="A66" i="59"/>
  <c r="A64" i="59"/>
  <c r="A62" i="59"/>
  <c r="A60" i="59"/>
  <c r="A58" i="59"/>
  <c r="A56" i="59"/>
  <c r="A54" i="59"/>
  <c r="A52" i="59"/>
  <c r="A50" i="59"/>
  <c r="C46" i="59"/>
  <c r="E44" i="59"/>
  <c r="A81" i="59"/>
  <c r="E52" i="59"/>
  <c r="A128" i="59"/>
  <c r="A123" i="59"/>
  <c r="A112" i="59"/>
  <c r="A106" i="59"/>
  <c r="A100" i="59"/>
  <c r="A95" i="59"/>
  <c r="E91" i="59"/>
  <c r="E89" i="59"/>
  <c r="E86" i="59"/>
  <c r="E84" i="59"/>
  <c r="E82" i="59"/>
  <c r="E79" i="59"/>
  <c r="E77" i="59"/>
  <c r="E75" i="59"/>
  <c r="E73" i="59"/>
  <c r="E71" i="59"/>
  <c r="E69" i="59"/>
  <c r="E67" i="59"/>
  <c r="E65" i="59"/>
  <c r="E63" i="59"/>
  <c r="E61" i="59"/>
  <c r="E59" i="59"/>
  <c r="E57" i="59"/>
  <c r="E55" i="59"/>
  <c r="E53" i="59"/>
  <c r="E51" i="59"/>
  <c r="E49" i="59"/>
  <c r="A48" i="59"/>
  <c r="A46" i="59"/>
  <c r="E43" i="59"/>
  <c r="A120" i="59"/>
  <c r="A114" i="59"/>
  <c r="A98" i="59"/>
  <c r="E92" i="59"/>
  <c r="A88" i="59"/>
  <c r="E72" i="59"/>
  <c r="E68" i="59"/>
  <c r="E62" i="59"/>
  <c r="E58" i="59"/>
  <c r="E54" i="59"/>
  <c r="A49" i="59"/>
  <c r="E46" i="59"/>
  <c r="A43" i="59"/>
  <c r="A127" i="59"/>
  <c r="A121" i="59"/>
  <c r="A116" i="59"/>
  <c r="A105" i="59"/>
  <c r="A99" i="59"/>
  <c r="A93" i="59"/>
  <c r="A91" i="59"/>
  <c r="E88" i="59"/>
  <c r="A86" i="59"/>
  <c r="A84" i="59"/>
  <c r="A79" i="59"/>
  <c r="A77" i="59"/>
  <c r="A75" i="59"/>
  <c r="A71" i="59"/>
  <c r="A69" i="59"/>
  <c r="A67" i="59"/>
  <c r="A65" i="59"/>
  <c r="A63" i="59"/>
  <c r="A61" i="59"/>
  <c r="A59" i="59"/>
  <c r="A57" i="59"/>
  <c r="A55" i="59"/>
  <c r="A53" i="59"/>
  <c r="A51" i="59"/>
  <c r="C49" i="59"/>
  <c r="E47" i="59"/>
  <c r="E45" i="59"/>
  <c r="C43" i="59"/>
  <c r="A126" i="59"/>
  <c r="A109" i="59"/>
  <c r="E90" i="59"/>
  <c r="E85" i="59"/>
  <c r="E83" i="59"/>
  <c r="E78" i="59"/>
  <c r="E76" i="59"/>
  <c r="E74" i="59"/>
  <c r="E70" i="59"/>
  <c r="E66" i="59"/>
  <c r="E64" i="59"/>
  <c r="E60" i="59"/>
  <c r="E56" i="59"/>
  <c r="E50" i="59"/>
  <c r="A130" i="60"/>
  <c r="A119" i="60"/>
  <c r="A113" i="60"/>
  <c r="A107" i="60"/>
  <c r="A102" i="60"/>
  <c r="A92" i="60"/>
  <c r="A85" i="60"/>
  <c r="E80" i="60"/>
  <c r="A78" i="60"/>
  <c r="A76" i="60"/>
  <c r="A74" i="60"/>
  <c r="A72" i="60"/>
  <c r="A70" i="60"/>
  <c r="A68" i="60"/>
  <c r="A66" i="60"/>
  <c r="A64" i="60"/>
  <c r="A62" i="60"/>
  <c r="A60" i="60"/>
  <c r="A58" i="60"/>
  <c r="A56" i="60"/>
  <c r="A54" i="60"/>
  <c r="A52" i="60"/>
  <c r="A50" i="60"/>
  <c r="C46" i="60"/>
  <c r="E44" i="60"/>
  <c r="A98" i="60"/>
  <c r="E83" i="60"/>
  <c r="E78" i="60"/>
  <c r="E76" i="60"/>
  <c r="E74" i="60"/>
  <c r="E72" i="60"/>
  <c r="E68" i="60"/>
  <c r="E66" i="60"/>
  <c r="E62" i="60"/>
  <c r="E54" i="60"/>
  <c r="A49" i="60"/>
  <c r="A43" i="60"/>
  <c r="A128" i="60"/>
  <c r="A123" i="60"/>
  <c r="A112" i="60"/>
  <c r="A106" i="60"/>
  <c r="A100" i="60"/>
  <c r="A95" i="60"/>
  <c r="E91" i="60"/>
  <c r="E89" i="60"/>
  <c r="E86" i="60"/>
  <c r="E84" i="60"/>
  <c r="E82" i="60"/>
  <c r="E79" i="60"/>
  <c r="E77" i="60"/>
  <c r="E75" i="60"/>
  <c r="E73" i="60"/>
  <c r="E71" i="60"/>
  <c r="E69" i="60"/>
  <c r="E67" i="60"/>
  <c r="E65" i="60"/>
  <c r="E63" i="60"/>
  <c r="E61" i="60"/>
  <c r="E59" i="60"/>
  <c r="E57" i="60"/>
  <c r="E55" i="60"/>
  <c r="E53" i="60"/>
  <c r="E51" i="60"/>
  <c r="E49" i="60"/>
  <c r="A48" i="60"/>
  <c r="A46" i="60"/>
  <c r="E43" i="60"/>
  <c r="A120" i="60"/>
  <c r="A109" i="60"/>
  <c r="E85" i="60"/>
  <c r="A81" i="60"/>
  <c r="E60" i="60"/>
  <c r="E52" i="60"/>
  <c r="E46" i="60"/>
  <c r="A127" i="60"/>
  <c r="A121" i="60"/>
  <c r="A116" i="60"/>
  <c r="A105" i="60"/>
  <c r="A99" i="60"/>
  <c r="A93" i="60"/>
  <c r="A91" i="60"/>
  <c r="E88" i="60"/>
  <c r="A86" i="60"/>
  <c r="A84" i="60"/>
  <c r="A79" i="60"/>
  <c r="A77" i="60"/>
  <c r="A75" i="60"/>
  <c r="A71" i="60"/>
  <c r="A69" i="60"/>
  <c r="A67" i="60"/>
  <c r="A65" i="60"/>
  <c r="A63" i="60"/>
  <c r="A61" i="60"/>
  <c r="A59" i="60"/>
  <c r="A57" i="60"/>
  <c r="A55" i="60"/>
  <c r="A53" i="60"/>
  <c r="A51" i="60"/>
  <c r="C49" i="60"/>
  <c r="E47" i="60"/>
  <c r="E45" i="60"/>
  <c r="C43" i="60"/>
  <c r="A126" i="60"/>
  <c r="A114" i="60"/>
  <c r="E92" i="60"/>
  <c r="E90" i="60"/>
  <c r="A88" i="60"/>
  <c r="E70" i="60"/>
  <c r="E64" i="60"/>
  <c r="E58" i="60"/>
  <c r="E56" i="60"/>
  <c r="E50" i="60"/>
  <c r="A130" i="58"/>
  <c r="A119" i="58"/>
  <c r="A113" i="58"/>
  <c r="A107" i="58"/>
  <c r="A102" i="58"/>
  <c r="A92" i="58"/>
  <c r="A85" i="58"/>
  <c r="E80" i="58"/>
  <c r="A78" i="58"/>
  <c r="A76" i="58"/>
  <c r="A74" i="58"/>
  <c r="A72" i="58"/>
  <c r="A70" i="58"/>
  <c r="A68" i="58"/>
  <c r="A66" i="58"/>
  <c r="A64" i="58"/>
  <c r="A62" i="58"/>
  <c r="A60" i="58"/>
  <c r="A58" i="58"/>
  <c r="A56" i="58"/>
  <c r="A54" i="58"/>
  <c r="A52" i="58"/>
  <c r="A50" i="58"/>
  <c r="C46" i="58"/>
  <c r="E44" i="58"/>
  <c r="A127" i="58"/>
  <c r="A105" i="58"/>
  <c r="A91" i="58"/>
  <c r="A84" i="58"/>
  <c r="A79" i="58"/>
  <c r="A77" i="58"/>
  <c r="A69" i="58"/>
  <c r="A65" i="58"/>
  <c r="A61" i="58"/>
  <c r="A57" i="58"/>
  <c r="A53" i="58"/>
  <c r="C49" i="58"/>
  <c r="E47" i="58"/>
  <c r="E45" i="58"/>
  <c r="C43" i="58"/>
  <c r="A126" i="58"/>
  <c r="A114" i="58"/>
  <c r="A98" i="58"/>
  <c r="E92" i="58"/>
  <c r="A88" i="58"/>
  <c r="E78" i="58"/>
  <c r="E76" i="58"/>
  <c r="E72" i="58"/>
  <c r="E68" i="58"/>
  <c r="E64" i="58"/>
  <c r="E60" i="58"/>
  <c r="E56" i="58"/>
  <c r="E52" i="58"/>
  <c r="A49" i="58"/>
  <c r="A128" i="58"/>
  <c r="A123" i="58"/>
  <c r="A112" i="58"/>
  <c r="A106" i="58"/>
  <c r="A100" i="58"/>
  <c r="A95" i="58"/>
  <c r="E91" i="58"/>
  <c r="E89" i="58"/>
  <c r="E86" i="58"/>
  <c r="E84" i="58"/>
  <c r="E82" i="58"/>
  <c r="E79" i="58"/>
  <c r="E77" i="58"/>
  <c r="E75" i="58"/>
  <c r="E73" i="58"/>
  <c r="E71" i="58"/>
  <c r="E69" i="58"/>
  <c r="E67" i="58"/>
  <c r="E65" i="58"/>
  <c r="E63" i="58"/>
  <c r="E61" i="58"/>
  <c r="E59" i="58"/>
  <c r="E57" i="58"/>
  <c r="E55" i="58"/>
  <c r="E53" i="58"/>
  <c r="E51" i="58"/>
  <c r="E49" i="58"/>
  <c r="A48" i="58"/>
  <c r="A46" i="58"/>
  <c r="E43" i="58"/>
  <c r="A121" i="58"/>
  <c r="A116" i="58"/>
  <c r="A99" i="58"/>
  <c r="A93" i="58"/>
  <c r="E88" i="58"/>
  <c r="A86" i="58"/>
  <c r="A75" i="58"/>
  <c r="A71" i="58"/>
  <c r="A67" i="58"/>
  <c r="A63" i="58"/>
  <c r="A59" i="58"/>
  <c r="A55" i="58"/>
  <c r="A51" i="58"/>
  <c r="A120" i="58"/>
  <c r="A109" i="58"/>
  <c r="E90" i="58"/>
  <c r="E85" i="58"/>
  <c r="E83" i="58"/>
  <c r="A81" i="58"/>
  <c r="E74" i="58"/>
  <c r="E70" i="58"/>
  <c r="E66" i="58"/>
  <c r="E62" i="58"/>
  <c r="E58" i="58"/>
  <c r="E54" i="58"/>
  <c r="E50" i="58"/>
  <c r="E46" i="58"/>
  <c r="A43" i="58"/>
  <c r="A130" i="57"/>
  <c r="A119" i="57"/>
  <c r="A113" i="57"/>
  <c r="A107" i="57"/>
  <c r="A102" i="57"/>
  <c r="A92" i="57"/>
  <c r="A85" i="57"/>
  <c r="E80" i="57"/>
  <c r="A78" i="57"/>
  <c r="A76" i="57"/>
  <c r="A74" i="57"/>
  <c r="A72" i="57"/>
  <c r="A70" i="57"/>
  <c r="A68" i="57"/>
  <c r="A66" i="57"/>
  <c r="A64" i="57"/>
  <c r="A62" i="57"/>
  <c r="A60" i="57"/>
  <c r="A58" i="57"/>
  <c r="A56" i="57"/>
  <c r="A54" i="57"/>
  <c r="A52" i="57"/>
  <c r="A50" i="57"/>
  <c r="C46" i="57"/>
  <c r="E44" i="57"/>
  <c r="A120" i="57"/>
  <c r="E90" i="57"/>
  <c r="E83" i="57"/>
  <c r="E78" i="57"/>
  <c r="E76" i="57"/>
  <c r="E74" i="57"/>
  <c r="E72" i="57"/>
  <c r="E68" i="57"/>
  <c r="E66" i="57"/>
  <c r="E60" i="57"/>
  <c r="E54" i="57"/>
  <c r="A49" i="57"/>
  <c r="A43" i="57"/>
  <c r="A128" i="57"/>
  <c r="A123" i="57"/>
  <c r="A112" i="57"/>
  <c r="A106" i="57"/>
  <c r="A100" i="57"/>
  <c r="A95" i="57"/>
  <c r="E91" i="57"/>
  <c r="E89" i="57"/>
  <c r="E86" i="57"/>
  <c r="E84" i="57"/>
  <c r="E82" i="57"/>
  <c r="E79" i="57"/>
  <c r="E77" i="57"/>
  <c r="E75" i="57"/>
  <c r="E73" i="57"/>
  <c r="E71" i="57"/>
  <c r="E69" i="57"/>
  <c r="E67" i="57"/>
  <c r="E65" i="57"/>
  <c r="E63" i="57"/>
  <c r="E61" i="57"/>
  <c r="E59" i="57"/>
  <c r="E57" i="57"/>
  <c r="E55" i="57"/>
  <c r="E53" i="57"/>
  <c r="E51" i="57"/>
  <c r="E49" i="57"/>
  <c r="A48" i="57"/>
  <c r="A46" i="57"/>
  <c r="E43" i="57"/>
  <c r="E47" i="57"/>
  <c r="A126" i="57"/>
  <c r="A109" i="57"/>
  <c r="E92" i="57"/>
  <c r="E85" i="57"/>
  <c r="A81" i="57"/>
  <c r="E64" i="57"/>
  <c r="E58" i="57"/>
  <c r="E52" i="57"/>
  <c r="E46" i="57"/>
  <c r="A127" i="57"/>
  <c r="A121" i="57"/>
  <c r="A116" i="57"/>
  <c r="A105" i="57"/>
  <c r="A99" i="57"/>
  <c r="A93" i="57"/>
  <c r="A91" i="57"/>
  <c r="E88" i="57"/>
  <c r="A86" i="57"/>
  <c r="A84" i="57"/>
  <c r="A79" i="57"/>
  <c r="A77" i="57"/>
  <c r="A75" i="57"/>
  <c r="A71" i="57"/>
  <c r="A69" i="57"/>
  <c r="A67" i="57"/>
  <c r="A65" i="57"/>
  <c r="A63" i="57"/>
  <c r="A61" i="57"/>
  <c r="A59" i="57"/>
  <c r="A57" i="57"/>
  <c r="A55" i="57"/>
  <c r="A53" i="57"/>
  <c r="A51" i="57"/>
  <c r="C49" i="57"/>
  <c r="E45" i="57"/>
  <c r="C43" i="57"/>
  <c r="A114" i="57"/>
  <c r="A98" i="57"/>
  <c r="A88" i="57"/>
  <c r="E70" i="57"/>
  <c r="E62" i="57"/>
  <c r="E56" i="57"/>
  <c r="E50" i="57"/>
  <c r="A130" i="55"/>
  <c r="A119" i="55"/>
  <c r="A113" i="55"/>
  <c r="A107" i="55"/>
  <c r="A102" i="55"/>
  <c r="A92" i="55"/>
  <c r="A85" i="55"/>
  <c r="E80" i="55"/>
  <c r="A78" i="55"/>
  <c r="A76" i="55"/>
  <c r="A74" i="55"/>
  <c r="A72" i="55"/>
  <c r="A70" i="55"/>
  <c r="A68" i="55"/>
  <c r="A66" i="55"/>
  <c r="A64" i="55"/>
  <c r="A62" i="55"/>
  <c r="A60" i="55"/>
  <c r="A58" i="55"/>
  <c r="A56" i="55"/>
  <c r="A54" i="55"/>
  <c r="A52" i="55"/>
  <c r="A50" i="55"/>
  <c r="C46" i="55"/>
  <c r="E44" i="55"/>
  <c r="A81" i="55"/>
  <c r="A49" i="55"/>
  <c r="A128" i="55"/>
  <c r="A123" i="55"/>
  <c r="A112" i="55"/>
  <c r="A106" i="55"/>
  <c r="A100" i="55"/>
  <c r="A95" i="55"/>
  <c r="E91" i="55"/>
  <c r="E89" i="55"/>
  <c r="E86" i="55"/>
  <c r="E84" i="55"/>
  <c r="E82" i="55"/>
  <c r="E79" i="55"/>
  <c r="E77" i="55"/>
  <c r="E75" i="55"/>
  <c r="E73" i="55"/>
  <c r="E71" i="55"/>
  <c r="E69" i="55"/>
  <c r="E67" i="55"/>
  <c r="E65" i="55"/>
  <c r="E63" i="55"/>
  <c r="E61" i="55"/>
  <c r="E59" i="55"/>
  <c r="E57" i="55"/>
  <c r="E55" i="55"/>
  <c r="E53" i="55"/>
  <c r="E51" i="55"/>
  <c r="E49" i="55"/>
  <c r="A48" i="55"/>
  <c r="A46" i="55"/>
  <c r="E43" i="55"/>
  <c r="A120" i="55"/>
  <c r="A114" i="55"/>
  <c r="A109" i="55"/>
  <c r="E85" i="55"/>
  <c r="E83" i="55"/>
  <c r="E78" i="55"/>
  <c r="E76" i="55"/>
  <c r="E72" i="55"/>
  <c r="E68" i="55"/>
  <c r="E66" i="55"/>
  <c r="E62" i="55"/>
  <c r="E58" i="55"/>
  <c r="E54" i="55"/>
  <c r="E50" i="55"/>
  <c r="A127" i="55"/>
  <c r="A121" i="55"/>
  <c r="A116" i="55"/>
  <c r="A105" i="55"/>
  <c r="A99" i="55"/>
  <c r="A93" i="55"/>
  <c r="A91" i="55"/>
  <c r="E88" i="55"/>
  <c r="A86" i="55"/>
  <c r="A84" i="55"/>
  <c r="A79" i="55"/>
  <c r="A77" i="55"/>
  <c r="A75" i="55"/>
  <c r="A71" i="55"/>
  <c r="A69" i="55"/>
  <c r="A67" i="55"/>
  <c r="A65" i="55"/>
  <c r="A63" i="55"/>
  <c r="A61" i="55"/>
  <c r="A59" i="55"/>
  <c r="A57" i="55"/>
  <c r="A55" i="55"/>
  <c r="A53" i="55"/>
  <c r="A51" i="55"/>
  <c r="C49" i="55"/>
  <c r="E47" i="55"/>
  <c r="E45" i="55"/>
  <c r="C43" i="55"/>
  <c r="A126" i="55"/>
  <c r="A98" i="55"/>
  <c r="E92" i="55"/>
  <c r="E90" i="55"/>
  <c r="A88" i="55"/>
  <c r="E74" i="55"/>
  <c r="E70" i="55"/>
  <c r="E64" i="55"/>
  <c r="E60" i="55"/>
  <c r="E56" i="55"/>
  <c r="E52" i="55"/>
  <c r="E46" i="55"/>
  <c r="A43" i="55"/>
  <c r="A130" i="50"/>
  <c r="A119" i="50"/>
  <c r="A113" i="50"/>
  <c r="A107" i="50"/>
  <c r="A102" i="50"/>
  <c r="A92" i="50"/>
  <c r="A85" i="50"/>
  <c r="E80" i="50"/>
  <c r="A78" i="50"/>
  <c r="A76" i="50"/>
  <c r="A74" i="50"/>
  <c r="A72" i="50"/>
  <c r="A70" i="50"/>
  <c r="A68" i="50"/>
  <c r="A66" i="50"/>
  <c r="A64" i="50"/>
  <c r="A62" i="50"/>
  <c r="A60" i="50"/>
  <c r="A58" i="50"/>
  <c r="A56" i="50"/>
  <c r="A54" i="50"/>
  <c r="A52" i="50"/>
  <c r="A50" i="50"/>
  <c r="C46" i="50"/>
  <c r="E44" i="50"/>
  <c r="A86" i="50"/>
  <c r="A79" i="50"/>
  <c r="A75" i="50"/>
  <c r="A71" i="50"/>
  <c r="A69" i="50"/>
  <c r="A65" i="50"/>
  <c r="A61" i="50"/>
  <c r="A57" i="50"/>
  <c r="A53" i="50"/>
  <c r="C49" i="50"/>
  <c r="E47" i="50"/>
  <c r="E45" i="50"/>
  <c r="C43" i="50"/>
  <c r="A126" i="50"/>
  <c r="A109" i="50"/>
  <c r="A88" i="50"/>
  <c r="E78" i="50"/>
  <c r="E76" i="50"/>
  <c r="E74" i="50"/>
  <c r="E70" i="50"/>
  <c r="E66" i="50"/>
  <c r="E62" i="50"/>
  <c r="E56" i="50"/>
  <c r="E52" i="50"/>
  <c r="A49" i="50"/>
  <c r="A128" i="50"/>
  <c r="A123" i="50"/>
  <c r="A112" i="50"/>
  <c r="A106" i="50"/>
  <c r="A100" i="50"/>
  <c r="A95" i="50"/>
  <c r="E91" i="50"/>
  <c r="E89" i="50"/>
  <c r="E86" i="50"/>
  <c r="E84" i="50"/>
  <c r="E82" i="50"/>
  <c r="E79" i="50"/>
  <c r="E77" i="50"/>
  <c r="E75" i="50"/>
  <c r="E73" i="50"/>
  <c r="E71" i="50"/>
  <c r="E69" i="50"/>
  <c r="E67" i="50"/>
  <c r="E65" i="50"/>
  <c r="E63" i="50"/>
  <c r="E61" i="50"/>
  <c r="E59" i="50"/>
  <c r="E57" i="50"/>
  <c r="E55" i="50"/>
  <c r="E53" i="50"/>
  <c r="E51" i="50"/>
  <c r="E49" i="50"/>
  <c r="A48" i="50"/>
  <c r="A46" i="50"/>
  <c r="E43" i="50"/>
  <c r="A127" i="50"/>
  <c r="A121" i="50"/>
  <c r="A116" i="50"/>
  <c r="A105" i="50"/>
  <c r="A99" i="50"/>
  <c r="A93" i="50"/>
  <c r="A91" i="50"/>
  <c r="E88" i="50"/>
  <c r="A84" i="50"/>
  <c r="A77" i="50"/>
  <c r="A67" i="50"/>
  <c r="A63" i="50"/>
  <c r="A59" i="50"/>
  <c r="A55" i="50"/>
  <c r="A51" i="50"/>
  <c r="A120" i="50"/>
  <c r="A114" i="50"/>
  <c r="A98" i="50"/>
  <c r="E92" i="50"/>
  <c r="E90" i="50"/>
  <c r="E85" i="50"/>
  <c r="E83" i="50"/>
  <c r="A81" i="50"/>
  <c r="E72" i="50"/>
  <c r="E68" i="50"/>
  <c r="E64" i="50"/>
  <c r="E60" i="50"/>
  <c r="E58" i="50"/>
  <c r="E54" i="50"/>
  <c r="E50" i="50"/>
  <c r="E46" i="50"/>
  <c r="A43" i="50"/>
  <c r="A130" i="49"/>
  <c r="A119" i="49"/>
  <c r="A113" i="49"/>
  <c r="A107" i="49"/>
  <c r="A102" i="49"/>
  <c r="A92" i="49"/>
  <c r="A85" i="49"/>
  <c r="E80" i="49"/>
  <c r="A78" i="49"/>
  <c r="A76" i="49"/>
  <c r="A74" i="49"/>
  <c r="A72" i="49"/>
  <c r="A70" i="49"/>
  <c r="A68" i="49"/>
  <c r="A66" i="49"/>
  <c r="A64" i="49"/>
  <c r="A62" i="49"/>
  <c r="A60" i="49"/>
  <c r="A58" i="49"/>
  <c r="A56" i="49"/>
  <c r="A54" i="49"/>
  <c r="A52" i="49"/>
  <c r="A50" i="49"/>
  <c r="C46" i="49"/>
  <c r="E44" i="49"/>
  <c r="A128" i="49"/>
  <c r="A123" i="49"/>
  <c r="A112" i="49"/>
  <c r="A106" i="49"/>
  <c r="A100" i="49"/>
  <c r="A95" i="49"/>
  <c r="E91" i="49"/>
  <c r="E89" i="49"/>
  <c r="E86" i="49"/>
  <c r="E84" i="49"/>
  <c r="E82" i="49"/>
  <c r="E79" i="49"/>
  <c r="E77" i="49"/>
  <c r="E75" i="49"/>
  <c r="E73" i="49"/>
  <c r="E71" i="49"/>
  <c r="E69" i="49"/>
  <c r="E67" i="49"/>
  <c r="E65" i="49"/>
  <c r="E63" i="49"/>
  <c r="E61" i="49"/>
  <c r="E59" i="49"/>
  <c r="E57" i="49"/>
  <c r="E55" i="49"/>
  <c r="E53" i="49"/>
  <c r="E51" i="49"/>
  <c r="E49" i="49"/>
  <c r="A48" i="49"/>
  <c r="A46" i="49"/>
  <c r="E43" i="49"/>
  <c r="A120" i="49"/>
  <c r="A109" i="49"/>
  <c r="E90" i="49"/>
  <c r="E85" i="49"/>
  <c r="E83" i="49"/>
  <c r="A81" i="49"/>
  <c r="E72" i="49"/>
  <c r="E66" i="49"/>
  <c r="E62" i="49"/>
  <c r="E58" i="49"/>
  <c r="E54" i="49"/>
  <c r="E50" i="49"/>
  <c r="E46" i="49"/>
  <c r="A43" i="49"/>
  <c r="A127" i="49"/>
  <c r="A121" i="49"/>
  <c r="A116" i="49"/>
  <c r="A105" i="49"/>
  <c r="A99" i="49"/>
  <c r="A93" i="49"/>
  <c r="A91" i="49"/>
  <c r="E88" i="49"/>
  <c r="A86" i="49"/>
  <c r="A84" i="49"/>
  <c r="A79" i="49"/>
  <c r="A77" i="49"/>
  <c r="A75" i="49"/>
  <c r="A71" i="49"/>
  <c r="A69" i="49"/>
  <c r="A67" i="49"/>
  <c r="A65" i="49"/>
  <c r="A63" i="49"/>
  <c r="A61" i="49"/>
  <c r="A59" i="49"/>
  <c r="A57" i="49"/>
  <c r="A55" i="49"/>
  <c r="A53" i="49"/>
  <c r="A51" i="49"/>
  <c r="C49" i="49"/>
  <c r="E47" i="49"/>
  <c r="E45" i="49"/>
  <c r="C43" i="49"/>
  <c r="A126" i="49"/>
  <c r="A114" i="49"/>
  <c r="A98" i="49"/>
  <c r="E92" i="49"/>
  <c r="A88" i="49"/>
  <c r="E78" i="49"/>
  <c r="E76" i="49"/>
  <c r="E74" i="49"/>
  <c r="E70" i="49"/>
  <c r="E68" i="49"/>
  <c r="E64" i="49"/>
  <c r="E60" i="49"/>
  <c r="E56" i="49"/>
  <c r="E52" i="49"/>
  <c r="A49" i="49"/>
  <c r="A130" i="48"/>
  <c r="A119" i="48"/>
  <c r="A113" i="48"/>
  <c r="A107" i="48"/>
  <c r="A102" i="48"/>
  <c r="A92" i="48"/>
  <c r="A85" i="48"/>
  <c r="E80" i="48"/>
  <c r="A78" i="48"/>
  <c r="A76" i="48"/>
  <c r="A74" i="48"/>
  <c r="A72" i="48"/>
  <c r="A70" i="48"/>
  <c r="A68" i="48"/>
  <c r="A66" i="48"/>
  <c r="A64" i="48"/>
  <c r="A62" i="48"/>
  <c r="A60" i="48"/>
  <c r="A58" i="48"/>
  <c r="A56" i="48"/>
  <c r="A54" i="48"/>
  <c r="A52" i="48"/>
  <c r="A50" i="48"/>
  <c r="C46" i="48"/>
  <c r="E44" i="48"/>
  <c r="A71" i="48"/>
  <c r="A63" i="48"/>
  <c r="A59" i="48"/>
  <c r="A53" i="48"/>
  <c r="E47" i="48"/>
  <c r="C43" i="48"/>
  <c r="A126" i="48"/>
  <c r="A109" i="48"/>
  <c r="A81" i="48"/>
  <c r="E66" i="48"/>
  <c r="E56" i="48"/>
  <c r="E50" i="48"/>
  <c r="A128" i="48"/>
  <c r="A123" i="48"/>
  <c r="A112" i="48"/>
  <c r="A106" i="48"/>
  <c r="A100" i="48"/>
  <c r="A95" i="48"/>
  <c r="E91" i="48"/>
  <c r="E89" i="48"/>
  <c r="E86" i="48"/>
  <c r="E84" i="48"/>
  <c r="E82" i="48"/>
  <c r="E79" i="48"/>
  <c r="E77" i="48"/>
  <c r="E75" i="48"/>
  <c r="E73" i="48"/>
  <c r="E71" i="48"/>
  <c r="E69" i="48"/>
  <c r="E67" i="48"/>
  <c r="E65" i="48"/>
  <c r="E63" i="48"/>
  <c r="E61" i="48"/>
  <c r="E59" i="48"/>
  <c r="E57" i="48"/>
  <c r="E55" i="48"/>
  <c r="E53" i="48"/>
  <c r="E51" i="48"/>
  <c r="E49" i="48"/>
  <c r="A48" i="48"/>
  <c r="A46" i="48"/>
  <c r="E43" i="48"/>
  <c r="A127" i="48"/>
  <c r="A116" i="48"/>
  <c r="A99" i="48"/>
  <c r="A93" i="48"/>
  <c r="A91" i="48"/>
  <c r="A84" i="48"/>
  <c r="A79" i="48"/>
  <c r="A77" i="48"/>
  <c r="A75" i="48"/>
  <c r="A69" i="48"/>
  <c r="A67" i="48"/>
  <c r="A61" i="48"/>
  <c r="A57" i="48"/>
  <c r="A51" i="48"/>
  <c r="A114" i="48"/>
  <c r="E92" i="48"/>
  <c r="E90" i="48"/>
  <c r="E85" i="48"/>
  <c r="E83" i="48"/>
  <c r="E78" i="48"/>
  <c r="E76" i="48"/>
  <c r="E74" i="48"/>
  <c r="E72" i="48"/>
  <c r="E68" i="48"/>
  <c r="E64" i="48"/>
  <c r="E60" i="48"/>
  <c r="E54" i="48"/>
  <c r="A49" i="48"/>
  <c r="A43" i="48"/>
  <c r="A121" i="48"/>
  <c r="A105" i="48"/>
  <c r="E88" i="48"/>
  <c r="A86" i="48"/>
  <c r="A65" i="48"/>
  <c r="A55" i="48"/>
  <c r="C49" i="48"/>
  <c r="E45" i="48"/>
  <c r="A120" i="48"/>
  <c r="A98" i="48"/>
  <c r="A88" i="48"/>
  <c r="E70" i="48"/>
  <c r="E62" i="48"/>
  <c r="E58" i="48"/>
  <c r="E52" i="48"/>
  <c r="E46" i="48"/>
  <c r="A130" i="74"/>
  <c r="A119" i="74"/>
  <c r="A113" i="74"/>
  <c r="A107" i="74"/>
  <c r="A102" i="74"/>
  <c r="A92" i="74"/>
  <c r="A85" i="74"/>
  <c r="E80" i="74"/>
  <c r="A78" i="74"/>
  <c r="A76" i="74"/>
  <c r="A74" i="74"/>
  <c r="A72" i="74"/>
  <c r="A70" i="74"/>
  <c r="A68" i="74"/>
  <c r="A66" i="74"/>
  <c r="A64" i="74"/>
  <c r="A62" i="74"/>
  <c r="A60" i="74"/>
  <c r="A58" i="74"/>
  <c r="A56" i="74"/>
  <c r="A54" i="74"/>
  <c r="A52" i="74"/>
  <c r="A50" i="74"/>
  <c r="C46" i="74"/>
  <c r="E44" i="74"/>
  <c r="E83" i="74"/>
  <c r="E78" i="74"/>
  <c r="E76" i="74"/>
  <c r="E72" i="74"/>
  <c r="E70" i="74"/>
  <c r="E64" i="74"/>
  <c r="E60" i="74"/>
  <c r="E54" i="74"/>
  <c r="A49" i="74"/>
  <c r="A128" i="74"/>
  <c r="A123" i="74"/>
  <c r="A112" i="74"/>
  <c r="A106" i="74"/>
  <c r="A100" i="74"/>
  <c r="A95" i="74"/>
  <c r="E91" i="74"/>
  <c r="E89" i="74"/>
  <c r="E86" i="74"/>
  <c r="E84" i="74"/>
  <c r="E82" i="74"/>
  <c r="E79" i="74"/>
  <c r="E77" i="74"/>
  <c r="E75" i="74"/>
  <c r="E73" i="74"/>
  <c r="E71" i="74"/>
  <c r="E69" i="74"/>
  <c r="E67" i="74"/>
  <c r="E65" i="74"/>
  <c r="E63" i="74"/>
  <c r="E61" i="74"/>
  <c r="E59" i="74"/>
  <c r="E57" i="74"/>
  <c r="E55" i="74"/>
  <c r="E53" i="74"/>
  <c r="E51" i="74"/>
  <c r="E49" i="74"/>
  <c r="A48" i="74"/>
  <c r="A46" i="74"/>
  <c r="E43" i="74"/>
  <c r="C49" i="74"/>
  <c r="C43" i="74"/>
  <c r="A126" i="74"/>
  <c r="A114" i="74"/>
  <c r="A109" i="74"/>
  <c r="E92" i="74"/>
  <c r="A88" i="74"/>
  <c r="E74" i="74"/>
  <c r="E68" i="74"/>
  <c r="E62" i="74"/>
  <c r="E56" i="74"/>
  <c r="E52" i="74"/>
  <c r="E46" i="74"/>
  <c r="A43" i="74"/>
  <c r="A127" i="74"/>
  <c r="A121" i="74"/>
  <c r="A116" i="74"/>
  <c r="A105" i="74"/>
  <c r="A99" i="74"/>
  <c r="A93" i="74"/>
  <c r="A91" i="74"/>
  <c r="E88" i="74"/>
  <c r="A86" i="74"/>
  <c r="A84" i="74"/>
  <c r="A79" i="74"/>
  <c r="A77" i="74"/>
  <c r="A75" i="74"/>
  <c r="A71" i="74"/>
  <c r="A69" i="74"/>
  <c r="A67" i="74"/>
  <c r="A65" i="74"/>
  <c r="A63" i="74"/>
  <c r="A61" i="74"/>
  <c r="A59" i="74"/>
  <c r="A57" i="74"/>
  <c r="A55" i="74"/>
  <c r="A53" i="74"/>
  <c r="A51" i="74"/>
  <c r="E47" i="74"/>
  <c r="E45" i="74"/>
  <c r="A120" i="74"/>
  <c r="A98" i="74"/>
  <c r="E90" i="74"/>
  <c r="E85" i="74"/>
  <c r="A81" i="74"/>
  <c r="E66" i="74"/>
  <c r="E58" i="74"/>
  <c r="E50" i="74"/>
  <c r="A130" i="72"/>
  <c r="A119" i="72"/>
  <c r="A113" i="72"/>
  <c r="A107" i="72"/>
  <c r="A102" i="72"/>
  <c r="A92" i="72"/>
  <c r="A85" i="72"/>
  <c r="E80" i="72"/>
  <c r="A78" i="72"/>
  <c r="A76" i="72"/>
  <c r="A74" i="72"/>
  <c r="A72" i="72"/>
  <c r="A70" i="72"/>
  <c r="A68" i="72"/>
  <c r="A66" i="72"/>
  <c r="A64" i="72"/>
  <c r="A62" i="72"/>
  <c r="A60" i="72"/>
  <c r="A58" i="72"/>
  <c r="A56" i="72"/>
  <c r="A54" i="72"/>
  <c r="A52" i="72"/>
  <c r="A50" i="72"/>
  <c r="C46" i="72"/>
  <c r="E44" i="72"/>
  <c r="A69" i="72"/>
  <c r="A59" i="72"/>
  <c r="A53" i="72"/>
  <c r="E47" i="72"/>
  <c r="C43" i="72"/>
  <c r="A126" i="72"/>
  <c r="A98" i="72"/>
  <c r="E85" i="72"/>
  <c r="E78" i="72"/>
  <c r="E76" i="72"/>
  <c r="E74" i="72"/>
  <c r="E72" i="72"/>
  <c r="E68" i="72"/>
  <c r="E64" i="72"/>
  <c r="E62" i="72"/>
  <c r="E56" i="72"/>
  <c r="E52" i="72"/>
  <c r="A49" i="72"/>
  <c r="A43" i="72"/>
  <c r="A128" i="72"/>
  <c r="A123" i="72"/>
  <c r="A112" i="72"/>
  <c r="A106" i="72"/>
  <c r="A100" i="72"/>
  <c r="A95" i="72"/>
  <c r="E91" i="72"/>
  <c r="E89" i="72"/>
  <c r="E86" i="72"/>
  <c r="E84" i="72"/>
  <c r="E82" i="72"/>
  <c r="E79" i="72"/>
  <c r="E77" i="72"/>
  <c r="E75" i="72"/>
  <c r="E73" i="72"/>
  <c r="E71" i="72"/>
  <c r="E69" i="72"/>
  <c r="E67" i="72"/>
  <c r="E65" i="72"/>
  <c r="E63" i="72"/>
  <c r="E61" i="72"/>
  <c r="E59" i="72"/>
  <c r="E57" i="72"/>
  <c r="E55" i="72"/>
  <c r="E53" i="72"/>
  <c r="E51" i="72"/>
  <c r="E49" i="72"/>
  <c r="A48" i="72"/>
  <c r="A46" i="72"/>
  <c r="E43" i="72"/>
  <c r="A121" i="72"/>
  <c r="A105" i="72"/>
  <c r="A99" i="72"/>
  <c r="A91" i="72"/>
  <c r="A84" i="72"/>
  <c r="A79" i="72"/>
  <c r="A77" i="72"/>
  <c r="A75" i="72"/>
  <c r="A71" i="72"/>
  <c r="A65" i="72"/>
  <c r="A61" i="72"/>
  <c r="A55" i="72"/>
  <c r="C49" i="72"/>
  <c r="E45" i="72"/>
  <c r="A120" i="72"/>
  <c r="A109" i="72"/>
  <c r="E90" i="72"/>
  <c r="E83" i="72"/>
  <c r="A81" i="72"/>
  <c r="E66" i="72"/>
  <c r="E58" i="72"/>
  <c r="E50" i="72"/>
  <c r="E46" i="72"/>
  <c r="A127" i="72"/>
  <c r="A116" i="72"/>
  <c r="A93" i="72"/>
  <c r="E88" i="72"/>
  <c r="A86" i="72"/>
  <c r="A67" i="72"/>
  <c r="A63" i="72"/>
  <c r="A57" i="72"/>
  <c r="A51" i="72"/>
  <c r="A114" i="72"/>
  <c r="E92" i="72"/>
  <c r="A88" i="72"/>
  <c r="E70" i="72"/>
  <c r="E60" i="72"/>
  <c r="E54" i="72"/>
  <c r="A130" i="70"/>
  <c r="A119" i="70"/>
  <c r="A113" i="70"/>
  <c r="A107" i="70"/>
  <c r="A102" i="70"/>
  <c r="A92" i="70"/>
  <c r="A85" i="70"/>
  <c r="E80" i="70"/>
  <c r="A78" i="70"/>
  <c r="A76" i="70"/>
  <c r="A74" i="70"/>
  <c r="A72" i="70"/>
  <c r="A70" i="70"/>
  <c r="A68" i="70"/>
  <c r="A66" i="70"/>
  <c r="A64" i="70"/>
  <c r="A62" i="70"/>
  <c r="A60" i="70"/>
  <c r="A58" i="70"/>
  <c r="A56" i="70"/>
  <c r="A54" i="70"/>
  <c r="A52" i="70"/>
  <c r="A50" i="70"/>
  <c r="C46" i="70"/>
  <c r="E44" i="70"/>
  <c r="E52" i="70"/>
  <c r="A43" i="70"/>
  <c r="A128" i="70"/>
  <c r="A123" i="70"/>
  <c r="A112" i="70"/>
  <c r="A106" i="70"/>
  <c r="A100" i="70"/>
  <c r="A95" i="70"/>
  <c r="E91" i="70"/>
  <c r="E89" i="70"/>
  <c r="E86" i="70"/>
  <c r="E84" i="70"/>
  <c r="E82" i="70"/>
  <c r="E79" i="70"/>
  <c r="E77" i="70"/>
  <c r="E75" i="70"/>
  <c r="E73" i="70"/>
  <c r="E71" i="70"/>
  <c r="E69" i="70"/>
  <c r="E67" i="70"/>
  <c r="E65" i="70"/>
  <c r="E63" i="70"/>
  <c r="E61" i="70"/>
  <c r="E59" i="70"/>
  <c r="E57" i="70"/>
  <c r="E55" i="70"/>
  <c r="E53" i="70"/>
  <c r="E51" i="70"/>
  <c r="E49" i="70"/>
  <c r="A48" i="70"/>
  <c r="A46" i="70"/>
  <c r="E43" i="70"/>
  <c r="A120" i="70"/>
  <c r="A114" i="70"/>
  <c r="A109" i="70"/>
  <c r="E90" i="70"/>
  <c r="E85" i="70"/>
  <c r="E83" i="70"/>
  <c r="A81" i="70"/>
  <c r="E68" i="70"/>
  <c r="E64" i="70"/>
  <c r="E60" i="70"/>
  <c r="E56" i="70"/>
  <c r="A49" i="70"/>
  <c r="A127" i="70"/>
  <c r="A121" i="70"/>
  <c r="A116" i="70"/>
  <c r="A105" i="70"/>
  <c r="A99" i="70"/>
  <c r="A93" i="70"/>
  <c r="A91" i="70"/>
  <c r="E88" i="70"/>
  <c r="A86" i="70"/>
  <c r="A84" i="70"/>
  <c r="A79" i="70"/>
  <c r="A77" i="70"/>
  <c r="A75" i="70"/>
  <c r="A71" i="70"/>
  <c r="A69" i="70"/>
  <c r="A67" i="70"/>
  <c r="A65" i="70"/>
  <c r="A63" i="70"/>
  <c r="A61" i="70"/>
  <c r="A59" i="70"/>
  <c r="A57" i="70"/>
  <c r="A55" i="70"/>
  <c r="A53" i="70"/>
  <c r="A51" i="70"/>
  <c r="C49" i="70"/>
  <c r="E47" i="70"/>
  <c r="E45" i="70"/>
  <c r="C43" i="70"/>
  <c r="A126" i="70"/>
  <c r="A98" i="70"/>
  <c r="E92" i="70"/>
  <c r="A88" i="70"/>
  <c r="E78" i="70"/>
  <c r="E76" i="70"/>
  <c r="E74" i="70"/>
  <c r="E72" i="70"/>
  <c r="E70" i="70"/>
  <c r="E66" i="70"/>
  <c r="E62" i="70"/>
  <c r="E58" i="70"/>
  <c r="E54" i="70"/>
  <c r="E50" i="70"/>
  <c r="E46" i="70"/>
  <c r="A130" i="73"/>
  <c r="A119" i="73"/>
  <c r="A113" i="73"/>
  <c r="A107" i="73"/>
  <c r="A102" i="73"/>
  <c r="A92" i="73"/>
  <c r="A85" i="73"/>
  <c r="E80" i="73"/>
  <c r="A78" i="73"/>
  <c r="A76" i="73"/>
  <c r="A74" i="73"/>
  <c r="A72" i="73"/>
  <c r="A70" i="73"/>
  <c r="A68" i="73"/>
  <c r="A66" i="73"/>
  <c r="A64" i="73"/>
  <c r="A62" i="73"/>
  <c r="A60" i="73"/>
  <c r="A58" i="73"/>
  <c r="A56" i="73"/>
  <c r="A54" i="73"/>
  <c r="A52" i="73"/>
  <c r="A50" i="73"/>
  <c r="C46" i="73"/>
  <c r="E44" i="73"/>
  <c r="A99" i="73"/>
  <c r="A86" i="73"/>
  <c r="A77" i="73"/>
  <c r="A69" i="73"/>
  <c r="A65" i="73"/>
  <c r="A61" i="73"/>
  <c r="A57" i="73"/>
  <c r="A53" i="73"/>
  <c r="C49" i="73"/>
  <c r="E47" i="73"/>
  <c r="E45" i="73"/>
  <c r="C43" i="73"/>
  <c r="A126" i="73"/>
  <c r="A109" i="73"/>
  <c r="E92" i="73"/>
  <c r="A88" i="73"/>
  <c r="E78" i="73"/>
  <c r="E76" i="73"/>
  <c r="E74" i="73"/>
  <c r="E72" i="73"/>
  <c r="E68" i="73"/>
  <c r="E64" i="73"/>
  <c r="E60" i="73"/>
  <c r="E58" i="73"/>
  <c r="E54" i="73"/>
  <c r="E50" i="73"/>
  <c r="E46" i="73"/>
  <c r="A43" i="73"/>
  <c r="A128" i="73"/>
  <c r="A123" i="73"/>
  <c r="A112" i="73"/>
  <c r="A106" i="73"/>
  <c r="A100" i="73"/>
  <c r="A95" i="73"/>
  <c r="E91" i="73"/>
  <c r="E89" i="73"/>
  <c r="E86" i="73"/>
  <c r="E84" i="73"/>
  <c r="E82" i="73"/>
  <c r="E79" i="73"/>
  <c r="E77" i="73"/>
  <c r="E75" i="73"/>
  <c r="E73" i="73"/>
  <c r="E71" i="73"/>
  <c r="E69" i="73"/>
  <c r="E67" i="73"/>
  <c r="E65" i="73"/>
  <c r="E63" i="73"/>
  <c r="E61" i="73"/>
  <c r="E59" i="73"/>
  <c r="E57" i="73"/>
  <c r="E55" i="73"/>
  <c r="E53" i="73"/>
  <c r="E51" i="73"/>
  <c r="E49" i="73"/>
  <c r="A48" i="73"/>
  <c r="A46" i="73"/>
  <c r="E43" i="73"/>
  <c r="A127" i="73"/>
  <c r="A121" i="73"/>
  <c r="A116" i="73"/>
  <c r="A105" i="73"/>
  <c r="A93" i="73"/>
  <c r="A91" i="73"/>
  <c r="E88" i="73"/>
  <c r="A84" i="73"/>
  <c r="A79" i="73"/>
  <c r="A75" i="73"/>
  <c r="A71" i="73"/>
  <c r="A67" i="73"/>
  <c r="A63" i="73"/>
  <c r="A59" i="73"/>
  <c r="A55" i="73"/>
  <c r="A51" i="73"/>
  <c r="A120" i="73"/>
  <c r="A114" i="73"/>
  <c r="A98" i="73"/>
  <c r="E90" i="73"/>
  <c r="E85" i="73"/>
  <c r="E83" i="73"/>
  <c r="A81" i="73"/>
  <c r="E70" i="73"/>
  <c r="E66" i="73"/>
  <c r="E62" i="73"/>
  <c r="E56" i="73"/>
  <c r="E52" i="73"/>
  <c r="A49" i="73"/>
  <c r="A130" i="71"/>
  <c r="A119" i="71"/>
  <c r="A113" i="71"/>
  <c r="A107" i="71"/>
  <c r="A102" i="71"/>
  <c r="A92" i="71"/>
  <c r="A85" i="71"/>
  <c r="E80" i="71"/>
  <c r="A78" i="71"/>
  <c r="A76" i="71"/>
  <c r="A74" i="71"/>
  <c r="A72" i="71"/>
  <c r="A70" i="71"/>
  <c r="A68" i="71"/>
  <c r="A66" i="71"/>
  <c r="A64" i="71"/>
  <c r="A62" i="71"/>
  <c r="A60" i="71"/>
  <c r="A58" i="71"/>
  <c r="A56" i="71"/>
  <c r="A54" i="71"/>
  <c r="A52" i="71"/>
  <c r="A50" i="71"/>
  <c r="C46" i="71"/>
  <c r="E44" i="71"/>
  <c r="E66" i="71"/>
  <c r="E56" i="71"/>
  <c r="E50" i="71"/>
  <c r="A128" i="71"/>
  <c r="A123" i="71"/>
  <c r="A112" i="71"/>
  <c r="A106" i="71"/>
  <c r="A100" i="71"/>
  <c r="A95" i="71"/>
  <c r="E91" i="71"/>
  <c r="E89" i="71"/>
  <c r="E86" i="71"/>
  <c r="E84" i="71"/>
  <c r="E82" i="71"/>
  <c r="E79" i="71"/>
  <c r="E77" i="71"/>
  <c r="E75" i="71"/>
  <c r="E73" i="71"/>
  <c r="E71" i="71"/>
  <c r="E69" i="71"/>
  <c r="E67" i="71"/>
  <c r="E65" i="71"/>
  <c r="E63" i="71"/>
  <c r="E61" i="71"/>
  <c r="E59" i="71"/>
  <c r="E57" i="71"/>
  <c r="E55" i="71"/>
  <c r="E53" i="71"/>
  <c r="E51" i="71"/>
  <c r="E49" i="71"/>
  <c r="A48" i="71"/>
  <c r="A46" i="71"/>
  <c r="E43" i="71"/>
  <c r="C49" i="71"/>
  <c r="E47" i="71"/>
  <c r="E45" i="71"/>
  <c r="A126" i="71"/>
  <c r="A114" i="71"/>
  <c r="A98" i="71"/>
  <c r="E90" i="71"/>
  <c r="E85" i="71"/>
  <c r="E83" i="71"/>
  <c r="A81" i="71"/>
  <c r="E74" i="71"/>
  <c r="E68" i="71"/>
  <c r="E62" i="71"/>
  <c r="E58" i="71"/>
  <c r="E54" i="71"/>
  <c r="A49" i="71"/>
  <c r="A43" i="71"/>
  <c r="A127" i="71"/>
  <c r="A121" i="71"/>
  <c r="A116" i="71"/>
  <c r="A105" i="71"/>
  <c r="A99" i="71"/>
  <c r="A93" i="71"/>
  <c r="A91" i="71"/>
  <c r="E88" i="71"/>
  <c r="A86" i="71"/>
  <c r="A84" i="71"/>
  <c r="A79" i="71"/>
  <c r="A77" i="71"/>
  <c r="A75" i="71"/>
  <c r="A71" i="71"/>
  <c r="A69" i="71"/>
  <c r="A67" i="71"/>
  <c r="A65" i="71"/>
  <c r="A63" i="71"/>
  <c r="A61" i="71"/>
  <c r="A59" i="71"/>
  <c r="A57" i="71"/>
  <c r="A55" i="71"/>
  <c r="A53" i="71"/>
  <c r="A51" i="71"/>
  <c r="C43" i="71"/>
  <c r="A120" i="71"/>
  <c r="A109" i="71"/>
  <c r="E92" i="71"/>
  <c r="A88" i="71"/>
  <c r="E78" i="71"/>
  <c r="E76" i="71"/>
  <c r="E72" i="71"/>
  <c r="E70" i="71"/>
  <c r="E64" i="71"/>
  <c r="E60" i="71"/>
  <c r="E52" i="71"/>
  <c r="E46" i="71"/>
  <c r="A130" i="75"/>
  <c r="A119" i="75"/>
  <c r="A113" i="75"/>
  <c r="A107" i="75"/>
  <c r="A102" i="75"/>
  <c r="A92" i="75"/>
  <c r="A85" i="75"/>
  <c r="E80" i="75"/>
  <c r="A78" i="75"/>
  <c r="A76" i="75"/>
  <c r="A74" i="75"/>
  <c r="A72" i="75"/>
  <c r="A70" i="75"/>
  <c r="A68" i="75"/>
  <c r="A66" i="75"/>
  <c r="A64" i="75"/>
  <c r="A62" i="75"/>
  <c r="A60" i="75"/>
  <c r="A58" i="75"/>
  <c r="A56" i="75"/>
  <c r="A54" i="75"/>
  <c r="A52" i="75"/>
  <c r="A50" i="75"/>
  <c r="C46" i="75"/>
  <c r="E44" i="75"/>
  <c r="A65" i="75"/>
  <c r="A59" i="75"/>
  <c r="A53" i="75"/>
  <c r="C49" i="75"/>
  <c r="E47" i="75"/>
  <c r="E45" i="75"/>
  <c r="C43" i="75"/>
  <c r="A126" i="75"/>
  <c r="A114" i="75"/>
  <c r="A98" i="75"/>
  <c r="E92" i="75"/>
  <c r="A88" i="75"/>
  <c r="E78" i="75"/>
  <c r="E76" i="75"/>
  <c r="E74" i="75"/>
  <c r="E72" i="75"/>
  <c r="E68" i="75"/>
  <c r="E66" i="75"/>
  <c r="E62" i="75"/>
  <c r="E58" i="75"/>
  <c r="E54" i="75"/>
  <c r="E50" i="75"/>
  <c r="E46" i="75"/>
  <c r="A128" i="75"/>
  <c r="A123" i="75"/>
  <c r="A112" i="75"/>
  <c r="A106" i="75"/>
  <c r="A100" i="75"/>
  <c r="A95" i="75"/>
  <c r="E91" i="75"/>
  <c r="E89" i="75"/>
  <c r="E86" i="75"/>
  <c r="E84" i="75"/>
  <c r="E82" i="75"/>
  <c r="E79" i="75"/>
  <c r="E77" i="75"/>
  <c r="E75" i="75"/>
  <c r="E73" i="75"/>
  <c r="E71" i="75"/>
  <c r="E69" i="75"/>
  <c r="E67" i="75"/>
  <c r="E65" i="75"/>
  <c r="E63" i="75"/>
  <c r="E61" i="75"/>
  <c r="E59" i="75"/>
  <c r="E57" i="75"/>
  <c r="E55" i="75"/>
  <c r="E53" i="75"/>
  <c r="E51" i="75"/>
  <c r="E49" i="75"/>
  <c r="A48" i="75"/>
  <c r="A46" i="75"/>
  <c r="E43" i="75"/>
  <c r="A127" i="75"/>
  <c r="A121" i="75"/>
  <c r="A116" i="75"/>
  <c r="A105" i="75"/>
  <c r="A99" i="75"/>
  <c r="A93" i="75"/>
  <c r="A91" i="75"/>
  <c r="E88" i="75"/>
  <c r="A86" i="75"/>
  <c r="A84" i="75"/>
  <c r="A79" i="75"/>
  <c r="A77" i="75"/>
  <c r="A75" i="75"/>
  <c r="A71" i="75"/>
  <c r="A69" i="75"/>
  <c r="A67" i="75"/>
  <c r="A63" i="75"/>
  <c r="A61" i="75"/>
  <c r="A57" i="75"/>
  <c r="A55" i="75"/>
  <c r="A51" i="75"/>
  <c r="A120" i="75"/>
  <c r="A109" i="75"/>
  <c r="E90" i="75"/>
  <c r="E85" i="75"/>
  <c r="E83" i="75"/>
  <c r="A81" i="75"/>
  <c r="E70" i="75"/>
  <c r="E64" i="75"/>
  <c r="E60" i="75"/>
  <c r="E56" i="75"/>
  <c r="E52" i="75"/>
  <c r="A49" i="75"/>
  <c r="A43" i="75"/>
  <c r="C3" i="56" l="1"/>
  <c r="C3" i="69"/>
  <c r="C3" i="67"/>
  <c r="C3" i="52"/>
  <c r="C3" i="65"/>
  <c r="C3" i="64"/>
  <c r="C3" i="63"/>
  <c r="C3" i="53"/>
  <c r="C3" i="62"/>
  <c r="C3" i="59"/>
  <c r="C3" i="68"/>
  <c r="C3" i="60"/>
  <c r="C3" i="58"/>
  <c r="C3" i="57"/>
  <c r="C3" i="55"/>
  <c r="C3" i="50"/>
  <c r="C3" i="72"/>
  <c r="C3" i="49"/>
  <c r="C3" i="48"/>
  <c r="C3" i="74"/>
  <c r="C3" i="44"/>
  <c r="C3" i="73"/>
  <c r="C3" i="70"/>
  <c r="C3" i="71"/>
  <c r="C3" i="75"/>
  <c r="A125" i="68"/>
  <c r="A118" i="68"/>
  <c r="A111" i="68"/>
  <c r="A104" i="68"/>
  <c r="A97" i="68"/>
  <c r="A90" i="68"/>
  <c r="E87" i="68"/>
  <c r="A83" i="68"/>
  <c r="E81" i="68"/>
  <c r="A73" i="68"/>
  <c r="E48" i="68"/>
  <c r="A45" i="68"/>
  <c r="C40" i="68"/>
  <c r="A5" i="77"/>
  <c r="A9" i="77"/>
  <c r="A13" i="77"/>
  <c r="A17" i="77"/>
  <c r="A21" i="77"/>
  <c r="A25" i="77"/>
  <c r="A29" i="77"/>
  <c r="A33" i="77"/>
  <c r="A37" i="77"/>
  <c r="A41" i="77"/>
  <c r="A45" i="77"/>
  <c r="A49" i="77"/>
  <c r="A54" i="77"/>
  <c r="A53" i="77"/>
  <c r="A63" i="77"/>
  <c r="A67" i="77"/>
  <c r="A71" i="77"/>
  <c r="A75" i="77"/>
  <c r="A79" i="77"/>
  <c r="A83" i="77"/>
  <c r="A87" i="77"/>
  <c r="A91" i="77"/>
  <c r="A95" i="77"/>
  <c r="A99" i="77"/>
  <c r="A103" i="77"/>
  <c r="A105" i="77"/>
  <c r="A12" i="77"/>
  <c r="A32" i="77"/>
  <c r="A52" i="77"/>
  <c r="A66" i="77"/>
  <c r="A78" i="77"/>
  <c r="A94" i="77"/>
  <c r="A6" i="77"/>
  <c r="A10" i="77"/>
  <c r="A14" i="77"/>
  <c r="A18" i="77"/>
  <c r="A22" i="77"/>
  <c r="A26" i="77"/>
  <c r="A30" i="77"/>
  <c r="A34" i="77"/>
  <c r="A38" i="77"/>
  <c r="A42" i="77"/>
  <c r="A46" i="77"/>
  <c r="A50" i="77"/>
  <c r="A56" i="77"/>
  <c r="A55" i="77"/>
  <c r="A64" i="77"/>
  <c r="A68" i="77"/>
  <c r="A72" i="77"/>
  <c r="A76" i="77"/>
  <c r="A80" i="77"/>
  <c r="A84" i="77"/>
  <c r="A88" i="77"/>
  <c r="A92" i="77"/>
  <c r="A96" i="77"/>
  <c r="A100" i="77"/>
  <c r="A104" i="77"/>
  <c r="A8" i="77"/>
  <c r="A16" i="77"/>
  <c r="A24" i="77"/>
  <c r="A36" i="77"/>
  <c r="A48" i="77"/>
  <c r="A62" i="77"/>
  <c r="A74" i="77"/>
  <c r="A82" i="77"/>
  <c r="A90" i="77"/>
  <c r="A61" i="77"/>
  <c r="A3" i="77"/>
  <c r="A7" i="77"/>
  <c r="A11" i="77"/>
  <c r="A15" i="77"/>
  <c r="A19" i="77"/>
  <c r="A23" i="77"/>
  <c r="A27" i="77"/>
  <c r="A31" i="77"/>
  <c r="A35" i="77"/>
  <c r="A39" i="77"/>
  <c r="A43" i="77"/>
  <c r="A47" i="77"/>
  <c r="A51" i="77"/>
  <c r="A58" i="77"/>
  <c r="A57" i="77"/>
  <c r="A65" i="77"/>
  <c r="A69" i="77"/>
  <c r="A73" i="77"/>
  <c r="A77" i="77"/>
  <c r="A81" i="77"/>
  <c r="A85" i="77"/>
  <c r="A89" i="77"/>
  <c r="A93" i="77"/>
  <c r="A97" i="77"/>
  <c r="A101" i="77"/>
  <c r="A59" i="77"/>
  <c r="A4" i="77"/>
  <c r="A20" i="77"/>
  <c r="A28" i="77"/>
  <c r="A40" i="77"/>
  <c r="A44" i="77"/>
  <c r="A60" i="77"/>
  <c r="A70" i="77"/>
  <c r="A86" i="77"/>
  <c r="A98" i="77"/>
  <c r="A102" i="77"/>
  <c r="E85" i="68"/>
  <c r="E68" i="68"/>
  <c r="E52" i="68"/>
  <c r="E84" i="68"/>
  <c r="E62" i="68"/>
  <c r="E77" i="68"/>
  <c r="E55" i="68"/>
  <c r="E80" i="68"/>
  <c r="E64" i="68"/>
  <c r="E78" i="68"/>
  <c r="E57" i="68"/>
  <c r="E71" i="68"/>
  <c r="E50" i="68"/>
  <c r="E76" i="68"/>
  <c r="E51" i="68"/>
  <c r="E89" i="68"/>
  <c r="E70" i="68"/>
  <c r="E49" i="68"/>
  <c r="E72" i="68"/>
  <c r="E91" i="68"/>
  <c r="E83" i="68"/>
  <c r="E88" i="68"/>
  <c r="E65" i="68"/>
  <c r="E60" i="68"/>
  <c r="E73" i="68"/>
  <c r="E66" i="68"/>
  <c r="E82" i="68"/>
  <c r="E59" i="68"/>
  <c r="E74" i="68"/>
  <c r="E58" i="68"/>
  <c r="E67" i="68"/>
  <c r="E61" i="68"/>
  <c r="E75" i="68"/>
  <c r="E92" i="68"/>
  <c r="E90" i="68"/>
  <c r="E54" i="68"/>
  <c r="E69" i="68"/>
  <c r="E86" i="68"/>
  <c r="A119" i="68"/>
  <c r="A91" i="68"/>
  <c r="A68" i="68"/>
  <c r="A52" i="68"/>
  <c r="A128" i="68"/>
  <c r="A100" i="68"/>
  <c r="A75" i="68"/>
  <c r="A58" i="68"/>
  <c r="E45" i="68"/>
  <c r="A88" i="68"/>
  <c r="A51" i="68"/>
  <c r="A113" i="68"/>
  <c r="A65" i="68"/>
  <c r="E79" i="68"/>
  <c r="A112" i="68"/>
  <c r="A84" i="68"/>
  <c r="A64" i="68"/>
  <c r="A49" i="68"/>
  <c r="A130" i="68"/>
  <c r="A121" i="68"/>
  <c r="A93" i="68"/>
  <c r="A70" i="68"/>
  <c r="A54" i="68"/>
  <c r="A43" i="68"/>
  <c r="A76" i="68"/>
  <c r="A46" i="68"/>
  <c r="A99" i="68"/>
  <c r="A57" i="68"/>
  <c r="E53" i="68"/>
  <c r="E63" i="68"/>
  <c r="A105" i="68"/>
  <c r="A77" i="68"/>
  <c r="A60" i="68"/>
  <c r="C46" i="68"/>
  <c r="A123" i="68"/>
  <c r="A114" i="68"/>
  <c r="A86" i="68"/>
  <c r="A66" i="68"/>
  <c r="A50" i="68"/>
  <c r="A120" i="68"/>
  <c r="A67" i="68"/>
  <c r="A85" i="68"/>
  <c r="C49" i="68"/>
  <c r="A98" i="68"/>
  <c r="A62" i="68"/>
  <c r="A59" i="68"/>
  <c r="A71" i="68"/>
  <c r="A127" i="68"/>
  <c r="A48" i="68"/>
  <c r="E46" i="68"/>
  <c r="E56" i="68"/>
  <c r="A72" i="68"/>
  <c r="E47" i="68"/>
  <c r="A74" i="68"/>
  <c r="A55" i="68"/>
  <c r="A92" i="68"/>
  <c r="A109" i="68"/>
  <c r="A106" i="68"/>
  <c r="A56" i="68"/>
  <c r="A107" i="68"/>
  <c r="E44" i="68"/>
  <c r="C43" i="68"/>
  <c r="A69" i="68"/>
  <c r="A81" i="68"/>
  <c r="A78" i="68"/>
  <c r="E43" i="68"/>
  <c r="A53" i="68"/>
  <c r="A61" i="68"/>
  <c r="A126" i="68"/>
  <c r="A79" i="68"/>
  <c r="A102" i="68"/>
  <c r="A95" i="68"/>
  <c r="A63" i="68"/>
  <c r="A116" i="68"/>
  <c r="B61" i="77" l="1"/>
  <c r="C61" i="77" s="1"/>
  <c r="D61" i="77" s="1"/>
  <c r="E61" i="77" s="1"/>
  <c r="F61" i="77" s="1"/>
  <c r="G61" i="77" s="1"/>
  <c r="H61" i="77" s="1"/>
  <c r="I61" i="77" s="1"/>
  <c r="J61" i="77" s="1"/>
  <c r="K61" i="77" s="1"/>
  <c r="L61" i="77" s="1"/>
  <c r="B59" i="77"/>
  <c r="C59" i="77" s="1"/>
  <c r="D59" i="77" s="1"/>
  <c r="E59" i="77" s="1"/>
  <c r="F59" i="77" s="1"/>
  <c r="G59" i="77" s="1"/>
  <c r="H59" i="77" s="1"/>
  <c r="I59" i="77" s="1"/>
  <c r="J59" i="77" s="1"/>
  <c r="K59" i="77" s="1"/>
  <c r="L59" i="77" s="1"/>
  <c r="B104" i="77"/>
  <c r="C104" i="77" s="1"/>
  <c r="D104" i="77" s="1"/>
  <c r="E104" i="77" s="1"/>
  <c r="F104" i="77" s="1"/>
  <c r="G104" i="77" s="1"/>
  <c r="H104" i="77" s="1"/>
  <c r="I104" i="77" s="1"/>
  <c r="J104" i="77" s="1"/>
  <c r="K104" i="77" s="1"/>
  <c r="L104" i="77" s="1"/>
  <c r="B103" i="77"/>
  <c r="C103" i="77" s="1"/>
  <c r="D103" i="77" s="1"/>
  <c r="E103" i="77" s="1"/>
  <c r="F103" i="77" s="1"/>
  <c r="G103" i="77" s="1"/>
  <c r="H103" i="77" s="1"/>
  <c r="I103" i="77" s="1"/>
  <c r="J103" i="77" s="1"/>
  <c r="K103" i="77" s="1"/>
  <c r="L103" i="77" s="1"/>
  <c r="B102" i="77"/>
  <c r="C102" i="77" s="1"/>
  <c r="D102" i="77" s="1"/>
  <c r="E102" i="77" s="1"/>
  <c r="F102" i="77" s="1"/>
  <c r="G102" i="77" s="1"/>
  <c r="H102" i="77" s="1"/>
  <c r="I102" i="77" s="1"/>
  <c r="J102" i="77" s="1"/>
  <c r="K102" i="77" s="1"/>
  <c r="L102" i="77" s="1"/>
  <c r="B101" i="77"/>
  <c r="C101" i="77" s="1"/>
  <c r="D101" i="77" s="1"/>
  <c r="E101" i="77" s="1"/>
  <c r="F101" i="77" s="1"/>
  <c r="G101" i="77" s="1"/>
  <c r="H101" i="77" s="1"/>
  <c r="I101" i="77" s="1"/>
  <c r="J101" i="77" s="1"/>
  <c r="K101" i="77" s="1"/>
  <c r="L101" i="77" s="1"/>
  <c r="B100" i="77"/>
  <c r="C100" i="77" s="1"/>
  <c r="D100" i="77" s="1"/>
  <c r="E100" i="77" s="1"/>
  <c r="F100" i="77" s="1"/>
  <c r="G100" i="77" s="1"/>
  <c r="H100" i="77" s="1"/>
  <c r="I100" i="77" s="1"/>
  <c r="J100" i="77" s="1"/>
  <c r="K100" i="77" s="1"/>
  <c r="L100" i="77" s="1"/>
  <c r="B99" i="77"/>
  <c r="C99" i="77" s="1"/>
  <c r="D99" i="77" s="1"/>
  <c r="E99" i="77" s="1"/>
  <c r="F99" i="77" s="1"/>
  <c r="G99" i="77" s="1"/>
  <c r="H99" i="77" s="1"/>
  <c r="I99" i="77" s="1"/>
  <c r="J99" i="77" s="1"/>
  <c r="K99" i="77" s="1"/>
  <c r="L99" i="77" s="1"/>
  <c r="B98" i="77"/>
  <c r="C98" i="77" s="1"/>
  <c r="D98" i="77" s="1"/>
  <c r="E98" i="77" s="1"/>
  <c r="F98" i="77" s="1"/>
  <c r="G98" i="77" s="1"/>
  <c r="H98" i="77" s="1"/>
  <c r="I98" i="77" s="1"/>
  <c r="J98" i="77" s="1"/>
  <c r="K98" i="77" s="1"/>
  <c r="L98" i="77" s="1"/>
  <c r="B97" i="77"/>
  <c r="C97" i="77" s="1"/>
  <c r="D97" i="77" s="1"/>
  <c r="E97" i="77" s="1"/>
  <c r="F97" i="77" s="1"/>
  <c r="G97" i="77" s="1"/>
  <c r="H97" i="77" s="1"/>
  <c r="I97" i="77" s="1"/>
  <c r="J97" i="77" s="1"/>
  <c r="K97" i="77" s="1"/>
  <c r="L97" i="77" s="1"/>
  <c r="B96" i="77"/>
  <c r="C96" i="77" s="1"/>
  <c r="D96" i="77" s="1"/>
  <c r="E96" i="77" s="1"/>
  <c r="F96" i="77" s="1"/>
  <c r="G96" i="77" s="1"/>
  <c r="H96" i="77" s="1"/>
  <c r="I96" i="77" s="1"/>
  <c r="J96" i="77" s="1"/>
  <c r="K96" i="77" s="1"/>
  <c r="L96" i="77" s="1"/>
  <c r="B95" i="77"/>
  <c r="C95" i="77" s="1"/>
  <c r="D95" i="77" s="1"/>
  <c r="E95" i="77" s="1"/>
  <c r="F95" i="77" s="1"/>
  <c r="G95" i="77" s="1"/>
  <c r="H95" i="77" s="1"/>
  <c r="I95" i="77" s="1"/>
  <c r="J95" i="77" s="1"/>
  <c r="K95" i="77" s="1"/>
  <c r="L95" i="77" s="1"/>
  <c r="B94" i="77"/>
  <c r="C94" i="77" s="1"/>
  <c r="D94" i="77" s="1"/>
  <c r="E94" i="77" s="1"/>
  <c r="F94" i="77" s="1"/>
  <c r="G94" i="77" s="1"/>
  <c r="H94" i="77" s="1"/>
  <c r="I94" i="77" s="1"/>
  <c r="J94" i="77" s="1"/>
  <c r="K94" i="77" s="1"/>
  <c r="L94" i="77" s="1"/>
  <c r="B93" i="77"/>
  <c r="C93" i="77" s="1"/>
  <c r="D93" i="77" s="1"/>
  <c r="E93" i="77" s="1"/>
  <c r="F93" i="77" s="1"/>
  <c r="G93" i="77" s="1"/>
  <c r="H93" i="77" s="1"/>
  <c r="I93" i="77" s="1"/>
  <c r="J93" i="77" s="1"/>
  <c r="K93" i="77" s="1"/>
  <c r="L93" i="77" s="1"/>
  <c r="B92" i="77"/>
  <c r="C92" i="77" s="1"/>
  <c r="D92" i="77" s="1"/>
  <c r="E92" i="77" s="1"/>
  <c r="F92" i="77" s="1"/>
  <c r="G92" i="77" s="1"/>
  <c r="H92" i="77" s="1"/>
  <c r="I92" i="77" s="1"/>
  <c r="J92" i="77" s="1"/>
  <c r="K92" i="77" s="1"/>
  <c r="L92" i="77" s="1"/>
  <c r="B91" i="77"/>
  <c r="C91" i="77" s="1"/>
  <c r="D91" i="77" s="1"/>
  <c r="E91" i="77" s="1"/>
  <c r="F91" i="77" s="1"/>
  <c r="G91" i="77" s="1"/>
  <c r="H91" i="77" s="1"/>
  <c r="I91" i="77" s="1"/>
  <c r="J91" i="77" s="1"/>
  <c r="K91" i="77" s="1"/>
  <c r="L91" i="77" s="1"/>
  <c r="B90" i="77"/>
  <c r="C90" i="77" s="1"/>
  <c r="D90" i="77" s="1"/>
  <c r="E90" i="77" s="1"/>
  <c r="F90" i="77" s="1"/>
  <c r="G90" i="77" s="1"/>
  <c r="H90" i="77" s="1"/>
  <c r="I90" i="77" s="1"/>
  <c r="J90" i="77" s="1"/>
  <c r="K90" i="77" s="1"/>
  <c r="L90" i="77" s="1"/>
  <c r="B89" i="77"/>
  <c r="C89" i="77" s="1"/>
  <c r="D89" i="77" s="1"/>
  <c r="E89" i="77" s="1"/>
  <c r="F89" i="77" s="1"/>
  <c r="G89" i="77" s="1"/>
  <c r="H89" i="77" s="1"/>
  <c r="I89" i="77" s="1"/>
  <c r="J89" i="77" s="1"/>
  <c r="K89" i="77" s="1"/>
  <c r="L89" i="77" s="1"/>
  <c r="B88" i="77"/>
  <c r="C88" i="77" s="1"/>
  <c r="D88" i="77" s="1"/>
  <c r="E88" i="77" s="1"/>
  <c r="F88" i="77" s="1"/>
  <c r="G88" i="77" s="1"/>
  <c r="H88" i="77" s="1"/>
  <c r="I88" i="77" s="1"/>
  <c r="J88" i="77" s="1"/>
  <c r="K88" i="77" s="1"/>
  <c r="L88" i="77" s="1"/>
  <c r="B87" i="77"/>
  <c r="C87" i="77" s="1"/>
  <c r="D87" i="77" s="1"/>
  <c r="E87" i="77" s="1"/>
  <c r="F87" i="77" s="1"/>
  <c r="G87" i="77" s="1"/>
  <c r="H87" i="77" s="1"/>
  <c r="I87" i="77" s="1"/>
  <c r="J87" i="77" s="1"/>
  <c r="K87" i="77" s="1"/>
  <c r="L87" i="77" s="1"/>
  <c r="B86" i="77"/>
  <c r="C86" i="77" s="1"/>
  <c r="D86" i="77" s="1"/>
  <c r="E86" i="77" s="1"/>
  <c r="F86" i="77" s="1"/>
  <c r="G86" i="77" s="1"/>
  <c r="H86" i="77" s="1"/>
  <c r="I86" i="77" s="1"/>
  <c r="J86" i="77" s="1"/>
  <c r="K86" i="77" s="1"/>
  <c r="L86" i="77" s="1"/>
  <c r="B85" i="77"/>
  <c r="C85" i="77" s="1"/>
  <c r="D85" i="77" s="1"/>
  <c r="E85" i="77" s="1"/>
  <c r="F85" i="77" s="1"/>
  <c r="G85" i="77" s="1"/>
  <c r="H85" i="77" s="1"/>
  <c r="I85" i="77" s="1"/>
  <c r="J85" i="77" s="1"/>
  <c r="K85" i="77" s="1"/>
  <c r="L85" i="77" s="1"/>
  <c r="B84" i="77"/>
  <c r="C84" i="77" s="1"/>
  <c r="D84" i="77" s="1"/>
  <c r="E84" i="77" s="1"/>
  <c r="F84" i="77" s="1"/>
  <c r="G84" i="77" s="1"/>
  <c r="H84" i="77" s="1"/>
  <c r="I84" i="77" s="1"/>
  <c r="J84" i="77" s="1"/>
  <c r="K84" i="77" s="1"/>
  <c r="L84" i="77" s="1"/>
  <c r="B83" i="77"/>
  <c r="C83" i="77" s="1"/>
  <c r="D83" i="77" s="1"/>
  <c r="E83" i="77" s="1"/>
  <c r="F83" i="77" s="1"/>
  <c r="G83" i="77" s="1"/>
  <c r="H83" i="77" s="1"/>
  <c r="I83" i="77" s="1"/>
  <c r="J83" i="77" s="1"/>
  <c r="K83" i="77" s="1"/>
  <c r="L83" i="77" s="1"/>
  <c r="B82" i="77"/>
  <c r="C82" i="77" s="1"/>
  <c r="D82" i="77" s="1"/>
  <c r="E82" i="77" s="1"/>
  <c r="F82" i="77" s="1"/>
  <c r="G82" i="77" s="1"/>
  <c r="H82" i="77" s="1"/>
  <c r="I82" i="77" s="1"/>
  <c r="J82" i="77" s="1"/>
  <c r="K82" i="77" s="1"/>
  <c r="L82" i="77" s="1"/>
  <c r="B81" i="77"/>
  <c r="C81" i="77" s="1"/>
  <c r="D81" i="77" s="1"/>
  <c r="E81" i="77" s="1"/>
  <c r="F81" i="77" s="1"/>
  <c r="G81" i="77" s="1"/>
  <c r="H81" i="77" s="1"/>
  <c r="I81" i="77" s="1"/>
  <c r="J81" i="77" s="1"/>
  <c r="K81" i="77" s="1"/>
  <c r="L81" i="77" s="1"/>
  <c r="B80" i="77"/>
  <c r="C80" i="77" s="1"/>
  <c r="D80" i="77" s="1"/>
  <c r="E80" i="77" s="1"/>
  <c r="F80" i="77" s="1"/>
  <c r="G80" i="77" s="1"/>
  <c r="H80" i="77" s="1"/>
  <c r="I80" i="77" s="1"/>
  <c r="J80" i="77" s="1"/>
  <c r="K80" i="77" s="1"/>
  <c r="L80" i="77" s="1"/>
  <c r="B79" i="77"/>
  <c r="C79" i="77" s="1"/>
  <c r="D79" i="77" s="1"/>
  <c r="E79" i="77" s="1"/>
  <c r="F79" i="77" s="1"/>
  <c r="G79" i="77" s="1"/>
  <c r="H79" i="77" s="1"/>
  <c r="I79" i="77" s="1"/>
  <c r="J79" i="77" s="1"/>
  <c r="K79" i="77" s="1"/>
  <c r="L79" i="77" s="1"/>
  <c r="B78" i="77"/>
  <c r="C78" i="77" s="1"/>
  <c r="D78" i="77" s="1"/>
  <c r="E78" i="77" s="1"/>
  <c r="F78" i="77" s="1"/>
  <c r="G78" i="77" s="1"/>
  <c r="H78" i="77" s="1"/>
  <c r="I78" i="77" s="1"/>
  <c r="J78" i="77" s="1"/>
  <c r="K78" i="77" s="1"/>
  <c r="L78" i="77" s="1"/>
  <c r="B77" i="77"/>
  <c r="C77" i="77" s="1"/>
  <c r="D77" i="77" s="1"/>
  <c r="E77" i="77" s="1"/>
  <c r="F77" i="77" s="1"/>
  <c r="G77" i="77" s="1"/>
  <c r="H77" i="77" s="1"/>
  <c r="I77" i="77" s="1"/>
  <c r="J77" i="77" s="1"/>
  <c r="K77" i="77" s="1"/>
  <c r="L77" i="77" s="1"/>
  <c r="B76" i="77"/>
  <c r="C76" i="77" s="1"/>
  <c r="D76" i="77" s="1"/>
  <c r="E76" i="77" s="1"/>
  <c r="F76" i="77" s="1"/>
  <c r="G76" i="77" s="1"/>
  <c r="H76" i="77" s="1"/>
  <c r="I76" i="77" s="1"/>
  <c r="J76" i="77" s="1"/>
  <c r="K76" i="77" s="1"/>
  <c r="L76" i="77" s="1"/>
  <c r="B75" i="77"/>
  <c r="C75" i="77" s="1"/>
  <c r="D75" i="77" s="1"/>
  <c r="E75" i="77" s="1"/>
  <c r="F75" i="77" s="1"/>
  <c r="G75" i="77" s="1"/>
  <c r="H75" i="77" s="1"/>
  <c r="I75" i="77" s="1"/>
  <c r="J75" i="77" s="1"/>
  <c r="K75" i="77" s="1"/>
  <c r="L75" i="77" s="1"/>
  <c r="B74" i="77"/>
  <c r="C74" i="77" s="1"/>
  <c r="D74" i="77" s="1"/>
  <c r="E74" i="77" s="1"/>
  <c r="F74" i="77" s="1"/>
  <c r="G74" i="77" s="1"/>
  <c r="H74" i="77" s="1"/>
  <c r="I74" i="77" s="1"/>
  <c r="J74" i="77" s="1"/>
  <c r="K74" i="77" s="1"/>
  <c r="L74" i="77" s="1"/>
  <c r="B73" i="77"/>
  <c r="C73" i="77" s="1"/>
  <c r="D73" i="77" s="1"/>
  <c r="E73" i="77" s="1"/>
  <c r="F73" i="77" s="1"/>
  <c r="G73" i="77" s="1"/>
  <c r="H73" i="77" s="1"/>
  <c r="I73" i="77" s="1"/>
  <c r="J73" i="77" s="1"/>
  <c r="K73" i="77" s="1"/>
  <c r="L73" i="77" s="1"/>
  <c r="B72" i="77"/>
  <c r="C72" i="77" s="1"/>
  <c r="D72" i="77" s="1"/>
  <c r="E72" i="77" s="1"/>
  <c r="F72" i="77" s="1"/>
  <c r="G72" i="77" s="1"/>
  <c r="H72" i="77" s="1"/>
  <c r="I72" i="77" s="1"/>
  <c r="J72" i="77" s="1"/>
  <c r="K72" i="77" s="1"/>
  <c r="L72" i="77" s="1"/>
  <c r="B71" i="77"/>
  <c r="C71" i="77" s="1"/>
  <c r="D71" i="77" s="1"/>
  <c r="E71" i="77" s="1"/>
  <c r="F71" i="77" s="1"/>
  <c r="G71" i="77" s="1"/>
  <c r="H71" i="77" s="1"/>
  <c r="I71" i="77" s="1"/>
  <c r="J71" i="77" s="1"/>
  <c r="K71" i="77" s="1"/>
  <c r="L71" i="77" s="1"/>
  <c r="B70" i="77"/>
  <c r="C70" i="77" s="1"/>
  <c r="D70" i="77" s="1"/>
  <c r="E70" i="77" s="1"/>
  <c r="F70" i="77" s="1"/>
  <c r="G70" i="77" s="1"/>
  <c r="H70" i="77" s="1"/>
  <c r="I70" i="77" s="1"/>
  <c r="J70" i="77" s="1"/>
  <c r="K70" i="77" s="1"/>
  <c r="L70" i="77" s="1"/>
  <c r="B69" i="77"/>
  <c r="C69" i="77" s="1"/>
  <c r="D69" i="77" s="1"/>
  <c r="E69" i="77" s="1"/>
  <c r="F69" i="77" s="1"/>
  <c r="G69" i="77" s="1"/>
  <c r="H69" i="77" s="1"/>
  <c r="I69" i="77" s="1"/>
  <c r="J69" i="77" s="1"/>
  <c r="K69" i="77" s="1"/>
  <c r="L69" i="77" s="1"/>
  <c r="B68" i="77"/>
  <c r="C68" i="77" s="1"/>
  <c r="D68" i="77" s="1"/>
  <c r="E68" i="77" s="1"/>
  <c r="F68" i="77" s="1"/>
  <c r="G68" i="77" s="1"/>
  <c r="H68" i="77" s="1"/>
  <c r="I68" i="77" s="1"/>
  <c r="J68" i="77" s="1"/>
  <c r="K68" i="77" s="1"/>
  <c r="L68" i="77" s="1"/>
  <c r="B67" i="77"/>
  <c r="C67" i="77" s="1"/>
  <c r="D67" i="77" s="1"/>
  <c r="E67" i="77" s="1"/>
  <c r="F67" i="77" s="1"/>
  <c r="G67" i="77" s="1"/>
  <c r="H67" i="77" s="1"/>
  <c r="I67" i="77" s="1"/>
  <c r="J67" i="77" s="1"/>
  <c r="K67" i="77" s="1"/>
  <c r="L67" i="77" s="1"/>
  <c r="B66" i="77"/>
  <c r="C66" i="77" s="1"/>
  <c r="D66" i="77" s="1"/>
  <c r="E66" i="77" s="1"/>
  <c r="F66" i="77" s="1"/>
  <c r="G66" i="77" s="1"/>
  <c r="H66" i="77" s="1"/>
  <c r="I66" i="77" s="1"/>
  <c r="J66" i="77" s="1"/>
  <c r="K66" i="77" s="1"/>
  <c r="L66" i="77" s="1"/>
  <c r="B65" i="77"/>
  <c r="C65" i="77" s="1"/>
  <c r="D65" i="77" s="1"/>
  <c r="E65" i="77" s="1"/>
  <c r="F65" i="77" s="1"/>
  <c r="G65" i="77" s="1"/>
  <c r="H65" i="77" s="1"/>
  <c r="I65" i="77" s="1"/>
  <c r="J65" i="77" s="1"/>
  <c r="K65" i="77" s="1"/>
  <c r="L65" i="77" s="1"/>
  <c r="B64" i="77"/>
  <c r="C64" i="77" s="1"/>
  <c r="D64" i="77" s="1"/>
  <c r="E64" i="77" s="1"/>
  <c r="F64" i="77" s="1"/>
  <c r="G64" i="77" s="1"/>
  <c r="H64" i="77" s="1"/>
  <c r="I64" i="77" s="1"/>
  <c r="J64" i="77" s="1"/>
  <c r="K64" i="77" s="1"/>
  <c r="L64" i="77" s="1"/>
  <c r="B63" i="77"/>
  <c r="C63" i="77" s="1"/>
  <c r="D63" i="77" s="1"/>
  <c r="E63" i="77" s="1"/>
  <c r="F63" i="77" s="1"/>
  <c r="G63" i="77" s="1"/>
  <c r="H63" i="77" s="1"/>
  <c r="I63" i="77" s="1"/>
  <c r="J63" i="77" s="1"/>
  <c r="K63" i="77" s="1"/>
  <c r="L63" i="77" s="1"/>
  <c r="B62" i="77"/>
  <c r="C62" i="77" s="1"/>
  <c r="D62" i="77" s="1"/>
  <c r="E62" i="77" s="1"/>
  <c r="F62" i="77" s="1"/>
  <c r="G62" i="77" s="1"/>
  <c r="H62" i="77" s="1"/>
  <c r="I62" i="77" s="1"/>
  <c r="J62" i="77" s="1"/>
  <c r="K62" i="77" s="1"/>
  <c r="L62" i="77" s="1"/>
  <c r="B57" i="77"/>
  <c r="C57" i="77" s="1"/>
  <c r="D57" i="77" s="1"/>
  <c r="E57" i="77" s="1"/>
  <c r="F57" i="77" s="1"/>
  <c r="G57" i="77" s="1"/>
  <c r="H57" i="77" s="1"/>
  <c r="I57" i="77" s="1"/>
  <c r="J57" i="77" s="1"/>
  <c r="K57" i="77" s="1"/>
  <c r="L57" i="77" s="1"/>
  <c r="B55" i="77"/>
  <c r="C55" i="77" s="1"/>
  <c r="D55" i="77" s="1"/>
  <c r="E55" i="77" s="1"/>
  <c r="F55" i="77" s="1"/>
  <c r="G55" i="77" s="1"/>
  <c r="H55" i="77" s="1"/>
  <c r="I55" i="77" s="1"/>
  <c r="J55" i="77" s="1"/>
  <c r="K55" i="77" s="1"/>
  <c r="L55" i="77" s="1"/>
  <c r="B53" i="77"/>
  <c r="C53" i="77" s="1"/>
  <c r="D53" i="77" s="1"/>
  <c r="E53" i="77" s="1"/>
  <c r="F53" i="77" s="1"/>
  <c r="G53" i="77" s="1"/>
  <c r="H53" i="77" s="1"/>
  <c r="I53" i="77" s="1"/>
  <c r="J53" i="77" s="1"/>
  <c r="K53" i="77" s="1"/>
  <c r="L53" i="77" s="1"/>
  <c r="B60" i="77"/>
  <c r="C60" i="77" s="1"/>
  <c r="D60" i="77" s="1"/>
  <c r="E60" i="77" s="1"/>
  <c r="F60" i="77" s="1"/>
  <c r="G60" i="77" s="1"/>
  <c r="H60" i="77" s="1"/>
  <c r="I60" i="77" s="1"/>
  <c r="J60" i="77" s="1"/>
  <c r="K60" i="77" s="1"/>
  <c r="L60" i="77" s="1"/>
  <c r="B58" i="77"/>
  <c r="C58" i="77" s="1"/>
  <c r="D58" i="77" s="1"/>
  <c r="E58" i="77" s="1"/>
  <c r="F58" i="77" s="1"/>
  <c r="G58" i="77" s="1"/>
  <c r="H58" i="77" s="1"/>
  <c r="I58" i="77" s="1"/>
  <c r="J58" i="77" s="1"/>
  <c r="K58" i="77" s="1"/>
  <c r="L58" i="77" s="1"/>
  <c r="B56" i="77"/>
  <c r="C56" i="77" s="1"/>
  <c r="D56" i="77" s="1"/>
  <c r="E56" i="77" s="1"/>
  <c r="F56" i="77" s="1"/>
  <c r="G56" i="77" s="1"/>
  <c r="H56" i="77" s="1"/>
  <c r="I56" i="77" s="1"/>
  <c r="J56" i="77" s="1"/>
  <c r="K56" i="77" s="1"/>
  <c r="L56" i="77" s="1"/>
  <c r="B54" i="77"/>
  <c r="C54" i="77" s="1"/>
  <c r="D54" i="77" s="1"/>
  <c r="E54" i="77" s="1"/>
  <c r="F54" i="77" s="1"/>
  <c r="G54" i="77" s="1"/>
  <c r="H54" i="77" s="1"/>
  <c r="I54" i="77" s="1"/>
  <c r="J54" i="77" s="1"/>
  <c r="K54" i="77" s="1"/>
  <c r="L54" i="77" s="1"/>
  <c r="B52" i="77"/>
  <c r="C52" i="77" s="1"/>
  <c r="D52" i="77" s="1"/>
  <c r="E52" i="77" s="1"/>
  <c r="F52" i="77" s="1"/>
  <c r="G52" i="77" s="1"/>
  <c r="H52" i="77" s="1"/>
  <c r="I52" i="77" s="1"/>
  <c r="J52" i="77" s="1"/>
  <c r="K52" i="77" s="1"/>
  <c r="L52" i="77" s="1"/>
  <c r="B51" i="77"/>
  <c r="C51" i="77" s="1"/>
  <c r="D51" i="77" s="1"/>
  <c r="E51" i="77" s="1"/>
  <c r="F51" i="77" s="1"/>
  <c r="G51" i="77" s="1"/>
  <c r="H51" i="77" s="1"/>
  <c r="I51" i="77" s="1"/>
  <c r="J51" i="77" s="1"/>
  <c r="K51" i="77" s="1"/>
  <c r="L51" i="77" s="1"/>
  <c r="B50" i="77"/>
  <c r="C50" i="77" s="1"/>
  <c r="D50" i="77" s="1"/>
  <c r="E50" i="77" s="1"/>
  <c r="F50" i="77" s="1"/>
  <c r="G50" i="77" s="1"/>
  <c r="H50" i="77" s="1"/>
  <c r="I50" i="77" s="1"/>
  <c r="J50" i="77" s="1"/>
  <c r="K50" i="77" s="1"/>
  <c r="L50" i="77" s="1"/>
  <c r="B49" i="77"/>
  <c r="C49" i="77" s="1"/>
  <c r="D49" i="77" s="1"/>
  <c r="E49" i="77" s="1"/>
  <c r="F49" i="77" s="1"/>
  <c r="G49" i="77" s="1"/>
  <c r="H49" i="77" s="1"/>
  <c r="I49" i="77" s="1"/>
  <c r="J49" i="77" s="1"/>
  <c r="K49" i="77" s="1"/>
  <c r="L49" i="77" s="1"/>
  <c r="B48" i="77"/>
  <c r="C48" i="77" s="1"/>
  <c r="D48" i="77" s="1"/>
  <c r="E48" i="77" s="1"/>
  <c r="F48" i="77" s="1"/>
  <c r="G48" i="77" s="1"/>
  <c r="H48" i="77" s="1"/>
  <c r="I48" i="77" s="1"/>
  <c r="J48" i="77" s="1"/>
  <c r="K48" i="77" s="1"/>
  <c r="L48" i="77" s="1"/>
  <c r="B47" i="77"/>
  <c r="C47" i="77" s="1"/>
  <c r="D47" i="77" s="1"/>
  <c r="E47" i="77" s="1"/>
  <c r="F47" i="77" s="1"/>
  <c r="G47" i="77" s="1"/>
  <c r="H47" i="77" s="1"/>
  <c r="I47" i="77" s="1"/>
  <c r="J47" i="77" s="1"/>
  <c r="K47" i="77" s="1"/>
  <c r="L47" i="77" s="1"/>
  <c r="B46" i="77"/>
  <c r="C46" i="77" s="1"/>
  <c r="D46" i="77" s="1"/>
  <c r="E46" i="77" s="1"/>
  <c r="F46" i="77" s="1"/>
  <c r="G46" i="77" s="1"/>
  <c r="H46" i="77" s="1"/>
  <c r="I46" i="77" s="1"/>
  <c r="J46" i="77" s="1"/>
  <c r="K46" i="77" s="1"/>
  <c r="L46" i="77" s="1"/>
  <c r="B45" i="77"/>
  <c r="C45" i="77" s="1"/>
  <c r="D45" i="77" s="1"/>
  <c r="E45" i="77" s="1"/>
  <c r="F45" i="77" s="1"/>
  <c r="G45" i="77" s="1"/>
  <c r="H45" i="77" s="1"/>
  <c r="I45" i="77" s="1"/>
  <c r="J45" i="77" s="1"/>
  <c r="K45" i="77" s="1"/>
  <c r="L45" i="77" s="1"/>
  <c r="B44" i="77"/>
  <c r="C44" i="77" s="1"/>
  <c r="D44" i="77" s="1"/>
  <c r="E44" i="77" s="1"/>
  <c r="F44" i="77" s="1"/>
  <c r="G44" i="77" s="1"/>
  <c r="H44" i="77" s="1"/>
  <c r="I44" i="77" s="1"/>
  <c r="J44" i="77" s="1"/>
  <c r="K44" i="77" s="1"/>
  <c r="L44" i="77" s="1"/>
  <c r="B43" i="77"/>
  <c r="C43" i="77" s="1"/>
  <c r="D43" i="77" s="1"/>
  <c r="E43" i="77" s="1"/>
  <c r="F43" i="77" s="1"/>
  <c r="G43" i="77" s="1"/>
  <c r="H43" i="77" s="1"/>
  <c r="I43" i="77" s="1"/>
  <c r="J43" i="77" s="1"/>
  <c r="K43" i="77" s="1"/>
  <c r="L43" i="77" s="1"/>
  <c r="B42" i="77"/>
  <c r="C42" i="77" s="1"/>
  <c r="D42" i="77" s="1"/>
  <c r="E42" i="77" s="1"/>
  <c r="F42" i="77" s="1"/>
  <c r="G42" i="77" s="1"/>
  <c r="H42" i="77" s="1"/>
  <c r="I42" i="77" s="1"/>
  <c r="J42" i="77" s="1"/>
  <c r="K42" i="77" s="1"/>
  <c r="L42" i="77" s="1"/>
  <c r="B41" i="77"/>
  <c r="C41" i="77" s="1"/>
  <c r="D41" i="77" s="1"/>
  <c r="E41" i="77" s="1"/>
  <c r="F41" i="77" s="1"/>
  <c r="G41" i="77" s="1"/>
  <c r="H41" i="77" s="1"/>
  <c r="I41" i="77" s="1"/>
  <c r="J41" i="77" s="1"/>
  <c r="K41" i="77" s="1"/>
  <c r="L41" i="77" s="1"/>
  <c r="B40" i="77"/>
  <c r="C40" i="77" s="1"/>
  <c r="D40" i="77" s="1"/>
  <c r="E40" i="77" s="1"/>
  <c r="F40" i="77" s="1"/>
  <c r="G40" i="77" s="1"/>
  <c r="H40" i="77" s="1"/>
  <c r="I40" i="77" s="1"/>
  <c r="J40" i="77" s="1"/>
  <c r="K40" i="77" s="1"/>
  <c r="L40" i="77" s="1"/>
  <c r="B39" i="77"/>
  <c r="C39" i="77" s="1"/>
  <c r="D39" i="77" s="1"/>
  <c r="E39" i="77" s="1"/>
  <c r="F39" i="77" s="1"/>
  <c r="G39" i="77" s="1"/>
  <c r="H39" i="77" s="1"/>
  <c r="I39" i="77" s="1"/>
  <c r="J39" i="77" s="1"/>
  <c r="K39" i="77" s="1"/>
  <c r="L39" i="77" s="1"/>
  <c r="B38" i="77"/>
  <c r="C38" i="77" s="1"/>
  <c r="D38" i="77" s="1"/>
  <c r="E38" i="77" s="1"/>
  <c r="F38" i="77" s="1"/>
  <c r="G38" i="77" s="1"/>
  <c r="H38" i="77" s="1"/>
  <c r="I38" i="77" s="1"/>
  <c r="J38" i="77" s="1"/>
  <c r="K38" i="77" s="1"/>
  <c r="L38" i="77" s="1"/>
  <c r="B37" i="77"/>
  <c r="C37" i="77" s="1"/>
  <c r="D37" i="77" s="1"/>
  <c r="E37" i="77" s="1"/>
  <c r="F37" i="77" s="1"/>
  <c r="G37" i="77" s="1"/>
  <c r="H37" i="77" s="1"/>
  <c r="I37" i="77" s="1"/>
  <c r="J37" i="77" s="1"/>
  <c r="K37" i="77" s="1"/>
  <c r="L37" i="77" s="1"/>
  <c r="B36" i="77"/>
  <c r="C36" i="77" s="1"/>
  <c r="D36" i="77" s="1"/>
  <c r="E36" i="77" s="1"/>
  <c r="F36" i="77" s="1"/>
  <c r="G36" i="77" s="1"/>
  <c r="H36" i="77" s="1"/>
  <c r="I36" i="77" s="1"/>
  <c r="J36" i="77" s="1"/>
  <c r="K36" i="77" s="1"/>
  <c r="L36" i="77" s="1"/>
  <c r="B35" i="77"/>
  <c r="C35" i="77" s="1"/>
  <c r="D35" i="77" s="1"/>
  <c r="E35" i="77" s="1"/>
  <c r="F35" i="77" s="1"/>
  <c r="G35" i="77" s="1"/>
  <c r="H35" i="77" s="1"/>
  <c r="I35" i="77" s="1"/>
  <c r="J35" i="77" s="1"/>
  <c r="K35" i="77" s="1"/>
  <c r="L35" i="77" s="1"/>
  <c r="B34" i="77"/>
  <c r="C34" i="77" s="1"/>
  <c r="D34" i="77" s="1"/>
  <c r="E34" i="77" s="1"/>
  <c r="F34" i="77" s="1"/>
  <c r="G34" i="77" s="1"/>
  <c r="H34" i="77" s="1"/>
  <c r="I34" i="77" s="1"/>
  <c r="J34" i="77" s="1"/>
  <c r="K34" i="77" s="1"/>
  <c r="L34" i="77" s="1"/>
  <c r="B33" i="77"/>
  <c r="C33" i="77" s="1"/>
  <c r="D33" i="77" s="1"/>
  <c r="E33" i="77" s="1"/>
  <c r="F33" i="77" s="1"/>
  <c r="G33" i="77" s="1"/>
  <c r="H33" i="77" s="1"/>
  <c r="I33" i="77" s="1"/>
  <c r="J33" i="77" s="1"/>
  <c r="K33" i="77" s="1"/>
  <c r="L33" i="77" s="1"/>
  <c r="B32" i="77"/>
  <c r="C32" i="77" s="1"/>
  <c r="D32" i="77" s="1"/>
  <c r="E32" i="77" s="1"/>
  <c r="F32" i="77" s="1"/>
  <c r="G32" i="77" s="1"/>
  <c r="H32" i="77" s="1"/>
  <c r="I32" i="77" s="1"/>
  <c r="J32" i="77" s="1"/>
  <c r="K32" i="77" s="1"/>
  <c r="L32" i="77" s="1"/>
  <c r="B31" i="77"/>
  <c r="C31" i="77" s="1"/>
  <c r="D31" i="77" s="1"/>
  <c r="E31" i="77" s="1"/>
  <c r="F31" i="77" s="1"/>
  <c r="G31" i="77" s="1"/>
  <c r="H31" i="77" s="1"/>
  <c r="I31" i="77" s="1"/>
  <c r="J31" i="77" s="1"/>
  <c r="K31" i="77" s="1"/>
  <c r="L31" i="77" s="1"/>
  <c r="B30" i="77"/>
  <c r="C30" i="77" s="1"/>
  <c r="D30" i="77" s="1"/>
  <c r="E30" i="77" s="1"/>
  <c r="F30" i="77" s="1"/>
  <c r="G30" i="77" s="1"/>
  <c r="H30" i="77" s="1"/>
  <c r="I30" i="77" s="1"/>
  <c r="J30" i="77" s="1"/>
  <c r="K30" i="77" s="1"/>
  <c r="L30" i="77" s="1"/>
  <c r="B29" i="77"/>
  <c r="C29" i="77" s="1"/>
  <c r="D29" i="77" s="1"/>
  <c r="E29" i="77" s="1"/>
  <c r="F29" i="77" s="1"/>
  <c r="G29" i="77" s="1"/>
  <c r="H29" i="77" s="1"/>
  <c r="I29" i="77" s="1"/>
  <c r="J29" i="77" s="1"/>
  <c r="K29" i="77" s="1"/>
  <c r="L29" i="77" s="1"/>
  <c r="B28" i="77"/>
  <c r="C28" i="77" s="1"/>
  <c r="D28" i="77" s="1"/>
  <c r="E28" i="77" s="1"/>
  <c r="F28" i="77" s="1"/>
  <c r="G28" i="77" s="1"/>
  <c r="H28" i="77" s="1"/>
  <c r="I28" i="77" s="1"/>
  <c r="J28" i="77" s="1"/>
  <c r="K28" i="77" s="1"/>
  <c r="L28" i="77" s="1"/>
  <c r="B27" i="77"/>
  <c r="C27" i="77" s="1"/>
  <c r="D27" i="77" s="1"/>
  <c r="E27" i="77" s="1"/>
  <c r="F27" i="77" s="1"/>
  <c r="G27" i="77" s="1"/>
  <c r="H27" i="77" s="1"/>
  <c r="I27" i="77" s="1"/>
  <c r="J27" i="77" s="1"/>
  <c r="K27" i="77" s="1"/>
  <c r="L27" i="77" s="1"/>
  <c r="B26" i="77"/>
  <c r="C26" i="77" s="1"/>
  <c r="D26" i="77" s="1"/>
  <c r="E26" i="77" s="1"/>
  <c r="F26" i="77" s="1"/>
  <c r="G26" i="77" s="1"/>
  <c r="H26" i="77" s="1"/>
  <c r="I26" i="77" s="1"/>
  <c r="J26" i="77" s="1"/>
  <c r="K26" i="77" s="1"/>
  <c r="L26" i="77" s="1"/>
  <c r="B25" i="77"/>
  <c r="C25" i="77" s="1"/>
  <c r="D25" i="77" s="1"/>
  <c r="E25" i="77" s="1"/>
  <c r="F25" i="77" s="1"/>
  <c r="G25" i="77" s="1"/>
  <c r="H25" i="77" s="1"/>
  <c r="I25" i="77" s="1"/>
  <c r="J25" i="77" s="1"/>
  <c r="K25" i="77" s="1"/>
  <c r="L25" i="77" s="1"/>
  <c r="B24" i="77"/>
  <c r="C24" i="77" s="1"/>
  <c r="D24" i="77" s="1"/>
  <c r="E24" i="77" s="1"/>
  <c r="F24" i="77" s="1"/>
  <c r="G24" i="77" s="1"/>
  <c r="H24" i="77" s="1"/>
  <c r="I24" i="77" s="1"/>
  <c r="J24" i="77" s="1"/>
  <c r="K24" i="77" s="1"/>
  <c r="L24" i="77" s="1"/>
  <c r="B23" i="77"/>
  <c r="C23" i="77" s="1"/>
  <c r="D23" i="77" s="1"/>
  <c r="E23" i="77" s="1"/>
  <c r="F23" i="77" s="1"/>
  <c r="G23" i="77" s="1"/>
  <c r="H23" i="77" s="1"/>
  <c r="I23" i="77" s="1"/>
  <c r="J23" i="77" s="1"/>
  <c r="K23" i="77" s="1"/>
  <c r="L23" i="77" s="1"/>
  <c r="B22" i="77"/>
  <c r="C22" i="77" s="1"/>
  <c r="D22" i="77" s="1"/>
  <c r="E22" i="77" s="1"/>
  <c r="F22" i="77" s="1"/>
  <c r="G22" i="77" s="1"/>
  <c r="H22" i="77" s="1"/>
  <c r="I22" i="77" s="1"/>
  <c r="J22" i="77" s="1"/>
  <c r="K22" i="77" s="1"/>
  <c r="L22" i="77" s="1"/>
  <c r="B21" i="77"/>
  <c r="C21" i="77" s="1"/>
  <c r="D21" i="77" s="1"/>
  <c r="E21" i="77" s="1"/>
  <c r="F21" i="77" s="1"/>
  <c r="G21" i="77" s="1"/>
  <c r="H21" i="77" s="1"/>
  <c r="I21" i="77" s="1"/>
  <c r="J21" i="77" s="1"/>
  <c r="K21" i="77" s="1"/>
  <c r="L21" i="77" s="1"/>
  <c r="B20" i="77"/>
  <c r="C20" i="77" s="1"/>
  <c r="D20" i="77" s="1"/>
  <c r="E20" i="77" s="1"/>
  <c r="F20" i="77" s="1"/>
  <c r="G20" i="77" s="1"/>
  <c r="H20" i="77" s="1"/>
  <c r="I20" i="77" s="1"/>
  <c r="J20" i="77" s="1"/>
  <c r="K20" i="77" s="1"/>
  <c r="L20" i="77" s="1"/>
  <c r="B19" i="77"/>
  <c r="C19" i="77" s="1"/>
  <c r="D19" i="77" s="1"/>
  <c r="E19" i="77" s="1"/>
  <c r="F19" i="77" s="1"/>
  <c r="G19" i="77" s="1"/>
  <c r="H19" i="77" s="1"/>
  <c r="I19" i="77" s="1"/>
  <c r="J19" i="77" s="1"/>
  <c r="K19" i="77" s="1"/>
  <c r="L19" i="77" s="1"/>
  <c r="B18" i="77"/>
  <c r="C18" i="77" s="1"/>
  <c r="D18" i="77" s="1"/>
  <c r="E18" i="77" s="1"/>
  <c r="F18" i="77" s="1"/>
  <c r="G18" i="77" s="1"/>
  <c r="H18" i="77" s="1"/>
  <c r="I18" i="77" s="1"/>
  <c r="J18" i="77" s="1"/>
  <c r="K18" i="77" s="1"/>
  <c r="L18" i="77" s="1"/>
  <c r="B17" i="77"/>
  <c r="C17" i="77" s="1"/>
  <c r="D17" i="77" s="1"/>
  <c r="E17" i="77" s="1"/>
  <c r="F17" i="77" s="1"/>
  <c r="G17" i="77" s="1"/>
  <c r="H17" i="77" s="1"/>
  <c r="I17" i="77" s="1"/>
  <c r="J17" i="77" s="1"/>
  <c r="K17" i="77" s="1"/>
  <c r="L17" i="77" s="1"/>
  <c r="B16" i="77"/>
  <c r="C16" i="77" s="1"/>
  <c r="D16" i="77" s="1"/>
  <c r="E16" i="77" s="1"/>
  <c r="F16" i="77" s="1"/>
  <c r="G16" i="77" s="1"/>
  <c r="H16" i="77" s="1"/>
  <c r="I16" i="77" s="1"/>
  <c r="J16" i="77" s="1"/>
  <c r="K16" i="77" s="1"/>
  <c r="L16" i="77" s="1"/>
  <c r="B15" i="77"/>
  <c r="C15" i="77" s="1"/>
  <c r="D15" i="77" s="1"/>
  <c r="E15" i="77" s="1"/>
  <c r="F15" i="77" s="1"/>
  <c r="G15" i="77" s="1"/>
  <c r="H15" i="77" s="1"/>
  <c r="I15" i="77" s="1"/>
  <c r="J15" i="77" s="1"/>
  <c r="K15" i="77" s="1"/>
  <c r="L15" i="77" s="1"/>
  <c r="B14" i="77"/>
  <c r="C14" i="77" s="1"/>
  <c r="D14" i="77" s="1"/>
  <c r="E14" i="77" s="1"/>
  <c r="F14" i="77" s="1"/>
  <c r="G14" i="77" s="1"/>
  <c r="H14" i="77" s="1"/>
  <c r="I14" i="77" s="1"/>
  <c r="J14" i="77" s="1"/>
  <c r="K14" i="77" s="1"/>
  <c r="L14" i="77" s="1"/>
  <c r="B13" i="77"/>
  <c r="C13" i="77" s="1"/>
  <c r="D13" i="77" s="1"/>
  <c r="E13" i="77" s="1"/>
  <c r="F13" i="77" s="1"/>
  <c r="G13" i="77" s="1"/>
  <c r="H13" i="77" s="1"/>
  <c r="I13" i="77" s="1"/>
  <c r="J13" i="77" s="1"/>
  <c r="K13" i="77" s="1"/>
  <c r="L13" i="77" s="1"/>
  <c r="B12" i="77"/>
  <c r="C12" i="77" s="1"/>
  <c r="D12" i="77" s="1"/>
  <c r="E12" i="77" s="1"/>
  <c r="F12" i="77" s="1"/>
  <c r="G12" i="77" s="1"/>
  <c r="H12" i="77" s="1"/>
  <c r="I12" i="77" s="1"/>
  <c r="J12" i="77" s="1"/>
  <c r="K12" i="77" s="1"/>
  <c r="L12" i="77" s="1"/>
  <c r="B11" i="77"/>
  <c r="C11" i="77" s="1"/>
  <c r="D11" i="77" s="1"/>
  <c r="E11" i="77" s="1"/>
  <c r="F11" i="77" s="1"/>
  <c r="G11" i="77" s="1"/>
  <c r="H11" i="77" s="1"/>
  <c r="I11" i="77" s="1"/>
  <c r="J11" i="77" s="1"/>
  <c r="K11" i="77" s="1"/>
  <c r="L11" i="77" s="1"/>
  <c r="B10" i="77"/>
  <c r="C10" i="77" s="1"/>
  <c r="D10" i="77" s="1"/>
  <c r="E10" i="77" s="1"/>
  <c r="F10" i="77" s="1"/>
  <c r="G10" i="77" s="1"/>
  <c r="H10" i="77" s="1"/>
  <c r="I10" i="77" s="1"/>
  <c r="J10" i="77" s="1"/>
  <c r="K10" i="77" s="1"/>
  <c r="L10" i="77" s="1"/>
  <c r="B9" i="77"/>
  <c r="C9" i="77" s="1"/>
  <c r="D9" i="77" s="1"/>
  <c r="E9" i="77" s="1"/>
  <c r="F9" i="77" s="1"/>
  <c r="G9" i="77" s="1"/>
  <c r="H9" i="77" s="1"/>
  <c r="I9" i="77" s="1"/>
  <c r="J9" i="77" s="1"/>
  <c r="K9" i="77" s="1"/>
  <c r="L9" i="77" s="1"/>
  <c r="B8" i="77"/>
  <c r="C8" i="77" s="1"/>
  <c r="D8" i="77" s="1"/>
  <c r="E8" i="77" s="1"/>
  <c r="F8" i="77" s="1"/>
  <c r="G8" i="77" s="1"/>
  <c r="H8" i="77" s="1"/>
  <c r="I8" i="77" s="1"/>
  <c r="J8" i="77" s="1"/>
  <c r="K8" i="77" s="1"/>
  <c r="L8" i="77" s="1"/>
  <c r="B7" i="77"/>
  <c r="C7" i="77" s="1"/>
  <c r="D7" i="77" s="1"/>
  <c r="E7" i="77" s="1"/>
  <c r="F7" i="77" s="1"/>
  <c r="G7" i="77" s="1"/>
  <c r="H7" i="77" s="1"/>
  <c r="I7" i="77" s="1"/>
  <c r="J7" i="77" s="1"/>
  <c r="K7" i="77" s="1"/>
  <c r="L7" i="77" s="1"/>
  <c r="B6" i="77"/>
  <c r="C6" i="77" s="1"/>
  <c r="D6" i="77" s="1"/>
  <c r="E6" i="77" s="1"/>
  <c r="F6" i="77" s="1"/>
  <c r="G6" i="77" s="1"/>
  <c r="H6" i="77" s="1"/>
  <c r="I6" i="77" s="1"/>
  <c r="J6" i="77" s="1"/>
  <c r="K6" i="77" s="1"/>
  <c r="L6" i="77" s="1"/>
  <c r="B5" i="77"/>
  <c r="C5" i="77" s="1"/>
  <c r="D5" i="77" s="1"/>
  <c r="E5" i="77" s="1"/>
  <c r="F5" i="77" s="1"/>
  <c r="G5" i="77" s="1"/>
  <c r="H5" i="77" s="1"/>
  <c r="I5" i="77" s="1"/>
  <c r="J5" i="77" s="1"/>
  <c r="K5" i="77" s="1"/>
  <c r="L5" i="77" s="1"/>
  <c r="B4" i="77"/>
  <c r="C4" i="77" s="1"/>
  <c r="D4" i="77" s="1"/>
  <c r="E4" i="77" s="1"/>
  <c r="F4" i="77" s="1"/>
  <c r="G4" i="77" s="1"/>
  <c r="H4" i="77" s="1"/>
  <c r="I4" i="77" s="1"/>
  <c r="J4" i="77" s="1"/>
  <c r="K4" i="77" s="1"/>
  <c r="L4" i="77" s="1"/>
  <c r="B105" i="77"/>
  <c r="C105" i="77" s="1"/>
  <c r="D105" i="77" s="1"/>
  <c r="E105" i="77" s="1"/>
  <c r="F105" i="77" s="1"/>
  <c r="G105" i="77" s="1"/>
  <c r="H105" i="77" s="1"/>
  <c r="I105" i="77" s="1"/>
  <c r="J105" i="77" s="1"/>
  <c r="K105" i="77" s="1"/>
  <c r="L105" i="77" s="1"/>
  <c r="B3" i="77"/>
  <c r="C3" i="77" s="1"/>
  <c r="D3" i="77" s="1"/>
  <c r="E3" i="77" s="1"/>
  <c r="F3" i="77" s="1"/>
  <c r="G3" i="77" s="1"/>
  <c r="H3" i="77" s="1"/>
  <c r="I3" i="77" s="1"/>
  <c r="J3" i="77" s="1"/>
  <c r="K3" i="77" s="1"/>
  <c r="L3" i="77" s="1"/>
  <c r="L38" i="75" l="1"/>
  <c r="I38" i="75"/>
  <c r="F38" i="75"/>
  <c r="N37" i="75"/>
  <c r="K37" i="75"/>
  <c r="H37" i="75"/>
  <c r="L34" i="75"/>
  <c r="I34" i="75"/>
  <c r="F34" i="75"/>
  <c r="N33" i="75"/>
  <c r="K33" i="75"/>
  <c r="H33" i="75"/>
  <c r="L30" i="75"/>
  <c r="I30" i="75"/>
  <c r="F30" i="75"/>
  <c r="N29" i="75"/>
  <c r="K29" i="75"/>
  <c r="H29" i="75"/>
  <c r="L26" i="75"/>
  <c r="I26" i="75"/>
  <c r="F26" i="75"/>
  <c r="N25" i="75"/>
  <c r="K25" i="75"/>
  <c r="H25" i="75"/>
  <c r="L22" i="75"/>
  <c r="I22" i="75"/>
  <c r="F22" i="75"/>
  <c r="N21" i="75"/>
  <c r="K21" i="75"/>
  <c r="H21" i="75"/>
  <c r="L18" i="75"/>
  <c r="I18" i="75"/>
  <c r="F18" i="75"/>
  <c r="N17" i="75"/>
  <c r="K17" i="75"/>
  <c r="H17" i="75"/>
  <c r="L14" i="75"/>
  <c r="I14" i="75"/>
  <c r="F14" i="75"/>
  <c r="N13" i="75"/>
  <c r="K13" i="75"/>
  <c r="H13" i="75"/>
  <c r="L8" i="75"/>
  <c r="I8" i="75"/>
  <c r="F8" i="75"/>
  <c r="N7" i="75"/>
  <c r="K7" i="75"/>
  <c r="H7" i="75"/>
  <c r="L5" i="75"/>
  <c r="I5" i="75"/>
  <c r="F5" i="75"/>
  <c r="N4" i="75"/>
  <c r="K4" i="75"/>
  <c r="H4" i="75"/>
  <c r="L38" i="74"/>
  <c r="I38" i="74"/>
  <c r="F38" i="74"/>
  <c r="N37" i="74"/>
  <c r="K37" i="74"/>
  <c r="H37" i="74"/>
  <c r="L34" i="74"/>
  <c r="I34" i="74"/>
  <c r="F34" i="74"/>
  <c r="N33" i="74"/>
  <c r="K33" i="74"/>
  <c r="H33" i="74"/>
  <c r="L30" i="74"/>
  <c r="I30" i="74"/>
  <c r="F30" i="74"/>
  <c r="N29" i="74"/>
  <c r="K29" i="74"/>
  <c r="H29" i="74"/>
  <c r="L26" i="74"/>
  <c r="I26" i="74"/>
  <c r="F26" i="74"/>
  <c r="N25" i="74"/>
  <c r="K25" i="74"/>
  <c r="H25" i="74"/>
  <c r="L22" i="74"/>
  <c r="I22" i="74"/>
  <c r="F22" i="74"/>
  <c r="N21" i="74"/>
  <c r="K21" i="74"/>
  <c r="H21" i="74"/>
  <c r="L18" i="74"/>
  <c r="I18" i="74"/>
  <c r="F18" i="74"/>
  <c r="N17" i="74"/>
  <c r="K17" i="74"/>
  <c r="H17" i="74"/>
  <c r="L14" i="74"/>
  <c r="I14" i="74"/>
  <c r="F14" i="74"/>
  <c r="N13" i="74"/>
  <c r="K13" i="74"/>
  <c r="H13" i="74"/>
  <c r="L8" i="74"/>
  <c r="I8" i="74"/>
  <c r="F8" i="74"/>
  <c r="N7" i="74"/>
  <c r="K7" i="74"/>
  <c r="H7" i="74"/>
  <c r="L5" i="74"/>
  <c r="I5" i="74"/>
  <c r="F5" i="74"/>
  <c r="N4" i="74"/>
  <c r="K4" i="74"/>
  <c r="H4" i="74"/>
  <c r="O101" i="77"/>
  <c r="O97" i="77"/>
  <c r="O81" i="77"/>
  <c r="O65" i="77"/>
  <c r="O39" i="77"/>
  <c r="O92" i="77"/>
  <c r="O76" i="77"/>
  <c r="O55" i="77"/>
  <c r="O42" i="77"/>
  <c r="O94" i="77"/>
  <c r="O62" i="77"/>
  <c r="O32" i="77"/>
  <c r="O95" i="77"/>
  <c r="O79" i="77"/>
  <c r="O63" i="77"/>
  <c r="O45" i="77"/>
  <c r="O61" i="77"/>
  <c r="O82" i="77"/>
  <c r="O40" i="77"/>
  <c r="O29" i="77"/>
  <c r="O25" i="77"/>
  <c r="O21" i="77"/>
  <c r="O17" i="77"/>
  <c r="O13" i="77"/>
  <c r="O7" i="77"/>
  <c r="Q61" i="77"/>
  <c r="Q102" i="77"/>
  <c r="Q98" i="77"/>
  <c r="Q94" i="77"/>
  <c r="Q90" i="77"/>
  <c r="Q86" i="77"/>
  <c r="Q82" i="77"/>
  <c r="Q78" i="77"/>
  <c r="Q74" i="77"/>
  <c r="Q70" i="77"/>
  <c r="Q66" i="77"/>
  <c r="Q62" i="77"/>
  <c r="N60" i="77"/>
  <c r="N52" i="77"/>
  <c r="N48" i="77"/>
  <c r="N44" i="77"/>
  <c r="N40" i="77"/>
  <c r="N36" i="77"/>
  <c r="N32" i="77"/>
  <c r="N28" i="77"/>
  <c r="N24" i="77"/>
  <c r="N20" i="77"/>
  <c r="N16" i="77"/>
  <c r="N8" i="77"/>
  <c r="R59" i="77"/>
  <c r="N101" i="77"/>
  <c r="N97" i="77"/>
  <c r="N93" i="77"/>
  <c r="N89" i="77"/>
  <c r="Q85" i="77"/>
  <c r="Q81" i="77"/>
  <c r="Q77" i="77"/>
  <c r="Q73" i="77"/>
  <c r="Q69" i="77"/>
  <c r="Q65" i="77"/>
  <c r="Q57" i="77"/>
  <c r="Q58" i="77"/>
  <c r="R51" i="77"/>
  <c r="R47" i="77"/>
  <c r="R43" i="77"/>
  <c r="R39" i="77"/>
  <c r="R35" i="77"/>
  <c r="R31" i="77"/>
  <c r="R27" i="77"/>
  <c r="R23" i="77"/>
  <c r="R19" i="77"/>
  <c r="R15" i="77"/>
  <c r="R11" i="77"/>
  <c r="R7" i="77"/>
  <c r="R100" i="77"/>
  <c r="R96" i="77"/>
  <c r="R92" i="77"/>
  <c r="R88" i="77"/>
  <c r="N84" i="77"/>
  <c r="N80" i="77"/>
  <c r="N76" i="77"/>
  <c r="N72" i="77"/>
  <c r="N68" i="77"/>
  <c r="N64" i="77"/>
  <c r="R55" i="77"/>
  <c r="N56" i="77"/>
  <c r="Q50" i="77"/>
  <c r="Q46" i="77"/>
  <c r="Q42" i="77"/>
  <c r="Q38" i="77"/>
  <c r="Q34" i="77"/>
  <c r="Q30" i="77"/>
  <c r="Q26" i="77"/>
  <c r="Q22" i="77"/>
  <c r="Q18" i="77"/>
  <c r="R14" i="77"/>
  <c r="Q103" i="77"/>
  <c r="N99" i="77"/>
  <c r="Q95" i="77"/>
  <c r="N91" i="77"/>
  <c r="P87" i="77"/>
  <c r="R83" i="77"/>
  <c r="R79" i="77"/>
  <c r="R75" i="77"/>
  <c r="R71" i="77"/>
  <c r="R67" i="77"/>
  <c r="R63" i="77"/>
  <c r="Q53" i="77"/>
  <c r="Q54" i="77"/>
  <c r="Q49" i="77"/>
  <c r="Q45" i="77"/>
  <c r="Q41" i="77"/>
  <c r="Q37" i="77"/>
  <c r="Q33" i="77"/>
  <c r="Q29" i="77"/>
  <c r="Q25" i="77"/>
  <c r="Q21" i="77"/>
  <c r="Q17" i="77"/>
  <c r="Q13" i="77"/>
  <c r="Q9" i="77"/>
  <c r="N5" i="77"/>
  <c r="R12" i="77"/>
  <c r="O4" i="77"/>
  <c r="O6" i="77"/>
  <c r="P6" i="77"/>
  <c r="O3" i="77"/>
  <c r="O47" i="77"/>
  <c r="O93" i="77"/>
  <c r="O77" i="77"/>
  <c r="O57" i="77"/>
  <c r="O31" i="77"/>
  <c r="O88" i="77"/>
  <c r="O72" i="77"/>
  <c r="O56" i="77"/>
  <c r="O38" i="77"/>
  <c r="O86" i="77"/>
  <c r="O60" i="77"/>
  <c r="O43" i="77"/>
  <c r="O91" i="77"/>
  <c r="O75" i="77"/>
  <c r="O53" i="77"/>
  <c r="O41" i="77"/>
  <c r="O102" i="77"/>
  <c r="O74" i="77"/>
  <c r="O36" i="77"/>
  <c r="O28" i="77"/>
  <c r="O24" i="77"/>
  <c r="O20" i="77"/>
  <c r="O16" i="77"/>
  <c r="O12" i="77"/>
  <c r="O9" i="77"/>
  <c r="P61" i="77"/>
  <c r="P102" i="77"/>
  <c r="P98" i="77"/>
  <c r="P94" i="77"/>
  <c r="P90" i="77"/>
  <c r="P86" i="77"/>
  <c r="P82" i="77"/>
  <c r="P78" i="77"/>
  <c r="P74" i="77"/>
  <c r="P70" i="77"/>
  <c r="P66" i="77"/>
  <c r="P62" i="77"/>
  <c r="Q60" i="77"/>
  <c r="Q52" i="77"/>
  <c r="Q48" i="77"/>
  <c r="Q44" i="77"/>
  <c r="Q40" i="77"/>
  <c r="Q36" i="77"/>
  <c r="Q32" i="77"/>
  <c r="Q28" i="77"/>
  <c r="Q24" i="77"/>
  <c r="Q20" i="77"/>
  <c r="Q16" i="77"/>
  <c r="Q8" i="77"/>
  <c r="N59" i="77"/>
  <c r="Q101" i="77"/>
  <c r="Q97" i="77"/>
  <c r="Q93" i="77"/>
  <c r="Q89" i="77"/>
  <c r="P85" i="77"/>
  <c r="P81" i="77"/>
  <c r="P77" i="77"/>
  <c r="P73" i="77"/>
  <c r="P69" i="77"/>
  <c r="P65" i="77"/>
  <c r="P57" i="77"/>
  <c r="P58" i="77"/>
  <c r="N51" i="77"/>
  <c r="N47" i="77"/>
  <c r="N43" i="77"/>
  <c r="N39" i="77"/>
  <c r="N35" i="77"/>
  <c r="N31" i="77"/>
  <c r="N27" i="77"/>
  <c r="N23" i="77"/>
  <c r="N19" i="77"/>
  <c r="N15" i="77"/>
  <c r="N11" i="77"/>
  <c r="N7" i="77"/>
  <c r="N100" i="77"/>
  <c r="N96" i="77"/>
  <c r="N92" i="77"/>
  <c r="N88" i="77"/>
  <c r="Q84" i="77"/>
  <c r="Q80" i="77"/>
  <c r="Q76" i="77"/>
  <c r="Q72" i="77"/>
  <c r="Q68" i="77"/>
  <c r="Q64" i="77"/>
  <c r="N55" i="77"/>
  <c r="Q56" i="77"/>
  <c r="P50" i="77"/>
  <c r="P46" i="77"/>
  <c r="P42" i="77"/>
  <c r="P38" i="77"/>
  <c r="P34" i="77"/>
  <c r="P30" i="77"/>
  <c r="P26" i="77"/>
  <c r="P22" i="77"/>
  <c r="P18" i="77"/>
  <c r="P14" i="77"/>
  <c r="P103" i="77"/>
  <c r="P99" i="77"/>
  <c r="P95" i="77"/>
  <c r="P91" i="77"/>
  <c r="N87" i="77"/>
  <c r="N83" i="77"/>
  <c r="N79" i="77"/>
  <c r="N75" i="77"/>
  <c r="N71" i="77"/>
  <c r="N67" i="77"/>
  <c r="N63" i="77"/>
  <c r="P53" i="77"/>
  <c r="P54" i="77"/>
  <c r="P49" i="77"/>
  <c r="P45" i="77"/>
  <c r="P41" i="77"/>
  <c r="P37" i="77"/>
  <c r="P33" i="77"/>
  <c r="P29" i="77"/>
  <c r="P25" i="77"/>
  <c r="P21" i="77"/>
  <c r="P17" i="77"/>
  <c r="P13" i="77"/>
  <c r="P9" i="77"/>
  <c r="P5" i="77"/>
  <c r="N12" i="77"/>
  <c r="P4" i="77"/>
  <c r="Q3" i="77"/>
  <c r="N3" i="77"/>
  <c r="N6" i="77"/>
  <c r="O69" i="77"/>
  <c r="O80" i="77"/>
  <c r="O59" i="77"/>
  <c r="O89" i="77"/>
  <c r="O73" i="77"/>
  <c r="O58" i="77"/>
  <c r="O100" i="77"/>
  <c r="O84" i="77"/>
  <c r="O68" i="77"/>
  <c r="O50" i="77"/>
  <c r="O34" i="77"/>
  <c r="O78" i="77"/>
  <c r="O52" i="77"/>
  <c r="O103" i="77"/>
  <c r="O87" i="77"/>
  <c r="O71" i="77"/>
  <c r="O54" i="77"/>
  <c r="O37" i="77"/>
  <c r="O98" i="77"/>
  <c r="O66" i="77"/>
  <c r="O51" i="77"/>
  <c r="O27" i="77"/>
  <c r="O23" i="77"/>
  <c r="O19" i="77"/>
  <c r="O15" i="77"/>
  <c r="O11" i="77"/>
  <c r="R61" i="77"/>
  <c r="R102" i="77"/>
  <c r="N98" i="77"/>
  <c r="R94" i="77"/>
  <c r="N90" i="77"/>
  <c r="N86" i="77"/>
  <c r="R82" i="77"/>
  <c r="R78" i="77"/>
  <c r="N74" i="77"/>
  <c r="N70" i="77"/>
  <c r="R66" i="77"/>
  <c r="R62" i="77"/>
  <c r="P60" i="77"/>
  <c r="P52" i="77"/>
  <c r="P48" i="77"/>
  <c r="P44" i="77"/>
  <c r="P40" i="77"/>
  <c r="P36" i="77"/>
  <c r="P32" i="77"/>
  <c r="P28" i="77"/>
  <c r="P24" i="77"/>
  <c r="P20" i="77"/>
  <c r="P16" i="77"/>
  <c r="P8" i="77"/>
  <c r="Q59" i="77"/>
  <c r="P101" i="77"/>
  <c r="P97" i="77"/>
  <c r="P93" i="77"/>
  <c r="P89" i="77"/>
  <c r="R85" i="77"/>
  <c r="R81" i="77"/>
  <c r="R77" i="77"/>
  <c r="R73" i="77"/>
  <c r="R69" i="77"/>
  <c r="R65" i="77"/>
  <c r="R57" i="77"/>
  <c r="N58" i="77"/>
  <c r="Q51" i="77"/>
  <c r="Q47" i="77"/>
  <c r="Q43" i="77"/>
  <c r="Q39" i="77"/>
  <c r="Q35" i="77"/>
  <c r="Q31" i="77"/>
  <c r="Q27" i="77"/>
  <c r="Q23" i="77"/>
  <c r="Q19" i="77"/>
  <c r="Q15" i="77"/>
  <c r="P11" i="77"/>
  <c r="Q7" i="77"/>
  <c r="Q100" i="77"/>
  <c r="P96" i="77"/>
  <c r="Q92" i="77"/>
  <c r="Q88" i="77"/>
  <c r="P84" i="77"/>
  <c r="P80" i="77"/>
  <c r="P76" i="77"/>
  <c r="P72" i="77"/>
  <c r="P68" i="77"/>
  <c r="P64" i="77"/>
  <c r="Q55" i="77"/>
  <c r="P56" i="77"/>
  <c r="R50" i="77"/>
  <c r="R46" i="77"/>
  <c r="N42" i="77"/>
  <c r="R38" i="77"/>
  <c r="R34" i="77"/>
  <c r="R30" i="77"/>
  <c r="N26" i="77"/>
  <c r="R22" i="77"/>
  <c r="R18" i="77"/>
  <c r="N14" i="77"/>
  <c r="N103" i="77"/>
  <c r="R99" i="77"/>
  <c r="N95" i="77"/>
  <c r="Q91" i="77"/>
  <c r="R87" i="77"/>
  <c r="Q83" i="77"/>
  <c r="Q79" i="77"/>
  <c r="Q75" i="77"/>
  <c r="Q71" i="77"/>
  <c r="Q67" i="77"/>
  <c r="Q63" i="77"/>
  <c r="R53" i="77"/>
  <c r="R54" i="77"/>
  <c r="R49" i="77"/>
  <c r="R45" i="77"/>
  <c r="R41" i="77"/>
  <c r="R37" i="77"/>
  <c r="R33" i="77"/>
  <c r="R29" i="77"/>
  <c r="R25" i="77"/>
  <c r="R21" i="77"/>
  <c r="R17" i="77"/>
  <c r="R13" i="77"/>
  <c r="R9" i="77"/>
  <c r="O5" i="77"/>
  <c r="Q5" i="77"/>
  <c r="Q12" i="77"/>
  <c r="R4" i="77"/>
  <c r="Q6" i="77"/>
  <c r="R3" i="77"/>
  <c r="O85" i="77"/>
  <c r="O96" i="77"/>
  <c r="O64" i="77"/>
  <c r="O48" i="77"/>
  <c r="O49" i="77"/>
  <c r="O35" i="77"/>
  <c r="O14" i="77"/>
  <c r="R98" i="77"/>
  <c r="N82" i="77"/>
  <c r="N66" i="77"/>
  <c r="R48" i="77"/>
  <c r="R32" i="77"/>
  <c r="R16" i="77"/>
  <c r="R97" i="77"/>
  <c r="N81" i="77"/>
  <c r="N65" i="77"/>
  <c r="P47" i="77"/>
  <c r="P31" i="77"/>
  <c r="P15" i="77"/>
  <c r="Q96" i="77"/>
  <c r="R80" i="77"/>
  <c r="R64" i="77"/>
  <c r="N46" i="77"/>
  <c r="N30" i="77"/>
  <c r="Q14" i="77"/>
  <c r="R91" i="77"/>
  <c r="P75" i="77"/>
  <c r="N53" i="77"/>
  <c r="N41" i="77"/>
  <c r="N25" i="77"/>
  <c r="N9" i="77"/>
  <c r="N4" i="77"/>
  <c r="O67" i="77"/>
  <c r="N102" i="77"/>
  <c r="R52" i="77"/>
  <c r="R101" i="77"/>
  <c r="P51" i="77"/>
  <c r="P19" i="77"/>
  <c r="R68" i="77"/>
  <c r="N18" i="77"/>
  <c r="P63" i="77"/>
  <c r="N13" i="77"/>
  <c r="O46" i="77"/>
  <c r="O99" i="77"/>
  <c r="O33" i="77"/>
  <c r="O26" i="77"/>
  <c r="O8" i="77"/>
  <c r="N94" i="77"/>
  <c r="N78" i="77"/>
  <c r="N62" i="77"/>
  <c r="R44" i="77"/>
  <c r="R28" i="77"/>
  <c r="R8" i="77"/>
  <c r="R93" i="77"/>
  <c r="N77" i="77"/>
  <c r="N57" i="77"/>
  <c r="P43" i="77"/>
  <c r="P27" i="77"/>
  <c r="Q11" i="77"/>
  <c r="P92" i="77"/>
  <c r="R76" i="77"/>
  <c r="P55" i="77"/>
  <c r="R42" i="77"/>
  <c r="R26" i="77"/>
  <c r="R103" i="77"/>
  <c r="Q87" i="77"/>
  <c r="P71" i="77"/>
  <c r="N54" i="77"/>
  <c r="N37" i="77"/>
  <c r="N21" i="77"/>
  <c r="R5" i="77"/>
  <c r="P3" i="77"/>
  <c r="O70" i="77"/>
  <c r="R86" i="77"/>
  <c r="R36" i="77"/>
  <c r="N85" i="77"/>
  <c r="P35" i="77"/>
  <c r="R84" i="77"/>
  <c r="N34" i="77"/>
  <c r="P79" i="77"/>
  <c r="N29" i="77"/>
  <c r="O30" i="77"/>
  <c r="O83" i="77"/>
  <c r="O90" i="77"/>
  <c r="O22" i="77"/>
  <c r="N61" i="77"/>
  <c r="R90" i="77"/>
  <c r="R74" i="77"/>
  <c r="R60" i="77"/>
  <c r="R40" i="77"/>
  <c r="R24" i="77"/>
  <c r="P59" i="77"/>
  <c r="R89" i="77"/>
  <c r="N73" i="77"/>
  <c r="R58" i="77"/>
  <c r="P39" i="77"/>
  <c r="P23" i="77"/>
  <c r="P7" i="77"/>
  <c r="P88" i="77"/>
  <c r="R72" i="77"/>
  <c r="R56" i="77"/>
  <c r="N38" i="77"/>
  <c r="N22" i="77"/>
  <c r="Q99" i="77"/>
  <c r="P83" i="77"/>
  <c r="P67" i="77"/>
  <c r="N49" i="77"/>
  <c r="N33" i="77"/>
  <c r="N17" i="77"/>
  <c r="P12" i="77"/>
  <c r="R6" i="77"/>
  <c r="O44" i="77"/>
  <c r="O18" i="77"/>
  <c r="R70" i="77"/>
  <c r="R20" i="77"/>
  <c r="N69" i="77"/>
  <c r="P100" i="77"/>
  <c r="N50" i="77"/>
  <c r="R95" i="77"/>
  <c r="N45" i="77"/>
  <c r="Q4" i="77"/>
  <c r="U6" i="77" l="1"/>
  <c r="B7" i="78" s="1"/>
  <c r="W5" i="77"/>
  <c r="H6" i="78" s="1"/>
  <c r="U8" i="77"/>
  <c r="B9" i="78" s="1"/>
  <c r="W7" i="77"/>
  <c r="H8" i="78" s="1"/>
  <c r="W8" i="77"/>
  <c r="H9" i="78" s="1"/>
  <c r="W4" i="77"/>
  <c r="H5" i="78" s="1"/>
  <c r="W6" i="77"/>
  <c r="H7" i="78" s="1"/>
  <c r="U5" i="77"/>
  <c r="B6" i="78" s="1"/>
  <c r="U7" i="77"/>
  <c r="B8" i="78" s="1"/>
  <c r="U9" i="77"/>
  <c r="B10" i="78" s="1"/>
  <c r="W3" i="77"/>
  <c r="H4" i="78" s="1"/>
  <c r="U10" i="77"/>
  <c r="B11" i="78" s="1"/>
  <c r="L38" i="73"/>
  <c r="I38" i="73"/>
  <c r="F38" i="73"/>
  <c r="N37" i="73"/>
  <c r="K37" i="73"/>
  <c r="H37" i="73"/>
  <c r="L34" i="73"/>
  <c r="I34" i="73"/>
  <c r="F34" i="73"/>
  <c r="N33" i="73"/>
  <c r="K33" i="73"/>
  <c r="H33" i="73"/>
  <c r="L30" i="73"/>
  <c r="I30" i="73"/>
  <c r="F30" i="73"/>
  <c r="N29" i="73"/>
  <c r="K29" i="73"/>
  <c r="H29" i="73"/>
  <c r="L26" i="73"/>
  <c r="I26" i="73"/>
  <c r="F26" i="73"/>
  <c r="N25" i="73"/>
  <c r="K25" i="73"/>
  <c r="H25" i="73"/>
  <c r="L22" i="73"/>
  <c r="I22" i="73"/>
  <c r="F22" i="73"/>
  <c r="N21" i="73"/>
  <c r="K21" i="73"/>
  <c r="H21" i="73"/>
  <c r="L18" i="73"/>
  <c r="I18" i="73"/>
  <c r="F18" i="73"/>
  <c r="N17" i="73"/>
  <c r="K17" i="73"/>
  <c r="H17" i="73"/>
  <c r="L14" i="73"/>
  <c r="I14" i="73"/>
  <c r="F14" i="73"/>
  <c r="N13" i="73"/>
  <c r="K13" i="73"/>
  <c r="H13" i="73"/>
  <c r="L8" i="73"/>
  <c r="I8" i="73"/>
  <c r="F8" i="73"/>
  <c r="N7" i="73"/>
  <c r="K7" i="73"/>
  <c r="H7" i="73"/>
  <c r="L5" i="73"/>
  <c r="I5" i="73"/>
  <c r="F5" i="73"/>
  <c r="N4" i="73"/>
  <c r="K4" i="73"/>
  <c r="H4" i="73"/>
  <c r="L26" i="69" l="1"/>
  <c r="F26" i="59" l="1"/>
  <c r="L14" i="72" l="1"/>
  <c r="L38" i="72" l="1"/>
  <c r="I38" i="72"/>
  <c r="F38" i="72"/>
  <c r="N37" i="72"/>
  <c r="K37" i="72"/>
  <c r="H37" i="72"/>
  <c r="L34" i="72"/>
  <c r="I34" i="72"/>
  <c r="F34" i="72"/>
  <c r="N33" i="72"/>
  <c r="K33" i="72"/>
  <c r="H33" i="72"/>
  <c r="L30" i="72"/>
  <c r="I30" i="72"/>
  <c r="F30" i="72"/>
  <c r="N29" i="72"/>
  <c r="K29" i="72"/>
  <c r="H29" i="72"/>
  <c r="L26" i="72"/>
  <c r="I26" i="72"/>
  <c r="F26" i="72"/>
  <c r="N25" i="72"/>
  <c r="K25" i="72"/>
  <c r="H25" i="72"/>
  <c r="L22" i="72"/>
  <c r="I22" i="72"/>
  <c r="F22" i="72"/>
  <c r="N21" i="72"/>
  <c r="K21" i="72"/>
  <c r="H21" i="72"/>
  <c r="L18" i="72"/>
  <c r="I18" i="72"/>
  <c r="F18" i="72"/>
  <c r="N17" i="72"/>
  <c r="K17" i="72"/>
  <c r="H17" i="72"/>
  <c r="I14" i="72"/>
  <c r="F14" i="72"/>
  <c r="N13" i="72"/>
  <c r="K13" i="72"/>
  <c r="H13" i="72"/>
  <c r="L8" i="72"/>
  <c r="I8" i="72"/>
  <c r="F8" i="72"/>
  <c r="N7" i="72"/>
  <c r="K7" i="72"/>
  <c r="H7" i="72"/>
  <c r="L5" i="72"/>
  <c r="I5" i="72"/>
  <c r="F5" i="72"/>
  <c r="N4" i="72"/>
  <c r="K4" i="72"/>
  <c r="H4" i="72"/>
  <c r="L34" i="67" l="1"/>
  <c r="L38" i="71"/>
  <c r="I38" i="71"/>
  <c r="F38" i="71"/>
  <c r="N37" i="71"/>
  <c r="K37" i="71"/>
  <c r="H37" i="71"/>
  <c r="L34" i="71"/>
  <c r="I34" i="71"/>
  <c r="F34" i="71"/>
  <c r="N33" i="71"/>
  <c r="K33" i="71"/>
  <c r="H33" i="71"/>
  <c r="L30" i="71"/>
  <c r="I30" i="71"/>
  <c r="F30" i="71"/>
  <c r="N29" i="71"/>
  <c r="K29" i="71"/>
  <c r="H29" i="71"/>
  <c r="L26" i="71"/>
  <c r="I26" i="71"/>
  <c r="F26" i="71"/>
  <c r="N25" i="71"/>
  <c r="K25" i="71"/>
  <c r="H25" i="71"/>
  <c r="L22" i="71"/>
  <c r="I22" i="71"/>
  <c r="F22" i="71"/>
  <c r="N21" i="71"/>
  <c r="K21" i="71"/>
  <c r="H21" i="71"/>
  <c r="L18" i="71"/>
  <c r="I18" i="71"/>
  <c r="F18" i="71"/>
  <c r="N17" i="71"/>
  <c r="K17" i="71"/>
  <c r="H17" i="71"/>
  <c r="L14" i="71"/>
  <c r="I14" i="71"/>
  <c r="F14" i="71"/>
  <c r="N13" i="71"/>
  <c r="K13" i="71"/>
  <c r="H13" i="71"/>
  <c r="L8" i="71"/>
  <c r="I8" i="71"/>
  <c r="F8" i="71"/>
  <c r="N7" i="71"/>
  <c r="K7" i="71"/>
  <c r="H7" i="71"/>
  <c r="L5" i="71"/>
  <c r="I5" i="71"/>
  <c r="F5" i="71"/>
  <c r="N4" i="71"/>
  <c r="K4" i="71"/>
  <c r="H4" i="71"/>
  <c r="L38" i="70"/>
  <c r="I38" i="70"/>
  <c r="F38" i="70"/>
  <c r="N37" i="70"/>
  <c r="K37" i="70"/>
  <c r="H37" i="70"/>
  <c r="L34" i="70"/>
  <c r="I34" i="70"/>
  <c r="F34" i="70"/>
  <c r="N33" i="70"/>
  <c r="K33" i="70"/>
  <c r="H33" i="70"/>
  <c r="L30" i="70"/>
  <c r="I30" i="70"/>
  <c r="F30" i="70"/>
  <c r="N29" i="70"/>
  <c r="K29" i="70"/>
  <c r="H29" i="70"/>
  <c r="L26" i="70"/>
  <c r="I26" i="70"/>
  <c r="F26" i="70"/>
  <c r="N25" i="70"/>
  <c r="K25" i="70"/>
  <c r="H25" i="70"/>
  <c r="L22" i="70"/>
  <c r="I22" i="70"/>
  <c r="F22" i="70"/>
  <c r="N21" i="70"/>
  <c r="K21" i="70"/>
  <c r="H21" i="70"/>
  <c r="L18" i="70"/>
  <c r="I18" i="70"/>
  <c r="F18" i="70"/>
  <c r="N17" i="70"/>
  <c r="K17" i="70"/>
  <c r="H17" i="70"/>
  <c r="L14" i="70"/>
  <c r="I14" i="70"/>
  <c r="F14" i="70"/>
  <c r="N13" i="70"/>
  <c r="K13" i="70"/>
  <c r="H13" i="70"/>
  <c r="L8" i="70"/>
  <c r="I8" i="70"/>
  <c r="F8" i="70"/>
  <c r="N7" i="70"/>
  <c r="K7" i="70"/>
  <c r="H7" i="70"/>
  <c r="L5" i="70"/>
  <c r="I5" i="70"/>
  <c r="F5" i="70"/>
  <c r="N4" i="70"/>
  <c r="K4" i="70"/>
  <c r="H4" i="70"/>
  <c r="L38" i="69"/>
  <c r="I38" i="69"/>
  <c r="F38" i="69"/>
  <c r="N37" i="69"/>
  <c r="K37" i="69"/>
  <c r="H37" i="69"/>
  <c r="L34" i="69"/>
  <c r="I34" i="69"/>
  <c r="F34" i="69"/>
  <c r="N33" i="69"/>
  <c r="K33" i="69"/>
  <c r="H33" i="69"/>
  <c r="L30" i="69"/>
  <c r="I30" i="69"/>
  <c r="F30" i="69"/>
  <c r="N29" i="69"/>
  <c r="K29" i="69"/>
  <c r="H29" i="69"/>
  <c r="I26" i="69"/>
  <c r="F26" i="69"/>
  <c r="N25" i="69"/>
  <c r="K25" i="69"/>
  <c r="H25" i="69"/>
  <c r="L22" i="69"/>
  <c r="I22" i="69"/>
  <c r="F22" i="69"/>
  <c r="N21" i="69"/>
  <c r="K21" i="69"/>
  <c r="H21" i="69"/>
  <c r="L18" i="69"/>
  <c r="I18" i="69"/>
  <c r="F18" i="69"/>
  <c r="N17" i="69"/>
  <c r="K17" i="69"/>
  <c r="H17" i="69"/>
  <c r="L14" i="69"/>
  <c r="I14" i="69"/>
  <c r="F14" i="69"/>
  <c r="N13" i="69"/>
  <c r="K13" i="69"/>
  <c r="H13" i="69"/>
  <c r="L8" i="69"/>
  <c r="I8" i="69"/>
  <c r="F8" i="69"/>
  <c r="N7" i="69"/>
  <c r="K7" i="69"/>
  <c r="H7" i="69"/>
  <c r="L5" i="69"/>
  <c r="I5" i="69"/>
  <c r="F5" i="69"/>
  <c r="N4" i="69"/>
  <c r="K4" i="69"/>
  <c r="H4" i="69"/>
  <c r="L38" i="68"/>
  <c r="I38" i="68"/>
  <c r="F38" i="68"/>
  <c r="N37" i="68"/>
  <c r="K37" i="68"/>
  <c r="H37" i="68"/>
  <c r="L34" i="68"/>
  <c r="I34" i="68"/>
  <c r="F34" i="68"/>
  <c r="N33" i="68"/>
  <c r="K33" i="68"/>
  <c r="H33" i="68"/>
  <c r="L30" i="68"/>
  <c r="I30" i="68"/>
  <c r="F30" i="68"/>
  <c r="N29" i="68"/>
  <c r="K29" i="68"/>
  <c r="H29" i="68"/>
  <c r="L26" i="68"/>
  <c r="I26" i="68"/>
  <c r="F26" i="68"/>
  <c r="N25" i="68"/>
  <c r="K25" i="68"/>
  <c r="H25" i="68"/>
  <c r="L22" i="68"/>
  <c r="I22" i="68"/>
  <c r="F22" i="68"/>
  <c r="N21" i="68"/>
  <c r="K21" i="68"/>
  <c r="H21" i="68"/>
  <c r="L18" i="68"/>
  <c r="I18" i="68"/>
  <c r="F18" i="68"/>
  <c r="N17" i="68"/>
  <c r="K17" i="68"/>
  <c r="H17" i="68"/>
  <c r="L14" i="68"/>
  <c r="I14" i="68"/>
  <c r="F14" i="68"/>
  <c r="N13" i="68"/>
  <c r="K13" i="68"/>
  <c r="H13" i="68"/>
  <c r="L8" i="68"/>
  <c r="I8" i="68"/>
  <c r="F8" i="68"/>
  <c r="N7" i="68"/>
  <c r="K7" i="68"/>
  <c r="H7" i="68"/>
  <c r="L5" i="68"/>
  <c r="I5" i="68"/>
  <c r="F5" i="68"/>
  <c r="N4" i="68"/>
  <c r="K4" i="68"/>
  <c r="H4" i="68"/>
  <c r="F5" i="67"/>
  <c r="L38" i="67"/>
  <c r="I38" i="67"/>
  <c r="F38" i="67"/>
  <c r="N37" i="67"/>
  <c r="K37" i="67"/>
  <c r="H37" i="67"/>
  <c r="I34" i="67"/>
  <c r="F34" i="67"/>
  <c r="N33" i="67"/>
  <c r="K33" i="67"/>
  <c r="H33" i="67"/>
  <c r="L30" i="67"/>
  <c r="I30" i="67"/>
  <c r="F30" i="67"/>
  <c r="N29" i="67"/>
  <c r="K29" i="67"/>
  <c r="H29" i="67"/>
  <c r="L26" i="67"/>
  <c r="I26" i="67"/>
  <c r="F26" i="67"/>
  <c r="N25" i="67"/>
  <c r="K25" i="67"/>
  <c r="H25" i="67"/>
  <c r="L22" i="67"/>
  <c r="I22" i="67"/>
  <c r="F22" i="67"/>
  <c r="N21" i="67"/>
  <c r="K21" i="67"/>
  <c r="H21" i="67"/>
  <c r="L18" i="67"/>
  <c r="I18" i="67"/>
  <c r="F18" i="67"/>
  <c r="N17" i="67"/>
  <c r="K17" i="67"/>
  <c r="H17" i="67"/>
  <c r="L14" i="67"/>
  <c r="I14" i="67"/>
  <c r="F14" i="67"/>
  <c r="N13" i="67"/>
  <c r="K13" i="67"/>
  <c r="H13" i="67"/>
  <c r="L8" i="67"/>
  <c r="I8" i="67"/>
  <c r="F8" i="67"/>
  <c r="N7" i="67"/>
  <c r="K7" i="67"/>
  <c r="H7" i="67"/>
  <c r="L5" i="67"/>
  <c r="I5" i="67"/>
  <c r="N4" i="67"/>
  <c r="K4" i="67"/>
  <c r="H4" i="67"/>
  <c r="L38" i="65"/>
  <c r="I38" i="65"/>
  <c r="F38" i="65"/>
  <c r="N37" i="65"/>
  <c r="K37" i="65"/>
  <c r="H37" i="65"/>
  <c r="L34" i="65"/>
  <c r="I34" i="65"/>
  <c r="F34" i="65"/>
  <c r="N33" i="65"/>
  <c r="K33" i="65"/>
  <c r="H33" i="65"/>
  <c r="L30" i="65"/>
  <c r="I30" i="65"/>
  <c r="F30" i="65"/>
  <c r="N29" i="65"/>
  <c r="K29" i="65"/>
  <c r="H29" i="65"/>
  <c r="L26" i="65"/>
  <c r="I26" i="65"/>
  <c r="F26" i="65"/>
  <c r="N25" i="65"/>
  <c r="K25" i="65"/>
  <c r="H25" i="65"/>
  <c r="L22" i="65"/>
  <c r="I22" i="65"/>
  <c r="F22" i="65"/>
  <c r="N21" i="65"/>
  <c r="K21" i="65"/>
  <c r="H21" i="65"/>
  <c r="L18" i="65"/>
  <c r="I18" i="65"/>
  <c r="F18" i="65"/>
  <c r="N17" i="65"/>
  <c r="K17" i="65"/>
  <c r="H17" i="65"/>
  <c r="L14" i="65"/>
  <c r="I14" i="65"/>
  <c r="F14" i="65"/>
  <c r="N13" i="65"/>
  <c r="K13" i="65"/>
  <c r="H13" i="65"/>
  <c r="L8" i="65"/>
  <c r="I8" i="65"/>
  <c r="F8" i="65"/>
  <c r="N7" i="65"/>
  <c r="K7" i="65"/>
  <c r="H7" i="65"/>
  <c r="L5" i="65"/>
  <c r="I5" i="65"/>
  <c r="F5" i="65"/>
  <c r="N4" i="65"/>
  <c r="K4" i="65"/>
  <c r="H4" i="65"/>
  <c r="L38" i="64"/>
  <c r="I38" i="64"/>
  <c r="F38" i="64"/>
  <c r="N37" i="64"/>
  <c r="K37" i="64"/>
  <c r="H37" i="64"/>
  <c r="L34" i="64"/>
  <c r="I34" i="64"/>
  <c r="F34" i="64"/>
  <c r="N33" i="64"/>
  <c r="K33" i="64"/>
  <c r="H33" i="64"/>
  <c r="L30" i="64"/>
  <c r="I30" i="64"/>
  <c r="F30" i="64"/>
  <c r="N29" i="64"/>
  <c r="K29" i="64"/>
  <c r="H29" i="64"/>
  <c r="L26" i="64"/>
  <c r="I26" i="64"/>
  <c r="F26" i="64"/>
  <c r="N25" i="64"/>
  <c r="K25" i="64"/>
  <c r="H25" i="64"/>
  <c r="L22" i="64"/>
  <c r="I22" i="64"/>
  <c r="F22" i="64"/>
  <c r="N21" i="64"/>
  <c r="K21" i="64"/>
  <c r="H21" i="64"/>
  <c r="L18" i="64"/>
  <c r="I18" i="64"/>
  <c r="F18" i="64"/>
  <c r="N17" i="64"/>
  <c r="K17" i="64"/>
  <c r="H17" i="64"/>
  <c r="L14" i="64"/>
  <c r="I14" i="64"/>
  <c r="F14" i="64"/>
  <c r="N13" i="64"/>
  <c r="K13" i="64"/>
  <c r="H13" i="64"/>
  <c r="L8" i="64"/>
  <c r="I8" i="64"/>
  <c r="F8" i="64"/>
  <c r="N7" i="64"/>
  <c r="K7" i="64"/>
  <c r="H7" i="64"/>
  <c r="L5" i="64"/>
  <c r="I5" i="64"/>
  <c r="F5" i="64"/>
  <c r="N4" i="64"/>
  <c r="K4" i="64"/>
  <c r="H4" i="64"/>
  <c r="L38" i="63" l="1"/>
  <c r="I38" i="63"/>
  <c r="F38" i="63"/>
  <c r="N37" i="63"/>
  <c r="K37" i="63"/>
  <c r="H37" i="63"/>
  <c r="L34" i="63"/>
  <c r="I34" i="63"/>
  <c r="F34" i="63"/>
  <c r="N33" i="63"/>
  <c r="K33" i="63"/>
  <c r="H33" i="63"/>
  <c r="L30" i="63"/>
  <c r="I30" i="63"/>
  <c r="F30" i="63"/>
  <c r="N29" i="63"/>
  <c r="K29" i="63"/>
  <c r="H29" i="63"/>
  <c r="L26" i="63"/>
  <c r="I26" i="63"/>
  <c r="F26" i="63"/>
  <c r="N25" i="63"/>
  <c r="K25" i="63"/>
  <c r="H25" i="63"/>
  <c r="L22" i="63"/>
  <c r="I22" i="63"/>
  <c r="F22" i="63"/>
  <c r="N21" i="63"/>
  <c r="K21" i="63"/>
  <c r="H21" i="63"/>
  <c r="L18" i="63"/>
  <c r="I18" i="63"/>
  <c r="F18" i="63"/>
  <c r="N17" i="63"/>
  <c r="K17" i="63"/>
  <c r="H17" i="63"/>
  <c r="L14" i="63"/>
  <c r="I14" i="63"/>
  <c r="F14" i="63"/>
  <c r="N13" i="63"/>
  <c r="K13" i="63"/>
  <c r="H13" i="63"/>
  <c r="L8" i="63"/>
  <c r="I8" i="63"/>
  <c r="F8" i="63"/>
  <c r="N7" i="63"/>
  <c r="K7" i="63"/>
  <c r="H7" i="63"/>
  <c r="L5" i="63"/>
  <c r="I5" i="63"/>
  <c r="F5" i="63"/>
  <c r="N4" i="63"/>
  <c r="K4" i="63"/>
  <c r="H4" i="63"/>
  <c r="L38" i="62"/>
  <c r="I38" i="62"/>
  <c r="F38" i="62"/>
  <c r="N37" i="62"/>
  <c r="K37" i="62"/>
  <c r="H37" i="62"/>
  <c r="L34" i="62"/>
  <c r="I34" i="62"/>
  <c r="F34" i="62"/>
  <c r="N33" i="62"/>
  <c r="K33" i="62"/>
  <c r="H33" i="62"/>
  <c r="L30" i="62"/>
  <c r="I30" i="62"/>
  <c r="F30" i="62"/>
  <c r="N29" i="62"/>
  <c r="K29" i="62"/>
  <c r="H29" i="62"/>
  <c r="L26" i="62"/>
  <c r="I26" i="62"/>
  <c r="F26" i="62"/>
  <c r="N25" i="62"/>
  <c r="K25" i="62"/>
  <c r="H25" i="62"/>
  <c r="L22" i="62"/>
  <c r="I22" i="62"/>
  <c r="F22" i="62"/>
  <c r="N21" i="62"/>
  <c r="K21" i="62"/>
  <c r="H21" i="62"/>
  <c r="L18" i="62"/>
  <c r="I18" i="62"/>
  <c r="F18" i="62"/>
  <c r="N17" i="62"/>
  <c r="K17" i="62"/>
  <c r="H17" i="62"/>
  <c r="L14" i="62"/>
  <c r="I14" i="62"/>
  <c r="F14" i="62"/>
  <c r="N13" i="62"/>
  <c r="K13" i="62"/>
  <c r="H13" i="62"/>
  <c r="L8" i="62"/>
  <c r="I8" i="62"/>
  <c r="F8" i="62"/>
  <c r="N7" i="62"/>
  <c r="K7" i="62"/>
  <c r="H7" i="62"/>
  <c r="L5" i="62"/>
  <c r="I5" i="62"/>
  <c r="F5" i="62"/>
  <c r="N4" i="62"/>
  <c r="K4" i="62"/>
  <c r="H4" i="62"/>
  <c r="H33" i="60" l="1"/>
  <c r="L38" i="60"/>
  <c r="I38" i="60"/>
  <c r="F38" i="60"/>
  <c r="N37" i="60"/>
  <c r="K37" i="60"/>
  <c r="H37" i="60"/>
  <c r="L34" i="60"/>
  <c r="I34" i="60"/>
  <c r="F34" i="60"/>
  <c r="N33" i="60"/>
  <c r="K33" i="60"/>
  <c r="L30" i="60"/>
  <c r="I30" i="60"/>
  <c r="F30" i="60"/>
  <c r="N29" i="60"/>
  <c r="K29" i="60"/>
  <c r="H29" i="60"/>
  <c r="L26" i="60"/>
  <c r="I26" i="60"/>
  <c r="F26" i="60"/>
  <c r="N25" i="60"/>
  <c r="K25" i="60"/>
  <c r="H25" i="60"/>
  <c r="L22" i="60"/>
  <c r="I22" i="60"/>
  <c r="F22" i="60"/>
  <c r="N21" i="60"/>
  <c r="K21" i="60"/>
  <c r="H21" i="60"/>
  <c r="L18" i="60"/>
  <c r="I18" i="60"/>
  <c r="F18" i="60"/>
  <c r="N17" i="60"/>
  <c r="K17" i="60"/>
  <c r="H17" i="60"/>
  <c r="L14" i="60"/>
  <c r="I14" i="60"/>
  <c r="F14" i="60"/>
  <c r="N13" i="60"/>
  <c r="K13" i="60"/>
  <c r="H13" i="60"/>
  <c r="L8" i="60"/>
  <c r="I8" i="60"/>
  <c r="F8" i="60"/>
  <c r="N7" i="60"/>
  <c r="K7" i="60"/>
  <c r="H7" i="60"/>
  <c r="L5" i="60"/>
  <c r="I5" i="60"/>
  <c r="F5" i="60"/>
  <c r="N4" i="60"/>
  <c r="K4" i="60"/>
  <c r="H4" i="60"/>
  <c r="L14" i="59"/>
  <c r="L38" i="59"/>
  <c r="I38" i="59"/>
  <c r="F38" i="59"/>
  <c r="N37" i="59"/>
  <c r="K37" i="59"/>
  <c r="H37" i="59"/>
  <c r="L34" i="59"/>
  <c r="I34" i="59"/>
  <c r="F34" i="59"/>
  <c r="N33" i="59"/>
  <c r="K33" i="59"/>
  <c r="H33" i="59"/>
  <c r="L30" i="59"/>
  <c r="I30" i="59"/>
  <c r="F30" i="59"/>
  <c r="N29" i="59"/>
  <c r="K29" i="59"/>
  <c r="H29" i="59"/>
  <c r="L26" i="59"/>
  <c r="I26" i="59"/>
  <c r="N25" i="59"/>
  <c r="K25" i="59"/>
  <c r="H25" i="59"/>
  <c r="L22" i="59"/>
  <c r="I22" i="59"/>
  <c r="F22" i="59"/>
  <c r="N21" i="59"/>
  <c r="K21" i="59"/>
  <c r="H21" i="59"/>
  <c r="L18" i="59"/>
  <c r="I18" i="59"/>
  <c r="F18" i="59"/>
  <c r="N17" i="59"/>
  <c r="K17" i="59"/>
  <c r="H17" i="59"/>
  <c r="I14" i="59"/>
  <c r="F14" i="59"/>
  <c r="N13" i="59"/>
  <c r="K13" i="59"/>
  <c r="H13" i="59"/>
  <c r="L8" i="59"/>
  <c r="I8" i="59"/>
  <c r="F8" i="59"/>
  <c r="N7" i="59"/>
  <c r="K7" i="59"/>
  <c r="H7" i="59"/>
  <c r="L5" i="59"/>
  <c r="I5" i="59"/>
  <c r="F5" i="59"/>
  <c r="N4" i="59"/>
  <c r="K4" i="59"/>
  <c r="H4" i="59"/>
  <c r="L38" i="58"/>
  <c r="I38" i="58"/>
  <c r="F38" i="58"/>
  <c r="N37" i="58"/>
  <c r="K37" i="58"/>
  <c r="H37" i="58"/>
  <c r="L34" i="58"/>
  <c r="I34" i="58"/>
  <c r="F34" i="58"/>
  <c r="N33" i="58"/>
  <c r="K33" i="58"/>
  <c r="H33" i="58"/>
  <c r="L30" i="58"/>
  <c r="I30" i="58"/>
  <c r="F30" i="58"/>
  <c r="N29" i="58"/>
  <c r="K29" i="58"/>
  <c r="H29" i="58"/>
  <c r="L26" i="58"/>
  <c r="I26" i="58"/>
  <c r="F26" i="58"/>
  <c r="N25" i="58"/>
  <c r="K25" i="58"/>
  <c r="H25" i="58"/>
  <c r="L22" i="58"/>
  <c r="I22" i="58"/>
  <c r="F22" i="58"/>
  <c r="N21" i="58"/>
  <c r="K21" i="58"/>
  <c r="H21" i="58"/>
  <c r="L18" i="58"/>
  <c r="I18" i="58"/>
  <c r="F18" i="58"/>
  <c r="N17" i="58"/>
  <c r="K17" i="58"/>
  <c r="H17" i="58"/>
  <c r="L14" i="58"/>
  <c r="I14" i="58"/>
  <c r="F14" i="58"/>
  <c r="N13" i="58"/>
  <c r="K13" i="58"/>
  <c r="H13" i="58"/>
  <c r="L8" i="58"/>
  <c r="I8" i="58"/>
  <c r="F8" i="58"/>
  <c r="N7" i="58"/>
  <c r="K7" i="58"/>
  <c r="H7" i="58"/>
  <c r="L5" i="58"/>
  <c r="I5" i="58"/>
  <c r="F5" i="58"/>
  <c r="N4" i="58"/>
  <c r="K4" i="58"/>
  <c r="H4" i="58"/>
  <c r="L38" i="57"/>
  <c r="I38" i="57"/>
  <c r="F38" i="57"/>
  <c r="N37" i="57"/>
  <c r="K37" i="57"/>
  <c r="H37" i="57"/>
  <c r="L34" i="57"/>
  <c r="I34" i="57"/>
  <c r="F34" i="57"/>
  <c r="N33" i="57"/>
  <c r="K33" i="57"/>
  <c r="H33" i="57"/>
  <c r="L30" i="57"/>
  <c r="I30" i="57"/>
  <c r="F30" i="57"/>
  <c r="N29" i="57"/>
  <c r="K29" i="57"/>
  <c r="H29" i="57"/>
  <c r="L26" i="57"/>
  <c r="I26" i="57"/>
  <c r="F26" i="57"/>
  <c r="N25" i="57"/>
  <c r="K25" i="57"/>
  <c r="H25" i="57"/>
  <c r="L22" i="57"/>
  <c r="I22" i="57"/>
  <c r="F22" i="57"/>
  <c r="N21" i="57"/>
  <c r="K21" i="57"/>
  <c r="H21" i="57"/>
  <c r="L18" i="57"/>
  <c r="I18" i="57"/>
  <c r="F18" i="57"/>
  <c r="N17" i="57"/>
  <c r="K17" i="57"/>
  <c r="H17" i="57"/>
  <c r="L14" i="57"/>
  <c r="I14" i="57"/>
  <c r="F14" i="57"/>
  <c r="N13" i="57"/>
  <c r="K13" i="57"/>
  <c r="H13" i="57"/>
  <c r="L8" i="57"/>
  <c r="I8" i="57"/>
  <c r="F8" i="57"/>
  <c r="N7" i="57"/>
  <c r="K7" i="57"/>
  <c r="H7" i="57"/>
  <c r="L5" i="57"/>
  <c r="I5" i="57"/>
  <c r="F5" i="57"/>
  <c r="N4" i="57"/>
  <c r="K4" i="57"/>
  <c r="H4" i="57"/>
  <c r="L38" i="56"/>
  <c r="I38" i="56"/>
  <c r="F38" i="56"/>
  <c r="N37" i="56"/>
  <c r="K37" i="56"/>
  <c r="H37" i="56"/>
  <c r="L34" i="56"/>
  <c r="I34" i="56"/>
  <c r="F34" i="56"/>
  <c r="N33" i="56"/>
  <c r="K33" i="56"/>
  <c r="H33" i="56"/>
  <c r="L30" i="56"/>
  <c r="I30" i="56"/>
  <c r="F30" i="56"/>
  <c r="N29" i="56"/>
  <c r="K29" i="56"/>
  <c r="H29" i="56"/>
  <c r="L26" i="56"/>
  <c r="I26" i="56"/>
  <c r="F26" i="56"/>
  <c r="N25" i="56"/>
  <c r="K25" i="56"/>
  <c r="H25" i="56"/>
  <c r="L22" i="56"/>
  <c r="I22" i="56"/>
  <c r="F22" i="56"/>
  <c r="N21" i="56"/>
  <c r="K21" i="56"/>
  <c r="H21" i="56"/>
  <c r="L18" i="56"/>
  <c r="I18" i="56"/>
  <c r="F18" i="56"/>
  <c r="N17" i="56"/>
  <c r="K17" i="56"/>
  <c r="H17" i="56"/>
  <c r="L14" i="56"/>
  <c r="I14" i="56"/>
  <c r="F14" i="56"/>
  <c r="N13" i="56"/>
  <c r="K13" i="56"/>
  <c r="H13" i="56"/>
  <c r="L8" i="56"/>
  <c r="I8" i="56"/>
  <c r="F8" i="56"/>
  <c r="N7" i="56"/>
  <c r="K7" i="56"/>
  <c r="H7" i="56"/>
  <c r="L5" i="56"/>
  <c r="I5" i="56"/>
  <c r="F5" i="56"/>
  <c r="N4" i="56"/>
  <c r="K4" i="56"/>
  <c r="H4" i="56"/>
  <c r="L38" i="55"/>
  <c r="I38" i="55"/>
  <c r="F38" i="55"/>
  <c r="N37" i="55"/>
  <c r="K37" i="55"/>
  <c r="H37" i="55"/>
  <c r="L34" i="55"/>
  <c r="I34" i="55"/>
  <c r="F34" i="55"/>
  <c r="N33" i="55"/>
  <c r="K33" i="55"/>
  <c r="H33" i="55"/>
  <c r="L30" i="55"/>
  <c r="I30" i="55"/>
  <c r="F30" i="55"/>
  <c r="N29" i="55"/>
  <c r="K29" i="55"/>
  <c r="H29" i="55"/>
  <c r="L26" i="55"/>
  <c r="I26" i="55"/>
  <c r="F26" i="55"/>
  <c r="N25" i="55"/>
  <c r="K25" i="55"/>
  <c r="H25" i="55"/>
  <c r="L22" i="55"/>
  <c r="I22" i="55"/>
  <c r="F22" i="55"/>
  <c r="N21" i="55"/>
  <c r="K21" i="55"/>
  <c r="H21" i="55"/>
  <c r="L18" i="55"/>
  <c r="I18" i="55"/>
  <c r="F18" i="55"/>
  <c r="N17" i="55"/>
  <c r="K17" i="55"/>
  <c r="H17" i="55"/>
  <c r="L14" i="55"/>
  <c r="I14" i="55"/>
  <c r="F14" i="55"/>
  <c r="N13" i="55"/>
  <c r="K13" i="55"/>
  <c r="H13" i="55"/>
  <c r="L8" i="55"/>
  <c r="I8" i="55"/>
  <c r="F8" i="55"/>
  <c r="N7" i="55"/>
  <c r="K7" i="55"/>
  <c r="H7" i="55"/>
  <c r="L5" i="55"/>
  <c r="I5" i="55"/>
  <c r="F5" i="55"/>
  <c r="N4" i="55"/>
  <c r="K4" i="55"/>
  <c r="H4" i="55"/>
  <c r="L38" i="53" l="1"/>
  <c r="I38" i="53"/>
  <c r="F38" i="53"/>
  <c r="N37" i="53"/>
  <c r="K37" i="53"/>
  <c r="H37" i="53"/>
  <c r="L34" i="53"/>
  <c r="I34" i="53"/>
  <c r="F34" i="53"/>
  <c r="N33" i="53"/>
  <c r="K33" i="53"/>
  <c r="H33" i="53"/>
  <c r="L30" i="53"/>
  <c r="I30" i="53"/>
  <c r="F30" i="53"/>
  <c r="N29" i="53"/>
  <c r="K29" i="53"/>
  <c r="H29" i="53"/>
  <c r="L26" i="53"/>
  <c r="I26" i="53"/>
  <c r="F26" i="53"/>
  <c r="N25" i="53"/>
  <c r="K25" i="53"/>
  <c r="H25" i="53"/>
  <c r="L22" i="53"/>
  <c r="I22" i="53"/>
  <c r="F22" i="53"/>
  <c r="N21" i="53"/>
  <c r="K21" i="53"/>
  <c r="H21" i="53"/>
  <c r="L18" i="53"/>
  <c r="I18" i="53"/>
  <c r="F18" i="53"/>
  <c r="N17" i="53"/>
  <c r="K17" i="53"/>
  <c r="H17" i="53"/>
  <c r="L14" i="53"/>
  <c r="I14" i="53"/>
  <c r="F14" i="53"/>
  <c r="N13" i="53"/>
  <c r="K13" i="53"/>
  <c r="H13" i="53"/>
  <c r="L8" i="53"/>
  <c r="I8" i="53"/>
  <c r="F8" i="53"/>
  <c r="N7" i="53"/>
  <c r="K7" i="53"/>
  <c r="H7" i="53"/>
  <c r="L5" i="53"/>
  <c r="I5" i="53"/>
  <c r="F5" i="53"/>
  <c r="N4" i="53"/>
  <c r="K4" i="53"/>
  <c r="H4" i="53"/>
  <c r="K25" i="52"/>
  <c r="L38" i="52"/>
  <c r="I38" i="52"/>
  <c r="F38" i="52"/>
  <c r="N37" i="52"/>
  <c r="K37" i="52"/>
  <c r="H37" i="52"/>
  <c r="L34" i="52"/>
  <c r="I34" i="52"/>
  <c r="F34" i="52"/>
  <c r="N33" i="52"/>
  <c r="K33" i="52"/>
  <c r="H33" i="52"/>
  <c r="L30" i="52"/>
  <c r="I30" i="52"/>
  <c r="F30" i="52"/>
  <c r="N29" i="52"/>
  <c r="K29" i="52"/>
  <c r="H29" i="52"/>
  <c r="L26" i="52"/>
  <c r="I26" i="52"/>
  <c r="F26" i="52"/>
  <c r="N25" i="52"/>
  <c r="H25" i="52"/>
  <c r="L22" i="52"/>
  <c r="I22" i="52"/>
  <c r="F22" i="52"/>
  <c r="N21" i="52"/>
  <c r="K21" i="52"/>
  <c r="H21" i="52"/>
  <c r="L18" i="52"/>
  <c r="I18" i="52"/>
  <c r="F18" i="52"/>
  <c r="N17" i="52"/>
  <c r="K17" i="52"/>
  <c r="H17" i="52"/>
  <c r="L14" i="52"/>
  <c r="I14" i="52"/>
  <c r="F14" i="52"/>
  <c r="N13" i="52"/>
  <c r="K13" i="52"/>
  <c r="H13" i="52"/>
  <c r="L8" i="52"/>
  <c r="I8" i="52"/>
  <c r="F8" i="52"/>
  <c r="N7" i="52"/>
  <c r="K7" i="52"/>
  <c r="H7" i="52"/>
  <c r="L5" i="52"/>
  <c r="I5" i="52"/>
  <c r="F5" i="52"/>
  <c r="N4" i="52"/>
  <c r="K4" i="52"/>
  <c r="H4" i="52"/>
  <c r="K29" i="50"/>
  <c r="L38" i="50"/>
  <c r="I38" i="50"/>
  <c r="F38" i="50"/>
  <c r="N37" i="50"/>
  <c r="K37" i="50"/>
  <c r="H37" i="50"/>
  <c r="L34" i="50"/>
  <c r="I34" i="50"/>
  <c r="F34" i="50"/>
  <c r="N33" i="50"/>
  <c r="K33" i="50"/>
  <c r="H33" i="50"/>
  <c r="L30" i="50"/>
  <c r="I30" i="50"/>
  <c r="F30" i="50"/>
  <c r="N29" i="50"/>
  <c r="H29" i="50"/>
  <c r="L26" i="50"/>
  <c r="I26" i="50"/>
  <c r="F26" i="50"/>
  <c r="N25" i="50"/>
  <c r="K25" i="50"/>
  <c r="H25" i="50"/>
  <c r="L22" i="50"/>
  <c r="I22" i="50"/>
  <c r="F22" i="50"/>
  <c r="N21" i="50"/>
  <c r="K21" i="50"/>
  <c r="H21" i="50"/>
  <c r="L18" i="50"/>
  <c r="I18" i="50"/>
  <c r="F18" i="50"/>
  <c r="N17" i="50"/>
  <c r="K17" i="50"/>
  <c r="H17" i="50"/>
  <c r="L14" i="50"/>
  <c r="I14" i="50"/>
  <c r="F14" i="50"/>
  <c r="N13" i="50"/>
  <c r="K13" i="50"/>
  <c r="H13" i="50"/>
  <c r="L8" i="50"/>
  <c r="I8" i="50"/>
  <c r="F8" i="50"/>
  <c r="N7" i="50"/>
  <c r="K7" i="50"/>
  <c r="H7" i="50"/>
  <c r="L5" i="50"/>
  <c r="I5" i="50"/>
  <c r="F5" i="50"/>
  <c r="N4" i="50"/>
  <c r="K4" i="50"/>
  <c r="H4" i="50"/>
  <c r="L38" i="49"/>
  <c r="I38" i="49"/>
  <c r="F38" i="49"/>
  <c r="N37" i="49"/>
  <c r="K37" i="49"/>
  <c r="H37" i="49"/>
  <c r="L34" i="49"/>
  <c r="I34" i="49"/>
  <c r="F34" i="49"/>
  <c r="N33" i="49"/>
  <c r="K33" i="49"/>
  <c r="H33" i="49"/>
  <c r="L30" i="49"/>
  <c r="I30" i="49"/>
  <c r="F30" i="49"/>
  <c r="N29" i="49"/>
  <c r="K29" i="49"/>
  <c r="H29" i="49"/>
  <c r="L26" i="49"/>
  <c r="I26" i="49"/>
  <c r="F26" i="49"/>
  <c r="N25" i="49"/>
  <c r="K25" i="49"/>
  <c r="H25" i="49"/>
  <c r="L22" i="49"/>
  <c r="I22" i="49"/>
  <c r="F22" i="49"/>
  <c r="N21" i="49"/>
  <c r="K21" i="49"/>
  <c r="H21" i="49"/>
  <c r="L18" i="49"/>
  <c r="I18" i="49"/>
  <c r="F18" i="49"/>
  <c r="N17" i="49"/>
  <c r="K17" i="49"/>
  <c r="H17" i="49"/>
  <c r="L14" i="49"/>
  <c r="I14" i="49"/>
  <c r="F14" i="49"/>
  <c r="N13" i="49"/>
  <c r="K13" i="49"/>
  <c r="H13" i="49"/>
  <c r="L8" i="49"/>
  <c r="I8" i="49"/>
  <c r="F8" i="49"/>
  <c r="N7" i="49"/>
  <c r="K7" i="49"/>
  <c r="H7" i="49"/>
  <c r="L5" i="49"/>
  <c r="I5" i="49"/>
  <c r="F5" i="49"/>
  <c r="N4" i="49"/>
  <c r="K4" i="49"/>
  <c r="H4" i="49"/>
  <c r="L38" i="48"/>
  <c r="I38" i="48"/>
  <c r="F38" i="48"/>
  <c r="N37" i="48"/>
  <c r="K37" i="48"/>
  <c r="H37" i="48"/>
  <c r="L34" i="48"/>
  <c r="I34" i="48"/>
  <c r="F34" i="48"/>
  <c r="N33" i="48"/>
  <c r="K33" i="48"/>
  <c r="H33" i="48"/>
  <c r="L30" i="48"/>
  <c r="I30" i="48"/>
  <c r="F30" i="48"/>
  <c r="N29" i="48"/>
  <c r="K29" i="48"/>
  <c r="H29" i="48"/>
  <c r="L26" i="48"/>
  <c r="I26" i="48"/>
  <c r="F26" i="48"/>
  <c r="N25" i="48"/>
  <c r="K25" i="48"/>
  <c r="H25" i="48"/>
  <c r="L22" i="48"/>
  <c r="I22" i="48"/>
  <c r="F22" i="48"/>
  <c r="N21" i="48"/>
  <c r="K21" i="48"/>
  <c r="H21" i="48"/>
  <c r="L18" i="48"/>
  <c r="I18" i="48"/>
  <c r="F18" i="48"/>
  <c r="N17" i="48"/>
  <c r="K17" i="48"/>
  <c r="H17" i="48"/>
  <c r="L14" i="48"/>
  <c r="I14" i="48"/>
  <c r="F14" i="48"/>
  <c r="N13" i="48"/>
  <c r="K13" i="48"/>
  <c r="H13" i="48"/>
  <c r="L8" i="48"/>
  <c r="I8" i="48"/>
  <c r="F8" i="48"/>
  <c r="N7" i="48"/>
  <c r="K7" i="48"/>
  <c r="H7" i="48"/>
  <c r="L5" i="48"/>
  <c r="I5" i="48"/>
  <c r="F5" i="48"/>
  <c r="N4" i="48"/>
  <c r="K4" i="48"/>
  <c r="H4" i="48"/>
  <c r="H29" i="44"/>
  <c r="L38" i="44"/>
  <c r="I38" i="44"/>
  <c r="F38" i="44"/>
  <c r="N37" i="44"/>
  <c r="K37" i="44"/>
  <c r="H37" i="44"/>
  <c r="L34" i="44"/>
  <c r="I34" i="44"/>
  <c r="F34" i="44"/>
  <c r="N33" i="44"/>
  <c r="K33" i="44"/>
  <c r="H33" i="44"/>
  <c r="L30" i="44"/>
  <c r="I30" i="44"/>
  <c r="F30" i="44"/>
  <c r="N29" i="44"/>
  <c r="K29" i="44"/>
  <c r="L26" i="44"/>
  <c r="I26" i="44"/>
  <c r="F26" i="44"/>
  <c r="N25" i="44"/>
  <c r="K25" i="44"/>
  <c r="H25" i="44"/>
  <c r="L22" i="44"/>
  <c r="I22" i="44"/>
  <c r="F22" i="44"/>
  <c r="N21" i="44"/>
  <c r="K21" i="44"/>
  <c r="H21" i="44"/>
  <c r="L18" i="44"/>
  <c r="I18" i="44"/>
  <c r="F18" i="44"/>
  <c r="N17" i="44"/>
  <c r="K17" i="44"/>
  <c r="H17" i="44"/>
  <c r="L14" i="44"/>
  <c r="I14" i="44"/>
  <c r="F14" i="44"/>
  <c r="N13" i="44"/>
  <c r="K13" i="44"/>
  <c r="H13" i="44"/>
  <c r="L8" i="44"/>
  <c r="I8" i="44"/>
  <c r="F8" i="44"/>
  <c r="N7" i="44"/>
  <c r="K7" i="44"/>
  <c r="H7" i="44"/>
  <c r="L5" i="44"/>
  <c r="I5" i="44"/>
  <c r="F5" i="44"/>
  <c r="N4" i="44"/>
  <c r="K4" i="44"/>
  <c r="H4" i="44"/>
  <c r="O10" i="77"/>
  <c r="Q10" i="77"/>
  <c r="R10" i="77"/>
  <c r="P10" i="77"/>
  <c r="N10" i="77"/>
  <c r="U2" i="77" l="1"/>
  <c r="B3" i="78" s="1"/>
  <c r="V2" i="77"/>
  <c r="E3" i="78" s="1"/>
  <c r="W2" i="77"/>
  <c r="H3" i="78" s="1"/>
  <c r="V3" i="77"/>
  <c r="E4" i="78" s="1"/>
  <c r="U4" i="77"/>
  <c r="B5" i="78" s="1"/>
</calcChain>
</file>

<file path=xl/sharedStrings.xml><?xml version="1.0" encoding="utf-8"?>
<sst xmlns="http://schemas.openxmlformats.org/spreadsheetml/2006/main" count="9673" uniqueCount="1205">
  <si>
    <t>Source</t>
  </si>
  <si>
    <t>Ability</t>
  </si>
  <si>
    <t>AbilityName</t>
  </si>
  <si>
    <t>ApplyToWeaponSlot</t>
  </si>
  <si>
    <t>Class</t>
  </si>
  <si>
    <t>Rank</t>
  </si>
  <si>
    <t>Description</t>
  </si>
  <si>
    <t>XCOM2</t>
  </si>
  <si>
    <t>Slash</t>
  </si>
  <si>
    <t>SwordSlice</t>
  </si>
  <si>
    <t>SecondaryWeapon</t>
  </si>
  <si>
    <t>Ranger</t>
  </si>
  <si>
    <t>Squaddie</t>
  </si>
  <si>
    <t>Attack any enemy within movement range with your sword.</t>
  </si>
  <si>
    <t>Phantom</t>
  </si>
  <si>
    <t>Corporal</t>
  </si>
  <si>
    <t>When the squad is revealed, this soldier remains concealed.</t>
  </si>
  <si>
    <t>Blademaster</t>
  </si>
  <si>
    <t>Deal +2 extra damage on all sword attacks.</t>
  </si>
  <si>
    <t>Shadowstrike</t>
  </si>
  <si>
    <t>Unknown</t>
  </si>
  <si>
    <t>Sergeant</t>
  </si>
  <si>
    <t>When concealed, gain +25 bonus Aim and +25 bonus critical hit chance when attacking enemies.</t>
  </si>
  <si>
    <t>Shadowstep</t>
  </si>
  <si>
    <t>This soldier does not trigger overwatch or reaction fire.</t>
  </si>
  <si>
    <t>Conceal</t>
  </si>
  <si>
    <t>Stealth</t>
  </si>
  <si>
    <t>Lieutenant</t>
  </si>
  <si>
    <t>Immediately enter concealment once per mission.</t>
  </si>
  <si>
    <t>Run and Gun</t>
  </si>
  <si>
    <t>RunAndGun</t>
  </si>
  <si>
    <t>Take an action after dashing. 3 turn cooldown.</t>
  </si>
  <si>
    <t>Implacable</t>
  </si>
  <si>
    <t>Captain</t>
  </si>
  <si>
    <t>If you score one or more kills on your turn, you are granted a single bonus move.</t>
  </si>
  <si>
    <t>Bladestorm</t>
  </si>
  <si>
    <t>Free sword attacks on enemies that enter or attack from melee range. If an enemy attempts to attack a Ranger with Bladestorm within melee range, Bladestorm will activate before the enemy attack.</t>
  </si>
  <si>
    <t>Deep Cover</t>
  </si>
  <si>
    <t>DeepCover</t>
  </si>
  <si>
    <t>Major</t>
  </si>
  <si>
    <t>If you did not attack this turn, hunker down automatically.</t>
  </si>
  <si>
    <t>Untouchable</t>
  </si>
  <si>
    <t>If you score a kill during your turn, the next attack against you during the enemy turn will miss.</t>
  </si>
  <si>
    <t>Rapid Fire</t>
  </si>
  <si>
    <t>RapidFire</t>
  </si>
  <si>
    <t>PrimaryWeapon</t>
  </si>
  <si>
    <t>Colonel</t>
  </si>
  <si>
    <t>Fire twice in a row at an enemy. Each shot suffers an Aim penalty of -15. There is no cooldown on this ability.</t>
  </si>
  <si>
    <t>Reaper</t>
  </si>
  <si>
    <t>A devastating chain melee attack where the first melee attack cannot miss. Each melee kill in Reaper mode grants an extra action, but further melee attacks deal reduced damage. 4 turn cooldown.</t>
  </si>
  <si>
    <t>Fire Pistol</t>
  </si>
  <si>
    <t>PistolStandardShot</t>
  </si>
  <si>
    <t>Sharpshooter</t>
  </si>
  <si>
    <t>Squadsight</t>
  </si>
  <si>
    <t>You can target enemies within squadmates' sight, provided there is line of sight to the target.</t>
  </si>
  <si>
    <t>Long Watch</t>
  </si>
  <si>
    <t>LongWatch</t>
  </si>
  <si>
    <t>Allow Overwatch to trigger with Squadsight.</t>
  </si>
  <si>
    <t>Return Fire</t>
  </si>
  <si>
    <t>ReturnFire</t>
  </si>
  <si>
    <t>When targeted by enemy fire, automatically fire back with your pistol once per turn.</t>
  </si>
  <si>
    <t>Deadeye</t>
  </si>
  <si>
    <t>Take a shot with a small aim penalty for a significant damage boost. 2 turn cooldown.</t>
  </si>
  <si>
    <t>Lightning Hands</t>
  </si>
  <si>
    <t>LightningHands</t>
  </si>
  <si>
    <t>Fire your pistol at a target. This attack does not cost an action. 3 turn cooldown.</t>
  </si>
  <si>
    <t>Death From Above</t>
  </si>
  <si>
    <t>DeathFromAbove</t>
  </si>
  <si>
    <t>Killing an enemy at a lower elevation with your sniper rifle costs only a single action and does not end your turn.</t>
  </si>
  <si>
    <t>Quickdraw</t>
  </si>
  <si>
    <t>Firing your pistol with your first action no longer ends your turn.</t>
  </si>
  <si>
    <t>Kill Zone</t>
  </si>
  <si>
    <t>KillZone</t>
  </si>
  <si>
    <t>Take a reaction shot against any enemy that moves or attacks within a cone of fire. 3 turn cooldown.</t>
  </si>
  <si>
    <t>Faceoff</t>
  </si>
  <si>
    <t>Fire once at every visible enemy with your pistol. 3 turn cooldown.</t>
  </si>
  <si>
    <t>Steady Hands</t>
  </si>
  <si>
    <t>SteadyHands</t>
  </si>
  <si>
    <t>If you didn't move last turn, gain +10 aim and +10 critical chance.</t>
  </si>
  <si>
    <t>Aim</t>
  </si>
  <si>
    <t>SharpshooterAim</t>
  </si>
  <si>
    <t>Hunker Down now confers +20 aim to the first shot on the following turn.</t>
  </si>
  <si>
    <t>Serial</t>
  </si>
  <si>
    <t>InTheZone</t>
  </si>
  <si>
    <t>Each kill made with your sniper rifle completely restores your actions. With each consecutive kill you get a critical chance penalty. 4 turn cooldown.</t>
  </si>
  <si>
    <t>Fan Fire</t>
  </si>
  <si>
    <t>FanFire</t>
  </si>
  <si>
    <t>Fire the pistol 3 consecutive times at a single target. 3 turn cooldown.</t>
  </si>
  <si>
    <t>Launch Grenade</t>
  </si>
  <si>
    <t>LaunchGrenade</t>
  </si>
  <si>
    <t>Grenadier</t>
  </si>
  <si>
    <t>The Grenadier uses a grenade launcher to fire grenades rather than throwing them. This allows for greater grenade range and grenade capacity.The grenadier gains an extra inventory slot that may only be used for grenades.</t>
  </si>
  <si>
    <t>Blast Padding</t>
  </si>
  <si>
    <t>BlastPadding</t>
  </si>
  <si>
    <t>Your gear includes layers of extra padding and blast plates, granting a bonus point of Armor and 66% less damage from explosive attacks.</t>
  </si>
  <si>
    <t>Shredder</t>
  </si>
  <si>
    <t>Your cannon attacks shred armor. Higher rank weapons shred more points of armor. The shredding effect applies before damage.</t>
  </si>
  <si>
    <t>Demolition</t>
  </si>
  <si>
    <t>Unleash a volley of bullets at your target's cover, significantly damaging or destroying it. Deals no damage to your target. Uses 2 ammo. 3-turn cooldown.</t>
  </si>
  <si>
    <t>Suppression</t>
  </si>
  <si>
    <t>Fire a barrage that pins down your target, granting reaction fire against it if it moves, and imposing a -50 penalty to the target's aim. Suppression is cancelled if the Grenadier takes damage. Suppression penalties stack. Uses 2 ammo. No cooldown. Suppression will break Overwatch on the enemy it is used on.</t>
  </si>
  <si>
    <t>Heavy Ordnance</t>
  </si>
  <si>
    <t>HeavyOrdnance</t>
  </si>
  <si>
    <t>The grenade in your grenade-only slot gains a bonus use. Affects support grenades, not just offensive ones.</t>
  </si>
  <si>
    <t>Holo Targeting</t>
  </si>
  <si>
    <t>HoloTargeting</t>
  </si>
  <si>
    <t>Any directed cannon shot, hit or miss, will mark the target, increasing your squad's aim by +15 against this target. Applies to standard attacks and single-target abilities, including suppression.</t>
  </si>
  <si>
    <t>Volatile Mix</t>
  </si>
  <si>
    <t>VolatileMix</t>
  </si>
  <si>
    <t>Grenades gain +1 tile to their radius and deal +2 damage. Does not increase environment damage.</t>
  </si>
  <si>
    <t>Chain Shot</t>
  </si>
  <si>
    <t>ChainShot</t>
  </si>
  <si>
    <t>Fires a shot with a penalty of 15 to aim. If it hits, immediately fire another shot at the target. Uses 2 ammo. 3-turn cooldown.</t>
  </si>
  <si>
    <t>Salvo</t>
  </si>
  <si>
    <t>Using the grenade launcher or a heavy weapon as your first action does not end the turn.</t>
  </si>
  <si>
    <t>Hail of Bullets</t>
  </si>
  <si>
    <t>HailOfBulllets</t>
  </si>
  <si>
    <t>Fire a shot that is guaranteed to hit. Uses 3 ammo. 5 turn cool down.</t>
  </si>
  <si>
    <t>Saturation Fire</t>
  </si>
  <si>
    <t>SaturationFire</t>
  </si>
  <si>
    <t>Fire a hail of bullets in a cone damaging every enemy and all cover within. Uses 3 ammo, 5 turn cool down.</t>
  </si>
  <si>
    <t>Rupture</t>
  </si>
  <si>
    <t>BulletShred</t>
  </si>
  <si>
    <t>Fires a shot that deals critical damage. The target, if hit, will also take 3 additional damage from all sources. Uses 3 ammo. 3-turn cooldown.</t>
  </si>
  <si>
    <t>Aid Protocol</t>
  </si>
  <si>
    <t>AidProtocol</t>
  </si>
  <si>
    <t>Specialist</t>
  </si>
  <si>
    <t>Give +20 defense to an ally.</t>
  </si>
  <si>
    <t>Medical Protocol</t>
  </si>
  <si>
    <t>MedicalProtocol</t>
  </si>
  <si>
    <t>Use the GREMLIN to use a medkit at range.</t>
  </si>
  <si>
    <t>Combat Protocol</t>
  </si>
  <si>
    <t>CombatProtocol</t>
  </si>
  <si>
    <t>Send the GREMLIN to an enemy to jolt them, dealing guaranteed damage, which is increased against robotic enemies. Twice per mission.</t>
  </si>
  <si>
    <t>Revival Protocol</t>
  </si>
  <si>
    <t>RevivalProtocol</t>
  </si>
  <si>
    <t>Send the GREMLIN to an ally to remove any negative mental status effects. Disoriented, Stunned, Panicked, or Unconscious.</t>
  </si>
  <si>
    <t>Haywire Protocol</t>
  </si>
  <si>
    <t>HaywireProtocol</t>
  </si>
  <si>
    <t>You may target robotic and mechanical enemies with your GREMLIN, attempting to hack them and seize control.</t>
  </si>
  <si>
    <t>Field Medic</t>
  </si>
  <si>
    <t>FieldMedic</t>
  </si>
  <si>
    <t>Equipped medikits have 2 extra charges.</t>
  </si>
  <si>
    <t>Scanning Protocol</t>
  </si>
  <si>
    <t>ScanningProtocol</t>
  </si>
  <si>
    <t>The GREMLIN can trigger an instant scan of the area, increasing the Specialist's sight radius substantially for one turn and revealing any hidden enemies.</t>
  </si>
  <si>
    <t>Covering Fire</t>
  </si>
  <si>
    <t>CoveringFire</t>
  </si>
  <si>
    <t>Overwatch shots can now be triggered by enemy actions, not just movement.</t>
  </si>
  <si>
    <t>Threat Assessment</t>
  </si>
  <si>
    <t>ThreatAssessment</t>
  </si>
  <si>
    <t>Aid Protocol now grants the target a Covering Fire Overwatch shot, but the Aid Protocol cooldown is increased by 1 turn. Giving a soldier Threat Assessment before he/she is opening fire as part of an overwatch ambush will result in the said soldier firing again after the squad loses concealment. This allows for an additional shot in an overwatch ambush.</t>
  </si>
  <si>
    <t>Ever Vigilant</t>
  </si>
  <si>
    <t>EverVigilant</t>
  </si>
  <si>
    <t>If you spend all of your actions on moves, you are granted an automatic overwatch shot at the end of the turn.</t>
  </si>
  <si>
    <t>Guardian</t>
  </si>
  <si>
    <t>Sentinel</t>
  </si>
  <si>
    <t>Grants 50% chance during Overwatch to perform an additional shot if the previous Overwatch shot hits. There's no limit as to how many times Guardian can trigger.</t>
  </si>
  <si>
    <t>Restoration</t>
  </si>
  <si>
    <t>RestorativeMist</t>
  </si>
  <si>
    <t>The GREMLIN flies to each squad member, healing or reviving them as needed. Once per mission.</t>
  </si>
  <si>
    <t>Capacitor Discharge</t>
  </si>
  <si>
    <t>CapacitorDischarge</t>
  </si>
  <si>
    <t>Send the GREMLIN to a location where it emits a substantial electric discharge, damaging and potentially stunning all nearby units. Robotic units take more damage. Once per mission.</t>
  </si>
  <si>
    <t>Soulfire</t>
  </si>
  <si>
    <t>Psi Operative</t>
  </si>
  <si>
    <t>Initiate</t>
  </si>
  <si>
    <t>Does guaranteed psionic damage to an organic enemy, ignores cover and armor.</t>
  </si>
  <si>
    <t>Stasis</t>
  </si>
  <si>
    <t>Completely stuns the target for 1 turn, but renders them immune to any damage or attack.</t>
  </si>
  <si>
    <t>Insanity</t>
  </si>
  <si>
    <t>Acolyte</t>
  </si>
  <si>
    <t>Debilitating telepathic attack that can inflict different negative conditions, including mental control of the target.</t>
  </si>
  <si>
    <t>Inspire</t>
  </si>
  <si>
    <t>Grant a bonus action immediately to a nearby squadmate.</t>
  </si>
  <si>
    <t>Soul Steal</t>
  </si>
  <si>
    <t>SoulSteal</t>
  </si>
  <si>
    <t>Adept</t>
  </si>
  <si>
    <t>Using Soulfire now heals you for half of the damage dealt.</t>
  </si>
  <si>
    <t>Stasis Shield</t>
  </si>
  <si>
    <t>StasisShield</t>
  </si>
  <si>
    <t>Stasis can be used on friendly units.</t>
  </si>
  <si>
    <t>Solace</t>
  </si>
  <si>
    <t>Disciple</t>
  </si>
  <si>
    <t>The Psi Operative is surrounded by an aura that immediately extinguishes or blocks any mental impairments for themselves and any nearby allies. Passive.</t>
  </si>
  <si>
    <t>Sustain</t>
  </si>
  <si>
    <t>Once per mission, when the psionic soldier is reduced to 0 hit points, he is instead reduced to 1 hit point and put into stasis for 1 turn.</t>
  </si>
  <si>
    <t>Schism</t>
  </si>
  <si>
    <t>Mystic</t>
  </si>
  <si>
    <t>Insanity now does a small amount of guaranteed damage, and applies Rupture to the target.</t>
  </si>
  <si>
    <t>Fortress</t>
  </si>
  <si>
    <t>The Psi Operative is immune to fire, poison, acid, and explosive damage.</t>
  </si>
  <si>
    <t>Fuse</t>
  </si>
  <si>
    <t>Warlock</t>
  </si>
  <si>
    <t>If an enemy is carrying explosives, they can be remotely detonated by the Psi Operative.</t>
  </si>
  <si>
    <t>Domination</t>
  </si>
  <si>
    <t>Permanently mind controls an enemy. Only one successful Domination can be performed per mission.</t>
  </si>
  <si>
    <t>Null Lance</t>
  </si>
  <si>
    <t>NullLance</t>
  </si>
  <si>
    <t>Magus</t>
  </si>
  <si>
    <t>Project a beam of psionic energy that damages every target it passes through.</t>
  </si>
  <si>
    <t>Void Rift</t>
  </si>
  <si>
    <t>VoidRift</t>
  </si>
  <si>
    <t>A large AoE ability dealing moderate damage and a chance to inflict insanity on all targets in the storm.</t>
  </si>
  <si>
    <t>Lightning Reflexes</t>
  </si>
  <si>
    <t>LightningReflexes</t>
  </si>
  <si>
    <t>AWC</t>
  </si>
  <si>
    <t>Automatically dodge the first overwatch shot against you each turn.</t>
  </si>
  <si>
    <t>Fleche</t>
  </si>
  <si>
    <t>Slash_LW</t>
  </si>
  <si>
    <t>Assault</t>
  </si>
  <si>
    <t>RunAndGun_LW</t>
  </si>
  <si>
    <t>Close Combat Specialist</t>
  </si>
  <si>
    <t>CloseCombatSpecialist</t>
  </si>
  <si>
    <t>Close and Personal</t>
  </si>
  <si>
    <t>CloseAndPersonal</t>
  </si>
  <si>
    <t>Formidable</t>
  </si>
  <si>
    <t>Trench Gun</t>
  </si>
  <si>
    <t>StreetSweeper</t>
  </si>
  <si>
    <t>Deadshot</t>
  </si>
  <si>
    <t>HitWhereItHurts</t>
  </si>
  <si>
    <t>Slug Shot</t>
  </si>
  <si>
    <t>SlugShot</t>
  </si>
  <si>
    <t>Killer Instinct</t>
  </si>
  <si>
    <t>KillerInstinct</t>
  </si>
  <si>
    <t>LightningReflexes_LW</t>
  </si>
  <si>
    <t>Extra Conditioning</t>
  </si>
  <si>
    <t>ExtraConditioning</t>
  </si>
  <si>
    <t>Aggression</t>
  </si>
  <si>
    <t>Hit and Run</t>
  </si>
  <si>
    <t>HitAndRun</t>
  </si>
  <si>
    <t>Close Encounters</t>
  </si>
  <si>
    <t>CloseEncounters</t>
  </si>
  <si>
    <t>BringEmOn</t>
  </si>
  <si>
    <t>Cutthroat</t>
  </si>
  <si>
    <t>Shinobi</t>
  </si>
  <si>
    <t>Lethal</t>
  </si>
  <si>
    <t>Covert</t>
  </si>
  <si>
    <t>Low Profile</t>
  </si>
  <si>
    <t>LowProfile</t>
  </si>
  <si>
    <t>Hunter's Instincts</t>
  </si>
  <si>
    <t>HuntersInstinct</t>
  </si>
  <si>
    <t>Lone Wolf</t>
  </si>
  <si>
    <t>LoneWolf</t>
  </si>
  <si>
    <t>Shadowstrike_LW</t>
  </si>
  <si>
    <t>Evasive</t>
  </si>
  <si>
    <t>Hard Target</t>
  </si>
  <si>
    <t>HardTarget</t>
  </si>
  <si>
    <t>Infighter</t>
  </si>
  <si>
    <t>Ghostwalker</t>
  </si>
  <si>
    <t>Precision Shot</t>
  </si>
  <si>
    <t>PrecisionShot</t>
  </si>
  <si>
    <t>Snap Shot</t>
  </si>
  <si>
    <t>SnapShot</t>
  </si>
  <si>
    <t>Damn Good Ground</t>
  </si>
  <si>
    <t>DamnGoodGround</t>
  </si>
  <si>
    <t>Executioner</t>
  </si>
  <si>
    <t>Double Tap</t>
  </si>
  <si>
    <t>DoubleTap</t>
  </si>
  <si>
    <t>Light 'Em Up</t>
  </si>
  <si>
    <t>LightEmUp</t>
  </si>
  <si>
    <t>Walk Fire</t>
  </si>
  <si>
    <t>WalkFire</t>
  </si>
  <si>
    <t>Cool Under Pressure</t>
  </si>
  <si>
    <t>CoolUnderPressure</t>
  </si>
  <si>
    <t>Center Mass</t>
  </si>
  <si>
    <t>CenterMass</t>
  </si>
  <si>
    <t>Grazing Fire</t>
  </si>
  <si>
    <t>GrazingFire</t>
  </si>
  <si>
    <t>Tactical Sense</t>
  </si>
  <si>
    <t>TacticalSense</t>
  </si>
  <si>
    <t>Rapid Reaction</t>
  </si>
  <si>
    <t>RapidReaction</t>
  </si>
  <si>
    <t>Interference</t>
  </si>
  <si>
    <t>Airdrop</t>
  </si>
  <si>
    <t>Field Surgeon</t>
  </si>
  <si>
    <t>FieldSurgeon</t>
  </si>
  <si>
    <t>Trojan</t>
  </si>
  <si>
    <t>Savior</t>
  </si>
  <si>
    <t>Sentinel_LW</t>
  </si>
  <si>
    <t>Area Suppression</t>
  </si>
  <si>
    <t>AreaSuppression</t>
  </si>
  <si>
    <t>Gunner</t>
  </si>
  <si>
    <t>Locked On</t>
  </si>
  <si>
    <t>LockedOn</t>
  </si>
  <si>
    <t>HailofBullets</t>
  </si>
  <si>
    <t>Danger Zone</t>
  </si>
  <si>
    <t>DangerZone</t>
  </si>
  <si>
    <t>Traverse Fire</t>
  </si>
  <si>
    <t>TraverseFire</t>
  </si>
  <si>
    <t>Lockdown</t>
  </si>
  <si>
    <t>Iron Curtain</t>
  </si>
  <si>
    <t>IronCurtain</t>
  </si>
  <si>
    <t>Cyclic Fire</t>
  </si>
  <si>
    <t>CyclicFire</t>
  </si>
  <si>
    <t>Boosted Cores</t>
  </si>
  <si>
    <t>HeavyFrags</t>
  </si>
  <si>
    <t>Biggest Booms</t>
  </si>
  <si>
    <t>Sting Grenades</t>
  </si>
  <si>
    <t>StingGrenades</t>
  </si>
  <si>
    <t>Rapid Deployment</t>
  </si>
  <si>
    <t>RapidDeployment</t>
  </si>
  <si>
    <t>Full Kit</t>
  </si>
  <si>
    <t>FullKit</t>
  </si>
  <si>
    <t>Combat Engineer</t>
  </si>
  <si>
    <t>Dense Smoke</t>
  </si>
  <si>
    <t>Fortify</t>
  </si>
  <si>
    <t>Flush</t>
  </si>
  <si>
    <t>Class Name:</t>
  </si>
  <si>
    <t>Code Name:</t>
  </si>
  <si>
    <t>Allowed Weapons:</t>
  </si>
  <si>
    <t>Left Tree:</t>
  </si>
  <si>
    <t>Right Tree:</t>
  </si>
  <si>
    <t>You shoot your pistol.</t>
  </si>
  <si>
    <t>Variables</t>
  </si>
  <si>
    <t>Multiplayer Only:</t>
  </si>
  <si>
    <t>Class Points:</t>
  </si>
  <si>
    <t>Icon Image:</t>
  </si>
  <si>
    <t>NumInDeck:</t>
  </si>
  <si>
    <t>NumInForcedDeck:</t>
  </si>
  <si>
    <t>Assists Per Kill:</t>
  </si>
  <si>
    <t>Allow AWC Abilities:</t>
  </si>
  <si>
    <t>AllowedArmors:</t>
  </si>
  <si>
    <t>soldier</t>
  </si>
  <si>
    <t>Class Abilities</t>
  </si>
  <si>
    <t>Stat Increases By Rank</t>
  </si>
  <si>
    <t>HP</t>
  </si>
  <si>
    <t>Hacking</t>
  </si>
  <si>
    <t>Strength</t>
  </si>
  <si>
    <t>Psi</t>
  </si>
  <si>
    <t>PCS</t>
  </si>
  <si>
    <t>Defense</t>
  </si>
  <si>
    <t>Will</t>
  </si>
  <si>
    <t>Mobility</t>
  </si>
  <si>
    <t>Dodge</t>
  </si>
  <si>
    <t>Sight</t>
  </si>
  <si>
    <t>Critical %</t>
  </si>
  <si>
    <t xml:space="preserve">  ), \\</t>
  </si>
  <si>
    <t xml:space="preserve"> )</t>
  </si>
  <si>
    <t>XcomClassData.ini</t>
  </si>
  <si>
    <t xml:space="preserve"> </t>
  </si>
  <si>
    <t>[XComGame.X2ItemTemplateManager]</t>
  </si>
  <si>
    <t>XcomGameData.ini</t>
  </si>
  <si>
    <t>XcomGame.int</t>
  </si>
  <si>
    <t>Class Summary:</t>
  </si>
  <si>
    <t>INSTRUCTIONS</t>
  </si>
  <si>
    <t>Abilities</t>
  </si>
  <si>
    <t>Input</t>
  </si>
  <si>
    <t>Output</t>
  </si>
  <si>
    <r>
      <t xml:space="preserve">Middle Tree </t>
    </r>
    <r>
      <rPr>
        <b/>
        <sz val="10"/>
        <color theme="3"/>
        <rFont val="Calibri"/>
        <family val="2"/>
        <scheme val="minor"/>
      </rPr>
      <t>(undisplayed)</t>
    </r>
    <r>
      <rPr>
        <b/>
        <sz val="14"/>
        <color theme="3"/>
        <rFont val="Calibri"/>
        <family val="2"/>
        <scheme val="minor"/>
      </rPr>
      <t>:</t>
    </r>
  </si>
  <si>
    <t>Kubikuri</t>
  </si>
  <si>
    <t>[XComGame.XGStrategy]</t>
  </si>
  <si>
    <t>Scratchpad</t>
  </si>
  <si>
    <t>Spotter</t>
  </si>
  <si>
    <t>Survivalist</t>
  </si>
  <si>
    <t>HeavyArmaments</t>
  </si>
  <si>
    <t>LW2</t>
  </si>
  <si>
    <t>Technical</t>
  </si>
  <si>
    <t>FireInTheHole</t>
  </si>
  <si>
    <t>Suppression_LW</t>
  </si>
  <si>
    <t>Roust</t>
  </si>
  <si>
    <t>NapalmX</t>
  </si>
  <si>
    <t>ConcussionRocket</t>
  </si>
  <si>
    <t>Burnout</t>
  </si>
  <si>
    <t>PhosphorusPassive</t>
  </si>
  <si>
    <t>JavelinRockets</t>
  </si>
  <si>
    <t>FireandSteel</t>
  </si>
  <si>
    <t>Incinerator</t>
  </si>
  <si>
    <t>Quickburn</t>
  </si>
  <si>
    <t>BunkerBuster</t>
  </si>
  <si>
    <t>Firestorm</t>
  </si>
  <si>
    <t>BiggestBooms_LW</t>
  </si>
  <si>
    <t>TandemWarheads</t>
  </si>
  <si>
    <t>IntrusionProtocol</t>
  </si>
  <si>
    <t>Failsafe</t>
  </si>
  <si>
    <t>FullOverride</t>
  </si>
  <si>
    <t>NeedleGrenades</t>
  </si>
  <si>
    <t>BluescreenBombs</t>
  </si>
  <si>
    <t>HEATWarheads</t>
  </si>
  <si>
    <t>Bombard_LW</t>
  </si>
  <si>
    <t>GhostGrenade</t>
  </si>
  <si>
    <t>CombatEngineer</t>
  </si>
  <si>
    <t>KnifeFighter</t>
  </si>
  <si>
    <t>Combatives</t>
  </si>
  <si>
    <t>Mayhem</t>
  </si>
  <si>
    <t>PointBlank</t>
  </si>
  <si>
    <t>BothBarrels</t>
  </si>
  <si>
    <t>PumpAction</t>
  </si>
  <si>
    <t>Holotarget</t>
  </si>
  <si>
    <t>RapidTargeting</t>
  </si>
  <si>
    <t>HDHolo</t>
  </si>
  <si>
    <t>IndependentTracking</t>
  </si>
  <si>
    <t>VitalPointTargeting</t>
  </si>
  <si>
    <t>Multitargeting</t>
  </si>
  <si>
    <t>AlphaMikeFoxtrot</t>
  </si>
  <si>
    <t>ArcthrowerStun</t>
  </si>
  <si>
    <t>Electroshock</t>
  </si>
  <si>
    <t>EMPulser</t>
  </si>
  <si>
    <t>StunGunner</t>
  </si>
  <si>
    <t>StreetSweeper2</t>
  </si>
  <si>
    <t>ChainLightning</t>
  </si>
  <si>
    <t>SwordSlice_LW</t>
  </si>
  <si>
    <t>CoupDeGrace</t>
  </si>
  <si>
    <t>Sapper</t>
  </si>
  <si>
    <t>HeavyOrdnance_LW</t>
  </si>
  <si>
    <t>Protector</t>
  </si>
  <si>
    <t>DenseSmoke</t>
  </si>
  <si>
    <t>CombatFitness</t>
  </si>
  <si>
    <t>Tradecraft</t>
  </si>
  <si>
    <t xml:space="preserve">PrimaryWeapon </t>
  </si>
  <si>
    <t>Stun</t>
  </si>
  <si>
    <t>Arc Pulser</t>
  </si>
  <si>
    <t>Stun Gunner</t>
  </si>
  <si>
    <t>Bring 'Em On</t>
  </si>
  <si>
    <t>Street Sweeper</t>
  </si>
  <si>
    <t>Chain Lightning</t>
  </si>
  <si>
    <t>Needle Grenades</t>
  </si>
  <si>
    <t>Bluescreen Bombs</t>
  </si>
  <si>
    <t>Tandem Warheads</t>
  </si>
  <si>
    <t>Ghost Grenade</t>
  </si>
  <si>
    <t>Knife Fighter</t>
  </si>
  <si>
    <t>Combat Fitness</t>
  </si>
  <si>
    <t>Point Blank</t>
  </si>
  <si>
    <t>Both Barrels</t>
  </si>
  <si>
    <t>Pump Action</t>
  </si>
  <si>
    <t>Rapid Targeting</t>
  </si>
  <si>
    <t>Independent Tracking</t>
  </si>
  <si>
    <t>HEAT Warheads</t>
  </si>
  <si>
    <t>Bombard</t>
  </si>
  <si>
    <t>HiDef Holo</t>
  </si>
  <si>
    <t>Vital Point Targeting</t>
  </si>
  <si>
    <t>Alpha Mike Foxtrot</t>
  </si>
  <si>
    <t>Coup de Grace</t>
  </si>
  <si>
    <t>Heavy Weapons</t>
  </si>
  <si>
    <t>Napalm-X</t>
  </si>
  <si>
    <t>Concussion Rocket</t>
  </si>
  <si>
    <t>Bunker Buster</t>
  </si>
  <si>
    <t>Javelin Rockets</t>
  </si>
  <si>
    <t>Phosphorus</t>
  </si>
  <si>
    <t>Fire and Steel</t>
  </si>
  <si>
    <t>Hack</t>
  </si>
  <si>
    <t>Fire in the Hole</t>
  </si>
  <si>
    <t>Full Override</t>
  </si>
  <si>
    <t>Lance Corporal</t>
  </si>
  <si>
    <t>Staff Sergeant</t>
  </si>
  <si>
    <t>Tech Sergeant</t>
  </si>
  <si>
    <t>Gunnery Sergeant</t>
  </si>
  <si>
    <t>Master Sergeant</t>
  </si>
  <si>
    <t>Slash (OG)</t>
  </si>
  <si>
    <t>Shadowstrike (OG)</t>
  </si>
  <si>
    <t>Run and Gun (OG)</t>
  </si>
  <si>
    <t>Suppression (OG)</t>
  </si>
  <si>
    <t>Heavy Ordnance (OG)</t>
  </si>
  <si>
    <t>Holo Targeting (OG)</t>
  </si>
  <si>
    <t>Hail of Bullets (OG)</t>
  </si>
  <si>
    <t>Lightning Reflexes (OG)</t>
  </si>
  <si>
    <t>L. Corporal</t>
  </si>
  <si>
    <t>S. Sergeant</t>
  </si>
  <si>
    <t>T. Sergeant</t>
  </si>
  <si>
    <t>G. Sergeant</t>
  </si>
  <si>
    <t>M. Sergeant</t>
  </si>
  <si>
    <t>Raider</t>
  </si>
  <si>
    <t>SAW Gunner</t>
  </si>
  <si>
    <t>Machinegunner</t>
  </si>
  <si>
    <t>Infantry</t>
  </si>
  <si>
    <t>Defender</t>
  </si>
  <si>
    <t>Sniper</t>
  </si>
  <si>
    <t>Marksman</t>
  </si>
  <si>
    <t>Kenshi</t>
  </si>
  <si>
    <t>Saboteur</t>
  </si>
  <si>
    <t>Hacker</t>
  </si>
  <si>
    <t>Medic</t>
  </si>
  <si>
    <t>Rocketeer</t>
  </si>
  <si>
    <t>Fireman</t>
  </si>
  <si>
    <t>Bombardier</t>
  </si>
  <si>
    <t>Tactician</t>
  </si>
  <si>
    <t>Tank</t>
  </si>
  <si>
    <t>Stalker</t>
  </si>
  <si>
    <t>Partisan</t>
  </si>
  <si>
    <t>Hunter</t>
  </si>
  <si>
    <t>Dreadnought</t>
  </si>
  <si>
    <t>Combat Awareness</t>
  </si>
  <si>
    <t>Overdrive</t>
  </si>
  <si>
    <t>Arsenal</t>
  </si>
  <si>
    <t>RobotImmunities</t>
  </si>
  <si>
    <t>Rainmaker</t>
  </si>
  <si>
    <t>AdaptiveAim</t>
  </si>
  <si>
    <t>Strike</t>
  </si>
  <si>
    <t>Repair</t>
  </si>
  <si>
    <t>Holotargeting</t>
  </si>
  <si>
    <t>HunterProtocol</t>
  </si>
  <si>
    <t>Sacrifice</t>
  </si>
  <si>
    <t>Nova</t>
  </si>
  <si>
    <t>IronSkin</t>
  </si>
  <si>
    <t>CombatAwareness</t>
  </si>
  <si>
    <t>Bulwark</t>
  </si>
  <si>
    <t>Intimidate</t>
  </si>
  <si>
    <t>AbsorptionField</t>
  </si>
  <si>
    <t>WreckingBall</t>
  </si>
  <si>
    <t>DamageControl</t>
  </si>
  <si>
    <t>AbsorptionFields</t>
  </si>
  <si>
    <t>Mechanical Chassis</t>
  </si>
  <si>
    <t>Iron Skin</t>
  </si>
  <si>
    <t>Adaptive Aim</t>
  </si>
  <si>
    <t>Absorption Field</t>
  </si>
  <si>
    <t>Wrecking Ball</t>
  </si>
  <si>
    <t>Damage Control</t>
  </si>
  <si>
    <t>Hunter Protocol</t>
  </si>
  <si>
    <t>Impact Fields</t>
  </si>
  <si>
    <t>Spark</t>
  </si>
  <si>
    <t>Assassin</t>
  </si>
  <si>
    <t>ShadowOps_Saboteur</t>
  </si>
  <si>
    <t>ShadowOps_SmokeAndMirrors_LW2</t>
  </si>
  <si>
    <t>ShadowOps_Breach</t>
  </si>
  <si>
    <t>ShadowOps_Fastball</t>
  </si>
  <si>
    <t>ShadowOps_SlamFire</t>
  </si>
  <si>
    <t>ShadowOps_ShieldProtocol</t>
  </si>
  <si>
    <t>ShadowOps_RestorationProtocol</t>
  </si>
  <si>
    <t>ShadowOps_AdvancedShieldProtocol</t>
  </si>
  <si>
    <t>ShadowOps_StealthProtocol</t>
  </si>
  <si>
    <t>ShadowOps_BurstFire</t>
  </si>
  <si>
    <t>ShadowOps_ShieldsUp</t>
  </si>
  <si>
    <t>ShadowOps_Aegis</t>
  </si>
  <si>
    <t>ShadowOps_TacticalSense</t>
  </si>
  <si>
    <t>ShadowOps_Supercharge</t>
  </si>
  <si>
    <t>ShadowOps_FirstStrike</t>
  </si>
  <si>
    <t>ShadowOps_Reposition</t>
  </si>
  <si>
    <t>ShadowOps_VitalPoint</t>
  </si>
  <si>
    <t>ShadowOps_Bullseye</t>
  </si>
  <si>
    <t>ShadowOps_Assassin</t>
  </si>
  <si>
    <t>ShadowOps_SliceAndDice</t>
  </si>
  <si>
    <t>ShadowOps_Tactician</t>
  </si>
  <si>
    <t>ShadowOps_ReadyForAnything</t>
  </si>
  <si>
    <t>ShadowOps_GoodEye</t>
  </si>
  <si>
    <t>ShadowOps_Focus</t>
  </si>
  <si>
    <t>ShadowOps_FullAuto</t>
  </si>
  <si>
    <t>ShadowOps_ZoneOfControl</t>
  </si>
  <si>
    <t>ShadowOps_LineEmUp</t>
  </si>
  <si>
    <t>ShadowOps_Airstrike</t>
  </si>
  <si>
    <t>ShadowOps_ThisOnesMine</t>
  </si>
  <si>
    <t>ShadowOps_WatchfulEye</t>
  </si>
  <si>
    <t>ShadowOps_DisablingShot</t>
  </si>
  <si>
    <t>ShadowOps_Hipfire_LW2</t>
  </si>
  <si>
    <t>ShadowOps_Scrounger</t>
  </si>
  <si>
    <t>ShadowOps_DemoGrenades</t>
  </si>
  <si>
    <t>ShadowOps_CombatDrugs</t>
  </si>
  <si>
    <t>ShadowOps_Anatomist</t>
  </si>
  <si>
    <t>ShadowOps_Mayhem_LW2</t>
  </si>
  <si>
    <t>ShadowOps_DangerZone</t>
  </si>
  <si>
    <t>ShadowOps_HeavyArmor</t>
  </si>
  <si>
    <t>ShadowOps_Scout</t>
  </si>
  <si>
    <t>ShadowOps_IronWill</t>
  </si>
  <si>
    <t>ShadowOps_ReverseEngineering</t>
  </si>
  <si>
    <t>ShadowOps_SensorOverlays</t>
  </si>
  <si>
    <t>ShadowOps_ECM</t>
  </si>
  <si>
    <t>ShadowOps_Rocketeer</t>
  </si>
  <si>
    <t>ShadowOps_Vanish</t>
  </si>
  <si>
    <t>ShadowOps_StasisField</t>
  </si>
  <si>
    <t>ShadowOps_Fade</t>
  </si>
  <si>
    <t>ShadowOps_Stalker</t>
  </si>
  <si>
    <t>ShadowOps_Sprint</t>
  </si>
  <si>
    <t>ShadowOps_Tracking</t>
  </si>
  <si>
    <t>ShadowOps_Precision</t>
  </si>
  <si>
    <t>ShadowOps_Evasive</t>
  </si>
  <si>
    <t>ShadowOps_Butcher</t>
  </si>
  <si>
    <t>ShadowOps_Bandolier</t>
  </si>
  <si>
    <t>ShadowOps_ZeroIn</t>
  </si>
  <si>
    <t>ShadowOps_SecondWind</t>
  </si>
  <si>
    <t>ShadowOps_FocusedDefense</t>
  </si>
  <si>
    <t>ShadowOps_BullRush</t>
  </si>
  <si>
    <t>ShadowOps_BareKnuckle</t>
  </si>
  <si>
    <t>ShadowOps_Pyromaniac</t>
  </si>
  <si>
    <t>ShadowOps_Fearsome</t>
  </si>
  <si>
    <t>ShadowOps_CoverMe</t>
  </si>
  <si>
    <t>ShadowOps_SurvivalInstinct</t>
  </si>
  <si>
    <t>ShadowOps_AgainstTheOdds</t>
  </si>
  <si>
    <t>ShadowOps_LastStand</t>
  </si>
  <si>
    <t>SOLW</t>
  </si>
  <si>
    <t>Dragoon</t>
  </si>
  <si>
    <t>Juggernaut</t>
  </si>
  <si>
    <t>Recon</t>
  </si>
  <si>
    <t>Scrapper</t>
  </si>
  <si>
    <t>Breach</t>
  </si>
  <si>
    <t>Scrounger</t>
  </si>
  <si>
    <t>Fastball</t>
  </si>
  <si>
    <t>Anatomist</t>
  </si>
  <si>
    <t>Scout</t>
  </si>
  <si>
    <t>ECM</t>
  </si>
  <si>
    <t>Aegis</t>
  </si>
  <si>
    <t>Demo Grenades</t>
  </si>
  <si>
    <t>Combat Drugs</t>
  </si>
  <si>
    <t>Smoke And Mirrors</t>
  </si>
  <si>
    <t>Slam Fire</t>
  </si>
  <si>
    <t>Shield Protocol</t>
  </si>
  <si>
    <t>Stealth Protocol</t>
  </si>
  <si>
    <t>Burst Fire</t>
  </si>
  <si>
    <t>Iron Will</t>
  </si>
  <si>
    <t>Reverse Engineering</t>
  </si>
  <si>
    <t>Sensor Overlays</t>
  </si>
  <si>
    <t>Shields Up</t>
  </si>
  <si>
    <t>Vanish</t>
  </si>
  <si>
    <t>Stasis Field</t>
  </si>
  <si>
    <t>Supercharge</t>
  </si>
  <si>
    <t>First Strike</t>
  </si>
  <si>
    <t>Reposition</t>
  </si>
  <si>
    <t>Fade</t>
  </si>
  <si>
    <t>Bullseye</t>
  </si>
  <si>
    <t>Tracking</t>
  </si>
  <si>
    <t>Precision</t>
  </si>
  <si>
    <t>Butcher</t>
  </si>
  <si>
    <t>Bandolier</t>
  </si>
  <si>
    <t>Zero In</t>
  </si>
  <si>
    <t>Second Wind</t>
  </si>
  <si>
    <t>Focus</t>
  </si>
  <si>
    <t>Good Eye</t>
  </si>
  <si>
    <t>Full Auto</t>
  </si>
  <si>
    <t>Focused Defense</t>
  </si>
  <si>
    <t>Airstrike</t>
  </si>
  <si>
    <t>Bull Rush</t>
  </si>
  <si>
    <t>Bare Knuckle</t>
  </si>
  <si>
    <t>Pyromaniac</t>
  </si>
  <si>
    <t>Fearsome</t>
  </si>
  <si>
    <t>Watchful Eye</t>
  </si>
  <si>
    <t>Cover Me</t>
  </si>
  <si>
    <t>Disabling Shot</t>
  </si>
  <si>
    <t>Survival Instinct</t>
  </si>
  <si>
    <t>Last Stand</t>
  </si>
  <si>
    <t>Hipfire</t>
  </si>
  <si>
    <t>Advanced Shield Protocol</t>
  </si>
  <si>
    <t>Slice And Dice</t>
  </si>
  <si>
    <t>Ready For Anything</t>
  </si>
  <si>
    <t>Zone Of Control</t>
  </si>
  <si>
    <t>Against The Odds</t>
  </si>
  <si>
    <t>Line 'Em Up</t>
  </si>
  <si>
    <t>img:///UILibrary_Common.class_specialist</t>
  </si>
  <si>
    <t>img:///UILibrary_LW_PerkPack.Class_Gunner</t>
  </si>
  <si>
    <t>img:///UILibrary_Common.class_ranger</t>
  </si>
  <si>
    <t>img:///UILibrary_Common.class_sharpshooter</t>
  </si>
  <si>
    <t>img:///UILibrary_LW_PerkPack.Class_Assault</t>
  </si>
  <si>
    <t>img:///UILibrary_LW_PerkPack.Class_Shinobi</t>
  </si>
  <si>
    <t>This soldier is trained to use the XCOM gauntlet, a combination rocket launcher and flamethrower.</t>
  </si>
  <si>
    <t>Your rockets are more accurate.</t>
  </si>
  <si>
    <t>Fire a barrage that pins down a target, grants reaction fire against it if it moves, restricts the use of many abilities, and imposes a -30 penalty to the target's aim.</t>
  </si>
  <si>
    <t>Special Flamethrower shot that does limited damage but forces enemies to change their position.</t>
  </si>
  <si>
    <t>Your grenades and standard rockets can inflict critical damage (50% chance for +2 damage)</t>
  </si>
  <si>
    <t>Activate to grant +20 defense until the beginning of the next turn. Does not cost an action. Has a 5-turn cooldown.</t>
  </si>
  <si>
    <t>Your Flamethrower can now disorient enemies.</t>
  </si>
  <si>
    <t>Snake Blood</t>
  </si>
  <si>
    <t>Rage</t>
  </si>
  <si>
    <t>You have one free smoke grenade use on every mission. Launching or throwing a smoke grenade as your first action does not end your turn.</t>
  </si>
  <si>
    <t>Fire a shot that destroys cover and shreds &lt;Ability:Shred/&gt; armor in a small area, but deals reduced damage and can't get critical hits. Shotgun only.</t>
  </si>
  <si>
    <t>Your standard &lt;Ability:WeaponName/&gt; attacks deal &lt;Ability:Damage&gt;% more damage to inanimate objects such as relays and gas tanks.</t>
  </si>
  <si>
    <t>Your explosive grenades destroy most cover objects.</t>
  </si>
  <si>
    <t>The next grenade you throw or launch this turn doesn't cost an action.</t>
  </si>
  <si>
    <t>Units in your smoke grenade cloud get +10 Aim and +20 Crit chance.</t>
  </si>
  <si>
    <t>For the rest of the turn, whenever you get a critical hit with your &lt;Ability:WeaponName/&gt;, your actions are refunded.</t>
  </si>
  <si>
    <t>The radius of your grenades and rockets is increased by 2, and the radius of your Breach ability is increased by 1.</t>
  </si>
  <si>
    <t>You deal &lt;Ability:+CritDamage&gt; damage on critical hits for each enemy of the same type you have killed, to a max of &lt;Ability:+MaxCritDamage&gt;.</t>
  </si>
  <si>
    <t>All your attacks deal &lt;Ability:+Damage&gt; damage.</t>
  </si>
  <si>
    <t>Give a friendly unit an energy shield which will absorb &lt;Ability:Shield/&gt; points of damage. The shield lasts until the end of the mission or until it is destroyed, and also grants poison immunity.</t>
  </si>
  <si>
    <t>You gain additional Armor points based on your equipped armor.</t>
  </si>
  <si>
    <t>Shield Protocol no longer costs an action to use.</t>
  </si>
  <si>
    <t>Give a friendly unit concealment.</t>
  </si>
  <si>
    <t>Attack all targets in a straight line and damage or destroy cover. Cannon only. Uses &lt;Ability:SelfAmmoCost/&gt; ammo.</t>
  </si>
  <si>
    <t>All squad members begin play with an energy shield that will absorb &lt;Ability:Shield/&gt; damage.</t>
  </si>
  <si>
    <t>Enemies have &lt;Ability:ECMDetectionModifier/&gt;% smaller detection range against all squad members. Also slightly reduces squad infiltration time while on missions.</t>
  </si>
  <si>
    <t>Your rocket launcher or heavy weapon gains a bonus use.</t>
  </si>
  <si>
    <t>If you begin your turn with no enemies able to see you, you gain concealment. This effect has a 2 turn cooldown.</t>
  </si>
  <si>
    <t>Renewal Protocol</t>
  </si>
  <si>
    <t>Grants a unit &lt;Ability:Heal/&gt; points of HP regeneration every turn, to a maximum of &lt;Ability:MaxHeal/&gt; points. Also stabilizes and revives bleeding out or unconscious units and removes some debuffs.</t>
  </si>
  <si>
    <t>Puts the Dragoon and all nearby units into stasis for one turn. Units in stasis cannot act and are immune to damage. &lt;Ability:SelfCooldown/&gt; turn cooldown.</t>
  </si>
  <si>
    <t>Shield Protocol also reduces all incoming damage by 33%.</t>
  </si>
  <si>
    <t>Increases Will by &lt;Ability:Will&gt;, and guarantees that you bleed out instead of die outright once per mission.</t>
  </si>
  <si>
    <t>All GREMLIN abilities gain an additional charge.</t>
  </si>
  <si>
    <t>All squad members get &lt;Ability:+Crit&gt; Crit chance against enemies you can see.</t>
  </si>
  <si>
    <t>Hacking an enemy unit grants a permanent boost to Hacking score.</t>
  </si>
  <si>
    <t>Grants 1 free battle scanner item to your inventory.</t>
  </si>
  <si>
    <t>Grace</t>
  </si>
  <si>
    <t>You gain &lt;Ability:+Dodge/&gt; Dodge for each enemy you can see, to a max of &lt;Ability:+MaxDodge/&gt;.</t>
  </si>
  <si>
    <t>Keen Edge</t>
  </si>
  <si>
    <t>Your sword attacks shred &lt;Ability:Shred/&gt; armor and deal &lt;Ability:+Damage/&gt; damage.</t>
  </si>
  <si>
    <t>You get &lt;Ability:+ToHit/&gt; Aim against targets in full cover.</t>
  </si>
  <si>
    <t>Gain a bonus move action this turn. &lt;Ability:SelfCooldown/&gt; turn cooldown.</t>
  </si>
  <si>
    <t>Double Time</t>
  </si>
  <si>
    <t>When you kill a flanked or uncovered enemy with your &lt;Ability:WeaponName/&gt;, you gain concealment.</t>
  </si>
  <si>
    <t>Gain concealment that is broken if you move. &lt;Ability:SelfCooldown/&gt; turn cooldown.</t>
  </si>
  <si>
    <t>Attack any enemy within movement range with your sword. If you hit, make a free second sword attack. &lt;Ability:SelfCooldown/&gt; turn cooldown.</t>
  </si>
  <si>
    <t>You detect nearby units even without line of sight.</t>
  </si>
  <si>
    <t>Fire a shot that deals critical damage and gives the target penalties to Aim, Defense, and Will. &lt;Ability:SelfCooldown/&gt; turn cooldown.</t>
  </si>
  <si>
    <t>While concealed or flanking your target, you deal &lt;Ability:+Damage/&gt; damage with your &lt;Ability:WeaponName/&gt; and take no penalties from using Squadsight.</t>
  </si>
  <si>
    <t>Increases damage against organic targets by 30%.</t>
  </si>
  <si>
    <t>You can take a standard move action after firing your &lt;Ability:WeaponName/&gt;.</t>
  </si>
  <si>
    <t>You are immune to multi-target and area attacks.</t>
  </si>
  <si>
    <t>Sixth Sense</t>
  </si>
  <si>
    <t>Gain &lt;Ability:+Mobility/&gt; Mobility and &lt;Ability:+ToHit/&gt; Aim while concealed.</t>
  </si>
  <si>
    <t>Mark a target, giving you &lt;Ability:+Crit:ShadowOps_ThisOnesMine_Passive/&gt; Crit chance and &lt;Ability:+Defense:ShadowOps_ThisOnesMine_Passive/&gt; Defense against it for 3 turns. This ability doesn't cost an action.</t>
  </si>
  <si>
    <t>Once per turn, you get a free overwatch shot when your This One's Mine target moves or attacks.</t>
  </si>
  <si>
    <t>Once per mission, become immune to death and incapacitation until the end of your next turn.</t>
  </si>
  <si>
    <t>The first time you fire your Sawed-Off Shotgun each turn doesn't cost an action.</t>
  </si>
  <si>
    <t>When you get a critical hit, your target and other enemies within 6 tiles have a chance to panic.</t>
  </si>
  <si>
    <t>Grant an ally a bonus overwatch shot and the Cool Under Pressure ability. &lt;Ability:SelfCooldown/&gt; turn cooldown.</t>
  </si>
  <si>
    <t>Make a special shot with a &lt;Ability:+ToHit:ShadowOps_DisablingShot_Bonuses/&gt; Aim modifier that deals half damage and disables the target for one turn.</t>
  </si>
  <si>
    <t>Grants an extra utility item slot only usable for ammo.</t>
  </si>
  <si>
    <t>Your shots can't be dodged.</t>
  </si>
  <si>
    <t>Take a shot with a &lt;Ability:ToHit/&gt; Aim penalty. If you hit the target, you take another shot on the target automatically. You keep taking shots until you miss or run out of ammo. The Aim penalty increases with each shot. Requires both actions. &lt;Ability:SelfCooldown/&gt; turn cooldown.</t>
  </si>
  <si>
    <t>Take a reaction shot against any enemy that moves or attacks within your vision.</t>
  </si>
  <si>
    <t>When you miss an attack, you get &lt;Ability:+ToHit/&gt; Aim on your next attack.</t>
  </si>
  <si>
    <t>Your first reaction shot each turn is guaranteed to hit.</t>
  </si>
  <si>
    <t>Missed shots with your &lt;Ability:WeaponName/&gt; deal &lt;Ability:MissDamage/&gt; damage. Rifle only.</t>
  </si>
  <si>
    <t>When you make a standard attack with your &lt;Ability:WeaponName/&gt; you automatically enter overwatch.</t>
  </si>
  <si>
    <t>Using a medikit on an injured unit also grants that unit a bonus action point.</t>
  </si>
  <si>
    <t>Once per mission, call in an airstrike that does 8-12 damage in a large area. Costs both actions.</t>
  </si>
  <si>
    <t>There is a chance of an extra loot drop whenever you are on a mission.</t>
  </si>
  <si>
    <t>Grants 1 free incendiary grenade item to your inventory.</t>
  </si>
  <si>
    <t>Gain &lt;Ability:+Defense/&gt; Defense and &lt;Ability:+Crit/&gt; Crit chance while injured.</t>
  </si>
  <si>
    <t>Make a special melee attack against any enemy within movement range that deals little damage but stuns the target for 1 turn</t>
  </si>
  <si>
    <t>Your melee attacks deal &lt;Ability:+Damage/&gt; damage.</t>
  </si>
  <si>
    <t>You get &lt;Ability:+ToHit/&gt; Aim and &lt;Ability:+Crit/&gt; Crit chance on attacks against the closest visible enemy.</t>
  </si>
  <si>
    <t>You get an additional &lt;Ability:+Defense/&gt; Defense and &lt;Ability:+Dodge/&gt; Dodge against attacks by the closest visible enemy while not flanked.</t>
  </si>
  <si>
    <t>You gain Implacable, Untouchable, and Serial for 3 turns, but you can't choose your own actions.</t>
  </si>
  <si>
    <t>Your Dodge is increased by &lt;Ability:Dodge/&gt; and you are immune to poison.</t>
  </si>
  <si>
    <t>Gain &lt;Ability:+ToHit/&gt; Aim per enemy the squad can see (max &lt;Ability:+MaxToHit/&gt;).</t>
  </si>
  <si>
    <t>Guerrilla</t>
  </si>
  <si>
    <t>Electrician</t>
  </si>
  <si>
    <t>Unstoppable</t>
  </si>
  <si>
    <t>Immovable</t>
  </si>
  <si>
    <t>Flashbanger</t>
  </si>
  <si>
    <t>Grants 1 free flashbang item to your inventory.</t>
  </si>
  <si>
    <t>Field Scientist</t>
  </si>
  <si>
    <t>Smoke and Mirrors</t>
  </si>
  <si>
    <t>Fire Support</t>
  </si>
  <si>
    <t>Smokescreen</t>
  </si>
  <si>
    <t>Bushwhacker</t>
  </si>
  <si>
    <t>Commando</t>
  </si>
  <si>
    <t>Decker</t>
  </si>
  <si>
    <t>Operator</t>
  </si>
  <si>
    <t>Healer</t>
  </si>
  <si>
    <t>Slice and Dice</t>
  </si>
  <si>
    <t>Electrocutioner</t>
  </si>
  <si>
    <t>Harrasser</t>
  </si>
  <si>
    <t>Duelist</t>
  </si>
  <si>
    <t>Skirmisher</t>
  </si>
  <si>
    <t>Thug</t>
  </si>
  <si>
    <t>Brawler</t>
  </si>
  <si>
    <t>Resilience</t>
  </si>
  <si>
    <t>Enemy attacks against you suffer a -50 penalty to critical hit chances.</t>
  </si>
  <si>
    <t>Rifleman</t>
  </si>
  <si>
    <t>Technician</t>
  </si>
  <si>
    <t>Explosions</t>
  </si>
  <si>
    <t>Flames</t>
  </si>
  <si>
    <t>Sportsman</t>
  </si>
  <si>
    <t>Ally</t>
  </si>
  <si>
    <t>Demolitions</t>
  </si>
  <si>
    <t>Explosives</t>
  </si>
  <si>
    <t>Aggressor</t>
  </si>
  <si>
    <t>LWD_</t>
  </si>
  <si>
    <t>img:///UILibrary_LW_PerkPack.Class_Technical</t>
  </si>
  <si>
    <t>img:///UILibrary_SOCombatEngineer.class_engineer</t>
  </si>
  <si>
    <t>img:///UILibrary_SOHunter.class_hunter</t>
  </si>
  <si>
    <t>img:///UILibrary_SOInfantry.class_recon</t>
  </si>
  <si>
    <t>img:///UILibrary_SOCombatEngineer.class_scrapper</t>
  </si>
  <si>
    <t>img:///UILibrary_SOHunter.class_survivalist</t>
  </si>
  <si>
    <t>img:///UILibrary_LWD.class_fieldScientist</t>
  </si>
  <si>
    <t>img:///UILibrary_LWD.class_fireman</t>
  </si>
  <si>
    <t>img:///UILibrary_LWD.class_hacker</t>
  </si>
  <si>
    <t>img:///UILibrary_LWD.class_marksman</t>
  </si>
  <si>
    <t>img:///UILibrary_LWD.class_medic</t>
  </si>
  <si>
    <t>img:///UILibrary_LWD.class_partisan</t>
  </si>
  <si>
    <t>img:///UILibrary_LWD.class_raider</t>
  </si>
  <si>
    <t>img:///UILibrary_LWD.class_support</t>
  </si>
  <si>
    <t>Courser</t>
  </si>
  <si>
    <t>Hordebreaker</t>
  </si>
  <si>
    <t>Fencer</t>
  </si>
  <si>
    <t>Against the Odds</t>
  </si>
  <si>
    <t>img:///UILibrary_LWD.class_courser</t>
  </si>
  <si>
    <t>The Shinobi serves as a capable scouting unit, using a sword to deliver stealthy close-range attacks.</t>
  </si>
  <si>
    <t>Nicknames</t>
  </si>
  <si>
    <t>Angel</t>
  </si>
  <si>
    <t>Beta</t>
  </si>
  <si>
    <t>Bishop</t>
  </si>
  <si>
    <t>Bones</t>
  </si>
  <si>
    <t>Breaker</t>
  </si>
  <si>
    <t>Broker</t>
  </si>
  <si>
    <t>Deacon</t>
  </si>
  <si>
    <t>Dr. Feelgood</t>
  </si>
  <si>
    <t>Doc</t>
  </si>
  <si>
    <t>Feedback</t>
  </si>
  <si>
    <t>Firewall</t>
  </si>
  <si>
    <t>Genius</t>
  </si>
  <si>
    <t>Gizmo</t>
  </si>
  <si>
    <t>Jester</t>
  </si>
  <si>
    <t>Jolt</t>
  </si>
  <si>
    <t>Lightning</t>
  </si>
  <si>
    <t>Mayday</t>
  </si>
  <si>
    <t>Mega</t>
  </si>
  <si>
    <t>Newton</t>
  </si>
  <si>
    <t>Professor</t>
  </si>
  <si>
    <t>Ragtime</t>
  </si>
  <si>
    <t>Rascal</t>
  </si>
  <si>
    <t>Rattler</t>
  </si>
  <si>
    <t>Zulu</t>
  </si>
  <si>
    <t>Candyman</t>
  </si>
  <si>
    <t>Magic Man</t>
  </si>
  <si>
    <t>Priest</t>
  </si>
  <si>
    <t>Rainman</t>
  </si>
  <si>
    <t>Rooster</t>
  </si>
  <si>
    <t>Priestess</t>
  </si>
  <si>
    <t>Wolfmother</t>
  </si>
  <si>
    <t>Black Widow</t>
  </si>
  <si>
    <t>Duchess</t>
  </si>
  <si>
    <t>Neuter</t>
  </si>
  <si>
    <t>Male</t>
  </si>
  <si>
    <t>Female</t>
  </si>
  <si>
    <t>Other Stat Increases</t>
  </si>
  <si>
    <t>Queen</t>
  </si>
  <si>
    <t>Undertaker</t>
  </si>
  <si>
    <t>Whoopsie</t>
  </si>
  <si>
    <t>Tiny</t>
  </si>
  <si>
    <t>Doomtrain</t>
  </si>
  <si>
    <t>Skipper</t>
  </si>
  <si>
    <t>Thunder</t>
  </si>
  <si>
    <t>Bargain</t>
  </si>
  <si>
    <t>War</t>
  </si>
  <si>
    <t>Famine</t>
  </si>
  <si>
    <t>Conquest</t>
  </si>
  <si>
    <t>Revelation</t>
  </si>
  <si>
    <t>Zap</t>
  </si>
  <si>
    <t>Facetime</t>
  </si>
  <si>
    <t>Mr. Magoo</t>
  </si>
  <si>
    <t>FUBAR</t>
  </si>
  <si>
    <t>Horseman</t>
  </si>
  <si>
    <t>Brick</t>
  </si>
  <si>
    <t>Stonewall</t>
  </si>
  <si>
    <t>Pride</t>
  </si>
  <si>
    <t>Boomtown</t>
  </si>
  <si>
    <t>Moron</t>
  </si>
  <si>
    <t>Torch</t>
  </si>
  <si>
    <t>The Truck</t>
  </si>
  <si>
    <t>Flamer</t>
  </si>
  <si>
    <t>Lamp</t>
  </si>
  <si>
    <t>Waterboy</t>
  </si>
  <si>
    <t>Grey Ghost</t>
  </si>
  <si>
    <t>Cavalry</t>
  </si>
  <si>
    <t>Hiss</t>
  </si>
  <si>
    <t>Tootsies</t>
  </si>
  <si>
    <t>Mercury</t>
  </si>
  <si>
    <t>Dakka</t>
  </si>
  <si>
    <t>More</t>
  </si>
  <si>
    <t>Oak</t>
  </si>
  <si>
    <t>Worm</t>
  </si>
  <si>
    <t>Virus</t>
  </si>
  <si>
    <t>Malware</t>
  </si>
  <si>
    <t>Spybot</t>
  </si>
  <si>
    <t>Botnet</t>
  </si>
  <si>
    <t>One-Shot</t>
  </si>
  <si>
    <t>Camper</t>
  </si>
  <si>
    <t>Eyes</t>
  </si>
  <si>
    <t>Cleanup</t>
  </si>
  <si>
    <t>Janitor</t>
  </si>
  <si>
    <t>Hitman</t>
  </si>
  <si>
    <t>Agent</t>
  </si>
  <si>
    <t>Mr. Fixer</t>
  </si>
  <si>
    <t>Nurse Joy</t>
  </si>
  <si>
    <t>Chance</t>
  </si>
  <si>
    <t>Band-Aid</t>
  </si>
  <si>
    <t>Red Cross</t>
  </si>
  <si>
    <t>Pikachu</t>
  </si>
  <si>
    <t>The Wall</t>
  </si>
  <si>
    <t>Elvis</t>
  </si>
  <si>
    <t/>
  </si>
  <si>
    <t>Cap'n</t>
  </si>
  <si>
    <t>Pirate</t>
  </si>
  <si>
    <t>Viking</t>
  </si>
  <si>
    <t>Berserk</t>
  </si>
  <si>
    <t>Binoc</t>
  </si>
  <si>
    <t>Cyclops</t>
  </si>
  <si>
    <t>Scope</t>
  </si>
  <si>
    <t>Solo</t>
  </si>
  <si>
    <t>Downtown</t>
  </si>
  <si>
    <t>Demoman</t>
  </si>
  <si>
    <t>Bulldozer</t>
  </si>
  <si>
    <t>Hard Hat</t>
  </si>
  <si>
    <t>Knife</t>
  </si>
  <si>
    <t>Hug-n-snug</t>
  </si>
  <si>
    <t>Cuddles</t>
  </si>
  <si>
    <t>Mr. Tibbs</t>
  </si>
  <si>
    <t>Huntress</t>
  </si>
  <si>
    <t>Savage</t>
  </si>
  <si>
    <t>Pick'em</t>
  </si>
  <si>
    <t>Mr. Clean</t>
  </si>
  <si>
    <t>Last Rites</t>
  </si>
  <si>
    <t>Nighttime</t>
  </si>
  <si>
    <t>Slip</t>
  </si>
  <si>
    <t>Cloak</t>
  </si>
  <si>
    <t>Nightlight</t>
  </si>
  <si>
    <t>Kung Fu</t>
  </si>
  <si>
    <t>Sensei</t>
  </si>
  <si>
    <t>Judo</t>
  </si>
  <si>
    <t>Mortar</t>
  </si>
  <si>
    <t>Artillery</t>
  </si>
  <si>
    <t>Cover</t>
  </si>
  <si>
    <t>Magician</t>
  </si>
  <si>
    <t>Illusion</t>
  </si>
  <si>
    <t>Mysterio</t>
  </si>
  <si>
    <t>Mr. Go</t>
  </si>
  <si>
    <t>Shatter</t>
  </si>
  <si>
    <t>Mad Dog</t>
  </si>
  <si>
    <t>Dancer</t>
  </si>
  <si>
    <t>Vixen</t>
  </si>
  <si>
    <t>Hometown</t>
  </si>
  <si>
    <t>Sure Thing</t>
  </si>
  <si>
    <t>The Partisan makes sure the enemy is never operating at 100%, through their arc thrower, stun grenades, and oppressive fire.</t>
  </si>
  <si>
    <t>Armorer</t>
  </si>
  <si>
    <t>Specializing in their gauntlet's flamethrower, Firemen can clear entire rooms of enemies, as well as blocking off chokepoints with walls of flame.</t>
  </si>
  <si>
    <t>The Hacker is a a savant when it comes to computers. They use their GREMLINs to keep Advent's systems on the fritz.</t>
  </si>
  <si>
    <t>Our Hunters are a versatile sort, carrying sniper rifles for distant engagements, and swords for when they need to get close. They're good at staying on the move.</t>
  </si>
  <si>
    <t xml:space="preserve">The Medic uses their GREMLIN to keep their squad in tip-top fighting shape. </t>
  </si>
  <si>
    <t>Ready for Anything</t>
  </si>
  <si>
    <t>The Recon is our eyes and ears on the battlefield, staying out of sight, but always keeping tabs on the enemy's exact location. They carry a holo-targeter to mark targets.</t>
  </si>
  <si>
    <t xml:space="preserve">The Sapper specializes in using their grenade launcher to control the battlefield - usually by destroying it. </t>
  </si>
  <si>
    <t>The Scrapper wishes they didn't have to carry a gun in the first place. They like to solve things with their fists, and, if the situation is really dire, knives.</t>
  </si>
  <si>
    <t>ShadowOps_Rage</t>
  </si>
  <si>
    <t>ShadowOps_SnakeBlood</t>
  </si>
  <si>
    <t>Prefix:</t>
  </si>
  <si>
    <t>The Protector carries a variety of non-lethal and defensive grenades to keep our soldiers safe on the battlefield.</t>
  </si>
  <si>
    <t>I love the idea behind the class, but I don't love the holo targeter with it. I think just one or two good holo targeter abilities, though, might change my mind. Especially a good squaddie ability. Think on it.</t>
  </si>
  <si>
    <t>Scanner Sweep</t>
  </si>
  <si>
    <t>LWD_ScannerSweep</t>
  </si>
  <si>
    <t>Eagle Eyes</t>
  </si>
  <si>
    <t>LWD_EagleEyes</t>
  </si>
  <si>
    <t>Your vision radius increases by 3 tiles, and your critical chance increases by 5%.</t>
  </si>
  <si>
    <t>Lightfoot</t>
  </si>
  <si>
    <t>LWD_Lightfoot</t>
  </si>
  <si>
    <t>Juiced</t>
  </si>
  <si>
    <t>LWD_Juiced</t>
  </si>
  <si>
    <t>Give an ally an extra movement action.</t>
  </si>
  <si>
    <t>Clear!</t>
  </si>
  <si>
    <t>LWD_Clear</t>
  </si>
  <si>
    <t>Hands and Feet</t>
  </si>
  <si>
    <t>LWD_HandsAndFeet</t>
  </si>
  <si>
    <t>Whenever you spend all your actions on movement, reload your weapon for free.</t>
  </si>
  <si>
    <t>Cattle Prod</t>
  </si>
  <si>
    <t>LWD_CattleProd</t>
  </si>
  <si>
    <t>Make a melee attack with your arc thrower to disorient an enemy. Doesn't end your turn.</t>
  </si>
  <si>
    <t>Jab</t>
  </si>
  <si>
    <t>LWD_Jab</t>
  </si>
  <si>
    <t>Move a short range and attack with your knife. Doesn't end your turn.</t>
  </si>
  <si>
    <t>Where It Hurts</t>
  </si>
  <si>
    <t>LWD_WhereItHurts</t>
  </si>
  <si>
    <t>Your Jab ability disorients enemies it damages.</t>
  </si>
  <si>
    <t>This One's Mine (SO)</t>
  </si>
  <si>
    <t>Tight Choke</t>
  </si>
  <si>
    <t>LWD_TightChoke</t>
  </si>
  <si>
    <t>Spare Shells</t>
  </si>
  <si>
    <t>LWD_SpareShells</t>
  </si>
  <si>
    <t>Reload your sawed-off shotgun. Each shell requires a separate action.</t>
  </si>
  <si>
    <t>Whites of Their Eyes</t>
  </si>
  <si>
    <t>LWD_WhitesOfTheirEyes</t>
  </si>
  <si>
    <t>Take a free attack with your sawed-off shotgun against any enemy that moves or attacks within 4 tiles.</t>
  </si>
  <si>
    <t>Scan for enemies in a large cone.</t>
  </si>
  <si>
    <t>Doctor</t>
  </si>
  <si>
    <t>Shotgunner</t>
  </si>
  <si>
    <t>Blank</t>
  </si>
  <si>
    <t>Armor Protocol: Gremlin gives an ally one or two armor for one turn. Maybe makes them immune to being flanked (instead?). Maybe an add-on to Aid Protocol.</t>
  </si>
  <si>
    <t>Maybe replace Combatives with Bladestorm?</t>
  </si>
  <si>
    <t>Some Engineers are more at home on the battlefield than the Avenger. Their technical skills with a GREMLIN come in handy, especially when protecting our soldiers and against enemy mechanical units.</t>
  </si>
  <si>
    <t>The Courser serves best offset from the rest of the squad, specializing in either taking on entire squads, or picking off stragglers. They employ a holotargeter for picking their targets.</t>
  </si>
  <si>
    <t>The Dreadnought is a human brick wall, who can take everything the enemy can throw at them and then throw it all back. They employ gauntlets for the really tough enemies.</t>
  </si>
  <si>
    <t>Field Scientists forgo the lab to aid our soldiers directly on the battlefield. They've got some ways to use their arc thrower to keep our soldiers in the fight.</t>
  </si>
  <si>
    <t>The Guerrilla is a capable assassin who stays on the move and catches the enemy off-guard. They're comfortable with a variety of firearms, and carry a knife, just in case.</t>
  </si>
  <si>
    <t>The Gunner is trained to use heavy automatic weapons, able to cover the squad with suppressive fire or inflict significant damage in direct attacks. They also carry a combat knife as a backup.</t>
  </si>
  <si>
    <t>The Raider is a vicious foe, keeping inside the enemy's reach with sword and shotgun, making sure they can never sit comfortable.</t>
  </si>
  <si>
    <t>The Marksman is more comfortable with a sniper rifle than most of our soldiers, and carries a sawed-off shotgun for closer ranges.</t>
  </si>
  <si>
    <t>The Ranger is the master of the rifle and may be trained to use it in offensive and defensive capacities. They carry a sawed-off shotgun as a backup as well.</t>
  </si>
  <si>
    <t>Our Sharpshooters engage enemy targets with pinpoint accuracy from extreme range. They carry a holotargeter to mark enemies for execution.</t>
  </si>
  <si>
    <t>For miscellaneous notes and todos. Alt+Enter to insert a line break within the cell.</t>
  </si>
  <si>
    <t>Revive a bleeding out ally.</t>
  </si>
  <si>
    <t>What is this?</t>
  </si>
  <si>
    <t>Your mobility is reduced, but you gain an additional action point each round.</t>
  </si>
  <si>
    <t>Whirlwind</t>
  </si>
  <si>
    <t>Gain a bonus move action after hitting an enemy with your sword.</t>
  </si>
  <si>
    <t>Whirlwind2</t>
  </si>
  <si>
    <t>Reave</t>
  </si>
  <si>
    <t>LWD_Reave</t>
  </si>
  <si>
    <t>Greased Lightning</t>
  </si>
  <si>
    <t>Anti-materiel Rounds</t>
  </si>
  <si>
    <t>LWD_AntiMateriel</t>
  </si>
  <si>
    <t>Your attacks pierce armor. Higher tier weapons pierce more armor and shred.</t>
  </si>
  <si>
    <t>Gallop</t>
  </si>
  <si>
    <t>LWD_Gallop</t>
  </si>
  <si>
    <t>Activate at the start of your turn; you gain an extra action, but all of your actions must be spent on movement.</t>
  </si>
  <si>
    <t>Gasser</t>
  </si>
  <si>
    <t>LWD_Gasser</t>
  </si>
  <si>
    <t>Chemist</t>
  </si>
  <si>
    <t>Grants 1 free gas grenade item to your inventory</t>
  </si>
  <si>
    <t>Heightened Immune system</t>
  </si>
  <si>
    <t>LWD_HeightenedImmuneSystem</t>
  </si>
  <si>
    <t>You gain bonus HP, immunity to poison, and have reduced recovery times.</t>
  </si>
  <si>
    <t>Cloudkill</t>
  </si>
  <si>
    <t>LWD_Cloudkill</t>
  </si>
  <si>
    <t>Your gas grenades have significantly increased area.</t>
  </si>
  <si>
    <t>Pyromancer</t>
  </si>
  <si>
    <t>LWD_Pyromancer</t>
  </si>
  <si>
    <t>You are immune to fire damage; your incendiary grenades ignore armor</t>
  </si>
  <si>
    <t>Third-Degree</t>
  </si>
  <si>
    <t>LWD_ThirdDegree</t>
  </si>
  <si>
    <t>Your incendiary grenades deal more damage over time</t>
  </si>
  <si>
    <t>Caustic Personality</t>
  </si>
  <si>
    <t>LWD_CausticPersonality</t>
  </si>
  <si>
    <t>Grants 1 free acid grenade item to your inventory</t>
  </si>
  <si>
    <t>Acid Burns</t>
  </si>
  <si>
    <t>LWD_AcidBurns</t>
  </si>
  <si>
    <t>Your acid grenades deal bonus damage to unarmored targets</t>
  </si>
  <si>
    <t>Alkaline Armor</t>
  </si>
  <si>
    <t>LWD_AlkalineArmor</t>
  </si>
  <si>
    <t>You are immune to acid damage; enemies who attack you in melee take heavy acid damage.</t>
  </si>
  <si>
    <t>Frostlord</t>
  </si>
  <si>
    <t>LWD_Frostlord</t>
  </si>
  <si>
    <t>Grants 1 free frost grenade item to your inventory</t>
  </si>
  <si>
    <t>Mad Chemist</t>
  </si>
  <si>
    <t>LWD_MadChemist</t>
  </si>
  <si>
    <t>Your grenades deal less damage, but you carry an extra gas, poison, and incendiary grenade.</t>
  </si>
  <si>
    <t>Cowboy</t>
  </si>
  <si>
    <t>Shootist</t>
  </si>
  <si>
    <t>LWD_Shootist</t>
  </si>
  <si>
    <t>Utility, UtilityCat="pistol"</t>
  </si>
  <si>
    <t>You gain +10 bonus to aim and crit chance with pistols</t>
  </si>
  <si>
    <t>Lead Dealer</t>
  </si>
  <si>
    <t>LWD_LeadDealer</t>
  </si>
  <si>
    <t>Your pistol shots never graze.</t>
  </si>
  <si>
    <t>Stopping Power</t>
  </si>
  <si>
    <t>LWD_StoppingPower</t>
  </si>
  <si>
    <t>Hitting an enemy with your sawed-off disorients them.</t>
  </si>
  <si>
    <t>Trick Shot</t>
  </si>
  <si>
    <t>LWD_TrickShot</t>
  </si>
  <si>
    <t>Getting a critical hit with your pistol disables your target's weapon.</t>
  </si>
  <si>
    <t>Battle Momentum</t>
  </si>
  <si>
    <t>LWD_BattleMomentum</t>
  </si>
  <si>
    <t>Gain +10 crit chance with your pistol each time you hit with it. Resets on a crit.</t>
  </si>
  <si>
    <t>Dreadful</t>
  </si>
  <si>
    <t>LWD_Dreadful</t>
  </si>
  <si>
    <t>Your first kill with a pistol each turn grants a bonus action.</t>
  </si>
  <si>
    <t>Quick Hands</t>
  </si>
  <si>
    <t>LWD_QuickHands</t>
  </si>
  <si>
    <t>Firing your shotgun doesn't end your turn. The first time you reload or use Spare Shells each round doesn't cost an action.</t>
  </si>
  <si>
    <t>Windage</t>
  </si>
  <si>
    <t>LWD_Windage</t>
  </si>
  <si>
    <t>Your first missed pistol shot each turn grants a bonus action.</t>
  </si>
  <si>
    <t>Hotwire</t>
  </si>
  <si>
    <t>LWD_Hotwire</t>
  </si>
  <si>
    <t>LWD_GreasedLightning</t>
  </si>
  <si>
    <t>Using your arc thrower no longer ends your turn.</t>
  </si>
  <si>
    <t>Script Kiddie</t>
  </si>
  <si>
    <t>LWD_ScriptKiddie</t>
  </si>
  <si>
    <t>You always carry an EMP grenade into battle. The area of your EMP grenades is increased.</t>
  </si>
  <si>
    <t>Skullminer</t>
  </si>
  <si>
    <t>LWD_Skullminer</t>
  </si>
  <si>
    <t>You gain two extra charges of skullmining when equipped with a skulljack.</t>
  </si>
  <si>
    <t>Self-aware</t>
  </si>
  <si>
    <t>LWD_SelfAware</t>
  </si>
  <si>
    <t>Activate to immediately reset all cooldowns</t>
  </si>
  <si>
    <t>Watchman</t>
  </si>
  <si>
    <t>LWD_Watchman</t>
  </si>
  <si>
    <t>Lookout</t>
  </si>
  <si>
    <t>LWD_Lookout</t>
  </si>
  <si>
    <t>Marking an enemy with your holotargeter increases your allies' defense against them.</t>
  </si>
  <si>
    <t>Short Circuit</t>
  </si>
  <si>
    <t>LWD_ShortCircuit</t>
  </si>
  <si>
    <t>Hotwire ruptures robots.</t>
  </si>
  <si>
    <t>Artificial Intelligence</t>
  </si>
  <si>
    <t>LWD_ArtificialIntelligence</t>
  </si>
  <si>
    <t>Your first GREMLIN ability each turn doesn't cost an action.</t>
  </si>
  <si>
    <t>Smartlink Protocol</t>
  </si>
  <si>
    <t>LWD_SmartlinkProtocol</t>
  </si>
  <si>
    <t>Your GREMLIN assists an ally, increasing their Aim.</t>
  </si>
  <si>
    <t>Self-Aware</t>
  </si>
  <si>
    <t>Heightened Immune System</t>
  </si>
  <si>
    <t>Onslaught</t>
  </si>
  <si>
    <t>LWD_Onslaught</t>
  </si>
  <si>
    <t>Attack an enemy with your primary weapon. If it's charged, hits grant a bonus move action. Hits grant a charge to Reave.</t>
  </si>
  <si>
    <t>Berserker</t>
  </si>
  <si>
    <t>LWD_Berserker</t>
  </si>
  <si>
    <t>Attack an enemy with your sword. If it's charged, deals bonus damage. Hits grant a charge to Onslaught.</t>
  </si>
  <si>
    <t>Battle Focus</t>
  </si>
  <si>
    <t>LWD_BattleFocus</t>
  </si>
  <si>
    <t>If Reave is charged, you can counterattack melee attacks. If Onslaught is charged, your reaction fire is more accurate and can crit.</t>
  </si>
  <si>
    <t>Coach Gun</t>
  </si>
  <si>
    <t>Fire your sawed-off shotgun in a cone.</t>
  </si>
  <si>
    <t>Hang 'em High</t>
  </si>
  <si>
    <t>You deal +1 damage with your pistol, +2 damage with your sniper rifle, and +3 damage with your sawed-off shotgun.</t>
  </si>
  <si>
    <t>Six-Shooter</t>
  </si>
  <si>
    <t>Dynamite</t>
  </si>
  <si>
    <t>You always carry a shaped charge into battle, and using shaped charges doesn't cost an action.</t>
  </si>
  <si>
    <t>Had It Coming</t>
  </si>
  <si>
    <t>Massively increased crit chance with your sawed-off shotgun against flanked enemies.</t>
  </si>
  <si>
    <t>High Noon</t>
  </si>
  <si>
    <t>True Grit</t>
  </si>
  <si>
    <t>Whenever you take damage, you gain 2 armor until the start of your next turn. This ability stacks with itself.</t>
  </si>
  <si>
    <t>Unforgiven</t>
  </si>
  <si>
    <t>Your sawed-off shotgun has +100 Aim while concealed or flanking.</t>
  </si>
  <si>
    <t>Quick Study</t>
  </si>
  <si>
    <t>QuickStudy</t>
  </si>
  <si>
    <t>Halves officer and AWC training times</t>
  </si>
  <si>
    <t>Pistoleer</t>
  </si>
  <si>
    <t>Versatile soldiers that are always ready for anything, Cowboys carry sniper rifles, pistols, and sawed-off shotguns, and are just as deadly with each of them.</t>
  </si>
  <si>
    <t>Tankbuster</t>
  </si>
  <si>
    <t>Anti-Materiel Rounds</t>
  </si>
  <si>
    <t>Artillery train with sniper rifles and rocket launchers, and are at their best when their enemy is a mile away.</t>
  </si>
  <si>
    <t>You carry an additional rocket into battle.</t>
  </si>
  <si>
    <t>The Assault serves as our primary close range unit, able to push in close and hold the line. They carry an arc thrower to keep the enemy on their toes.</t>
  </si>
  <si>
    <t>Fully Stocked</t>
  </si>
  <si>
    <t>LWD_FullyStocked</t>
  </si>
  <si>
    <t>Warlord</t>
  </si>
  <si>
    <t>Battle Fury</t>
  </si>
  <si>
    <t>LWD_BattleFury</t>
  </si>
  <si>
    <t>Taking damage grants a charge to Onslaught and Reave.</t>
  </si>
  <si>
    <t>Combat Stance</t>
  </si>
  <si>
    <t>LWD_CombatStance</t>
  </si>
  <si>
    <t>Onslaught and Reave can both hold an extra charge. Misses don't consume charges.</t>
  </si>
  <si>
    <t>BLANK</t>
  </si>
  <si>
    <t>LWD_CoachGun</t>
  </si>
  <si>
    <t>LWD_SixShooter</t>
  </si>
  <si>
    <t>LWD_Dynamite</t>
  </si>
  <si>
    <t>LWD_HadItComing</t>
  </si>
  <si>
    <t>LWD_HighNoon</t>
  </si>
  <si>
    <t>LWD_TrueGrit</t>
  </si>
  <si>
    <t>LWD_Unforgiven</t>
  </si>
  <si>
    <t>LWD_HangEmHigh</t>
  </si>
  <si>
    <t>Your sawed-off shotgun is more accurate at longer ranges.</t>
  </si>
  <si>
    <t xml:space="preserve">Entering overwatch increases your vision radius significantly. </t>
  </si>
  <si>
    <t>Ravager</t>
  </si>
  <si>
    <t>LWD_Ravager</t>
  </si>
  <si>
    <t>Reaver</t>
  </si>
  <si>
    <t>LWD_Reaver</t>
  </si>
  <si>
    <t>Once per turn, a critical hit with charged Onslaught doesn't cost an action.</t>
  </si>
  <si>
    <t>Charged Reave has bonus aim and crit chance the more wounded the target is, up to +50 aim and crit at 10% HP</t>
  </si>
  <si>
    <t>Breacher</t>
  </si>
  <si>
    <t>Once per battle, take six shots with your pistol. Takes two actions.</t>
  </si>
  <si>
    <t>Reave no longer ends your turn. If Reave is charged, it shreds based on weapon tier.</t>
  </si>
  <si>
    <t>Onslaught no longer ends your turn. If Onslaught is charged, it deals bonus damage on a crit.</t>
  </si>
  <si>
    <t>Ghost</t>
  </si>
  <si>
    <t>LWD_Ghost</t>
  </si>
  <si>
    <t>Your detection radius is reduced by 25%, and an additional 25% on your turn.</t>
  </si>
  <si>
    <t>LWD_Warlord</t>
  </si>
  <si>
    <t>Pick one enemy. You suffer no range penalties against them, but range penalties against other enemies are doubled. Lasts until the end of your next turn.</t>
  </si>
  <si>
    <t>LWD_Viking</t>
  </si>
  <si>
    <t>Charged Onslaught has +10 Aim. Charged Reave has +2 damage.</t>
  </si>
  <si>
    <t>LWD</t>
  </si>
  <si>
    <t>Disrupt a robotic enemy with your arc thrower.</t>
  </si>
  <si>
    <t>img:///UILibrary_LWD.class_Cowboy</t>
  </si>
  <si>
    <t>img:///UILibrary_LWD.class_Artillery</t>
  </si>
  <si>
    <t>img:///UILibrary_LWD.class_Chemist</t>
  </si>
  <si>
    <t>Skinny</t>
  </si>
  <si>
    <t>The Duke</t>
  </si>
  <si>
    <t>Black Bart</t>
  </si>
  <si>
    <t>Shanghai Kid</t>
  </si>
  <si>
    <t>Padre</t>
  </si>
  <si>
    <t>The Kid</t>
  </si>
  <si>
    <t>Butch</t>
  </si>
  <si>
    <t>Amigo</t>
  </si>
  <si>
    <t>Belle</t>
  </si>
  <si>
    <t>Amiga</t>
  </si>
  <si>
    <t>Snake Oil</t>
  </si>
  <si>
    <t>Doc Holliday</t>
  </si>
  <si>
    <t>Calamity</t>
  </si>
  <si>
    <t>Sundance</t>
  </si>
  <si>
    <t>Revolver</t>
  </si>
  <si>
    <t>Arkansas</t>
  </si>
  <si>
    <t>Bandit</t>
  </si>
  <si>
    <t>Pistolero</t>
  </si>
  <si>
    <t>Buffalo</t>
  </si>
  <si>
    <t>Rattlesnake</t>
  </si>
  <si>
    <t>Huckleberry</t>
  </si>
  <si>
    <t>Tequila</t>
  </si>
  <si>
    <t>Ringo</t>
  </si>
  <si>
    <t>Eastwood</t>
  </si>
  <si>
    <t>Maniac</t>
  </si>
  <si>
    <t>Villain</t>
  </si>
  <si>
    <t>Freak</t>
  </si>
  <si>
    <t>Arson</t>
  </si>
  <si>
    <t>Laughing Gas</t>
  </si>
  <si>
    <t>The Hurt</t>
  </si>
  <si>
    <t>Segfault</t>
  </si>
  <si>
    <t>Chum</t>
  </si>
  <si>
    <t>Eiger</t>
  </si>
  <si>
    <t>Glory</t>
  </si>
  <si>
    <t>Blitz</t>
  </si>
  <si>
    <t>Paco</t>
  </si>
  <si>
    <t>Dante</t>
  </si>
  <si>
    <t>Coyote</t>
  </si>
  <si>
    <t>Gaichu</t>
  </si>
  <si>
    <t>Racter</t>
  </si>
  <si>
    <t>Gobbet</t>
  </si>
  <si>
    <t>Instructions</t>
  </si>
  <si>
    <t>Dirty</t>
  </si>
  <si>
    <t>[filter]</t>
  </si>
  <si>
    <t>Final</t>
  </si>
  <si>
    <t>[XComGame.X2SoldierClass_DefaultClasses]</t>
  </si>
  <si>
    <t>Make a copy of the Blank sheet, and give it a unique name with no spaces. Then, simply fill in your class's information as indicated.</t>
  </si>
  <si>
    <t>The worksheet comes pre-filled with all abilities from the base game, Long War Perk Pack, and Shadow Ops Class Pack. To add new abilities, simply fill in their information at the bottom of the list. The only strictly necessary fields to fill are Ability (the name of the ability), AbilityName (the code-name for the ability), and, if necessary, the ApplyToWeaponSlot field (e.g. PrimaryWeapon, SecondaryWeapon). The rest of the fields are for reference only. 
I have not bothered to gather all the descriptions for all the Long War 2 abilities, because I am lazy. Sue me.</t>
  </si>
  <si>
    <t>This space intentionally left blank. Do not edit.</t>
  </si>
  <si>
    <t>This is the tool I made for myself to automatically fill out a lot of the miscellaneous code for class creation. Considering I pretty much made this entire mod through it, I thought it'd be, I dunno, neighborly of me to include it so you can check it out and use it yourself. I included basic instructions, but it's otherwise provided very much as-is; I make no promises as to its usefulness or guarantees that it'll work. I guess you can contact me if you have issues or suggestions, but I'll give you a funny look about it.</t>
  </si>
  <si>
    <t>You have two options here. First, at the bottom of each page is its own personal output. Alternatively, in the Output tab, there's a collection of each individual sheet's content, already formatted and everything. For both of them, you're just selecting everything in the colored box and copy/pasting it in the appropriate file, as indicated by their titles. 
You can also set a prefix for the codenames of each class in the Output tab. Be aware, though, that manually editing the codename on a given sheet will override this prefix.</t>
  </si>
  <si>
    <t>IMPORTANT:</t>
  </si>
  <si>
    <t>If you're using this sheet, you have to copy/paste into Microsoft Word first, and then into the indicated file. If you don't copy/paste into Word first, you'll wind up with a bunch of extra double quotes added, though that can be remedied with a find/replace. This is due to Excel wanting to output accurate CSV, and as far as I can tell, there's no easy fix. Sorry.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</si>
</sst>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6" x14ac:knownFonts="1">
    <font>
      <sz val="11"/>
      <color theme="1"/>
      <name val="Calibri"/>
      <family val="2"/>
      <scheme val="minor"/>
    </font>
    <font>
      <b/>
      <sz val="11"/>
      <color theme="1"/>
      <name val="Calibri"/>
      <family val="2"/>
      <scheme val="minor"/>
    </font>
    <font>
      <b/>
      <sz val="12"/>
      <color theme="1"/>
      <name val="Calibri"/>
      <family val="2"/>
      <scheme val="minor"/>
    </font>
    <font>
      <sz val="8"/>
      <color rgb="FF000000"/>
      <name val="Segoe UI"/>
      <family val="2"/>
    </font>
    <font>
      <b/>
      <sz val="13"/>
      <color theme="3"/>
      <name val="Calibri"/>
      <family val="2"/>
      <scheme val="minor"/>
    </font>
    <font>
      <b/>
      <sz val="11"/>
      <color theme="3"/>
      <name val="Calibri"/>
      <family val="2"/>
      <scheme val="minor"/>
    </font>
    <font>
      <b/>
      <sz val="18"/>
      <color theme="0"/>
      <name val="Calibri"/>
      <family val="2"/>
      <scheme val="minor"/>
    </font>
    <font>
      <b/>
      <sz val="18"/>
      <color theme="1"/>
      <name val="Calibri"/>
      <family val="2"/>
      <scheme val="minor"/>
    </font>
    <font>
      <b/>
      <sz val="11"/>
      <color theme="4" tint="0.79998168889431442"/>
      <name val="Calibri"/>
      <family val="2"/>
      <scheme val="minor"/>
    </font>
    <font>
      <sz val="18"/>
      <color theme="1"/>
      <name val="Calibri"/>
      <family val="2"/>
      <scheme val="minor"/>
    </font>
    <font>
      <b/>
      <sz val="16"/>
      <color theme="1"/>
      <name val="Calibri"/>
      <family val="2"/>
      <scheme val="minor"/>
    </font>
    <font>
      <b/>
      <sz val="14"/>
      <color theme="3"/>
      <name val="Calibri"/>
      <family val="2"/>
      <scheme val="minor"/>
    </font>
    <font>
      <sz val="18"/>
      <name val="Calibri"/>
      <family val="2"/>
      <scheme val="minor"/>
    </font>
    <font>
      <sz val="16"/>
      <color theme="1"/>
      <name val="Calibri"/>
      <family val="2"/>
      <scheme val="minor"/>
    </font>
    <font>
      <sz val="20"/>
      <color theme="1"/>
      <name val="Calibri"/>
      <family val="2"/>
      <scheme val="minor"/>
    </font>
    <font>
      <sz val="26"/>
      <color theme="1"/>
      <name val="Calibri"/>
      <family val="2"/>
      <scheme val="minor"/>
    </font>
    <font>
      <b/>
      <sz val="10"/>
      <color theme="3"/>
      <name val="Calibri"/>
      <family val="2"/>
      <scheme val="minor"/>
    </font>
    <font>
      <u/>
      <sz val="11"/>
      <color theme="10"/>
      <name val="Calibri"/>
      <family val="2"/>
      <scheme val="minor"/>
    </font>
    <font>
      <b/>
      <sz val="20"/>
      <name val="Calibri"/>
      <family val="2"/>
      <scheme val="minor"/>
    </font>
    <font>
      <sz val="18"/>
      <color theme="0"/>
      <name val="Calibri"/>
      <family val="2"/>
      <scheme val="minor"/>
    </font>
    <font>
      <sz val="16"/>
      <color theme="0"/>
      <name val="Calibri"/>
      <family val="2"/>
      <scheme val="minor"/>
    </font>
    <font>
      <b/>
      <sz val="8"/>
      <name val="Calibri"/>
      <family val="2"/>
      <scheme val="minor"/>
    </font>
    <font>
      <b/>
      <sz val="12"/>
      <name val="Calibri"/>
      <family val="2"/>
      <scheme val="minor"/>
    </font>
    <font>
      <sz val="11"/>
      <name val="Calibri"/>
      <family val="2"/>
      <scheme val="minor"/>
    </font>
    <font>
      <sz val="14"/>
      <color theme="1"/>
      <name val="Calibri"/>
      <family val="2"/>
      <scheme val="minor"/>
    </font>
    <font>
      <sz val="22"/>
      <color theme="1"/>
      <name val="Calibri"/>
      <family val="2"/>
      <scheme val="minor"/>
    </font>
  </fonts>
  <fills count="18">
    <fill>
      <patternFill patternType="none"/>
    </fill>
    <fill>
      <patternFill patternType="gray125"/>
    </fill>
    <fill>
      <patternFill patternType="solid">
        <fgColor theme="4" tint="0.79998168889431442"/>
        <bgColor indexed="64"/>
      </patternFill>
    </fill>
    <fill>
      <patternFill patternType="solid">
        <fgColor theme="4"/>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0"/>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4" tint="0.39997558519241921"/>
        <bgColor indexed="64"/>
      </patternFill>
    </fill>
    <fill>
      <patternFill patternType="solid">
        <fgColor theme="5" tint="0.39994506668294322"/>
        <bgColor indexed="64"/>
      </patternFill>
    </fill>
    <fill>
      <patternFill patternType="solid">
        <fgColor theme="5" tint="0.59999389629810485"/>
        <bgColor indexed="64"/>
      </patternFill>
    </fill>
  </fills>
  <borders count="80">
    <border>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right/>
      <top/>
      <bottom style="thick">
        <color theme="4" tint="0.499984740745262"/>
      </bottom>
      <diagonal/>
    </border>
    <border>
      <left/>
      <right/>
      <top/>
      <bottom style="medium">
        <color theme="4" tint="0.39997558519241921"/>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ck">
        <color theme="4" tint="0.499984740745262"/>
      </top>
      <bottom style="thin">
        <color indexed="64"/>
      </bottom>
      <diagonal/>
    </border>
    <border>
      <left/>
      <right style="thin">
        <color indexed="64"/>
      </right>
      <top style="thick">
        <color theme="4" tint="0.499984740745262"/>
      </top>
      <bottom style="thin">
        <color indexed="64"/>
      </bottom>
      <diagonal/>
    </border>
    <border>
      <left style="thin">
        <color auto="1"/>
      </left>
      <right/>
      <top style="thin">
        <color auto="1"/>
      </top>
      <bottom style="thin">
        <color indexed="64"/>
      </bottom>
      <diagonal/>
    </border>
    <border>
      <left/>
      <right style="thin">
        <color auto="1"/>
      </right>
      <top style="thin">
        <color auto="1"/>
      </top>
      <bottom style="thin">
        <color indexed="64"/>
      </bottom>
      <diagonal/>
    </border>
    <border>
      <left/>
      <right/>
      <top style="thin">
        <color indexed="64"/>
      </top>
      <bottom style="thin">
        <color indexed="64"/>
      </bottom>
      <diagonal/>
    </border>
    <border>
      <left style="dotted">
        <color indexed="64"/>
      </left>
      <right/>
      <top/>
      <bottom style="thin">
        <color auto="1"/>
      </bottom>
      <diagonal/>
    </border>
    <border>
      <left style="dotted">
        <color indexed="64"/>
      </left>
      <right/>
      <top style="thin">
        <color indexed="64"/>
      </top>
      <bottom style="thin">
        <color indexed="64"/>
      </bottom>
      <diagonal/>
    </border>
    <border>
      <left/>
      <right/>
      <top style="thick">
        <color theme="4" tint="0.499984740745262"/>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auto="1"/>
      </bottom>
      <diagonal/>
    </border>
    <border>
      <left/>
      <right style="medium">
        <color indexed="64"/>
      </right>
      <top style="medium">
        <color indexed="64"/>
      </top>
      <bottom style="thin">
        <color indexed="64"/>
      </bottom>
      <diagonal/>
    </border>
    <border>
      <left style="dotted">
        <color indexed="64"/>
      </left>
      <right/>
      <top style="medium">
        <color indexed="64"/>
      </top>
      <bottom/>
      <diagonal/>
    </border>
    <border>
      <left style="medium">
        <color indexed="64"/>
      </left>
      <right/>
      <top/>
      <bottom style="thin">
        <color auto="1"/>
      </bottom>
      <diagonal/>
    </border>
    <border>
      <left/>
      <right style="medium">
        <color indexed="64"/>
      </right>
      <top/>
      <bottom style="thin">
        <color auto="1"/>
      </bottom>
      <diagonal/>
    </border>
    <border>
      <left style="medium">
        <color indexed="64"/>
      </left>
      <right/>
      <top style="thin">
        <color auto="1"/>
      </top>
      <bottom style="medium">
        <color indexed="64"/>
      </bottom>
      <diagonal/>
    </border>
    <border>
      <left/>
      <right style="dotted">
        <color indexed="64"/>
      </right>
      <top style="thin">
        <color auto="1"/>
      </top>
      <bottom style="medium">
        <color indexed="64"/>
      </bottom>
      <diagonal/>
    </border>
    <border>
      <left style="dotted">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auto="1"/>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auto="1"/>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right style="medium">
        <color indexed="64"/>
      </right>
      <top style="thin">
        <color auto="1"/>
      </top>
      <bottom/>
      <diagonal/>
    </border>
    <border>
      <left style="medium">
        <color indexed="64"/>
      </left>
      <right/>
      <top style="thick">
        <color theme="4" tint="0.499984740745262"/>
      </top>
      <bottom style="thin">
        <color indexed="64"/>
      </bottom>
      <diagonal/>
    </border>
    <border>
      <left style="thin">
        <color indexed="64"/>
      </left>
      <right style="medium">
        <color indexed="64"/>
      </right>
      <top style="thin">
        <color indexed="64"/>
      </top>
      <bottom style="thin">
        <color indexed="64"/>
      </bottom>
      <diagonal/>
    </border>
    <border>
      <left/>
      <right style="thin">
        <color auto="1"/>
      </right>
      <top/>
      <bottom style="medium">
        <color indexed="64"/>
      </bottom>
      <diagonal/>
    </border>
    <border>
      <left style="thin">
        <color auto="1"/>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dotted">
        <color indexed="64"/>
      </right>
      <top style="thin">
        <color indexed="64"/>
      </top>
      <bottom style="thin">
        <color indexed="64"/>
      </bottom>
      <diagonal/>
    </border>
    <border>
      <left style="thin">
        <color indexed="64"/>
      </left>
      <right style="dotted">
        <color indexed="64"/>
      </right>
      <top style="thin">
        <color indexed="64"/>
      </top>
      <bottom style="medium">
        <color indexed="64"/>
      </bottom>
      <diagonal/>
    </border>
    <border>
      <left style="medium">
        <color indexed="64"/>
      </left>
      <right/>
      <top/>
      <bottom style="thick">
        <color theme="4" tint="0.499984740745262"/>
      </bottom>
      <diagonal/>
    </border>
    <border>
      <left/>
      <right style="medium">
        <color indexed="64"/>
      </right>
      <top/>
      <bottom style="thick">
        <color theme="4" tint="0.499984740745262"/>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ck">
        <color theme="4" tint="0.499984740745262"/>
      </bottom>
      <diagonal/>
    </border>
    <border>
      <left/>
      <right/>
      <top style="medium">
        <color indexed="64"/>
      </top>
      <bottom style="thick">
        <color theme="4" tint="0.499984740745262"/>
      </bottom>
      <diagonal/>
    </border>
    <border>
      <left/>
      <right style="medium">
        <color indexed="64"/>
      </right>
      <top style="medium">
        <color indexed="64"/>
      </top>
      <bottom style="thick">
        <color theme="4" tint="0.499984740745262"/>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ck">
        <color theme="4" tint="0.499984740745262"/>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diagonal/>
    </border>
    <border>
      <left style="thin">
        <color indexed="64"/>
      </left>
      <right/>
      <top/>
      <bottom/>
      <diagonal/>
    </border>
  </borders>
  <cellStyleXfs count="4">
    <xf numFmtId="0" fontId="0" fillId="0" borderId="0"/>
    <xf numFmtId="0" fontId="4" fillId="0" borderId="5" applyNumberFormat="0" applyFill="0" applyAlignment="0" applyProtection="0"/>
    <xf numFmtId="0" fontId="5" fillId="0" borderId="6" applyNumberFormat="0" applyFill="0" applyAlignment="0" applyProtection="0"/>
    <xf numFmtId="0" fontId="17" fillId="0" borderId="0" applyNumberFormat="0" applyFill="0" applyBorder="0" applyAlignment="0" applyProtection="0"/>
  </cellStyleXfs>
  <cellXfs count="271">
    <xf numFmtId="0" fontId="0" fillId="0" borderId="0" xfId="0"/>
    <xf numFmtId="0" fontId="1" fillId="0" borderId="0" xfId="0" applyFont="1"/>
    <xf numFmtId="0" fontId="0" fillId="0" borderId="0" xfId="0" applyFont="1"/>
    <xf numFmtId="0" fontId="0" fillId="0" borderId="0" xfId="0" applyBorder="1"/>
    <xf numFmtId="0" fontId="0" fillId="0" borderId="7" xfId="0" applyBorder="1"/>
    <xf numFmtId="0" fontId="8" fillId="2" borderId="0" xfId="0" applyFont="1" applyFill="1" applyBorder="1" applyAlignment="1"/>
    <xf numFmtId="0" fontId="0" fillId="2" borderId="21" xfId="0" applyFill="1" applyBorder="1" applyAlignment="1"/>
    <xf numFmtId="0" fontId="8" fillId="2" borderId="22" xfId="0" applyFont="1" applyFill="1" applyBorder="1" applyAlignment="1"/>
    <xf numFmtId="0" fontId="0" fillId="2" borderId="23" xfId="0" applyFill="1" applyBorder="1" applyAlignment="1"/>
    <xf numFmtId="0" fontId="8" fillId="2" borderId="25" xfId="0" applyFont="1" applyFill="1" applyBorder="1" applyAlignment="1"/>
    <xf numFmtId="0" fontId="0" fillId="0" borderId="43" xfId="0" applyBorder="1"/>
    <xf numFmtId="0" fontId="0" fillId="2" borderId="16" xfId="0" applyFill="1" applyBorder="1" applyAlignment="1">
      <alignment horizontal="center"/>
    </xf>
    <xf numFmtId="0" fontId="0" fillId="2" borderId="14" xfId="0" applyFill="1" applyBorder="1" applyAlignment="1">
      <alignment horizontal="center"/>
    </xf>
    <xf numFmtId="0" fontId="0" fillId="2" borderId="34" xfId="0" applyFill="1" applyBorder="1" applyAlignment="1">
      <alignment horizontal="center"/>
    </xf>
    <xf numFmtId="0" fontId="0" fillId="0" borderId="0" xfId="0" applyBorder="1" applyAlignment="1"/>
    <xf numFmtId="0" fontId="1" fillId="8" borderId="60" xfId="0" applyFont="1" applyFill="1" applyBorder="1" applyAlignment="1"/>
    <xf numFmtId="0" fontId="1" fillId="8" borderId="61" xfId="0" applyFont="1" applyFill="1" applyBorder="1"/>
    <xf numFmtId="0" fontId="1" fillId="8" borderId="61" xfId="0" applyFont="1" applyFill="1" applyBorder="1" applyAlignment="1"/>
    <xf numFmtId="0" fontId="1" fillId="8" borderId="56" xfId="0" applyFont="1" applyFill="1" applyBorder="1" applyAlignment="1"/>
    <xf numFmtId="0" fontId="1" fillId="0" borderId="46" xfId="0" applyFont="1" applyBorder="1" applyAlignment="1"/>
    <xf numFmtId="0" fontId="0" fillId="0" borderId="7" xfId="0" applyBorder="1" applyAlignment="1"/>
    <xf numFmtId="0" fontId="1" fillId="0" borderId="46" xfId="0" applyFont="1" applyFill="1" applyBorder="1" applyAlignment="1"/>
    <xf numFmtId="0" fontId="1" fillId="5" borderId="60" xfId="0" applyFont="1" applyFill="1" applyBorder="1" applyAlignment="1"/>
    <xf numFmtId="0" fontId="1" fillId="5" borderId="61" xfId="0" applyFont="1" applyFill="1" applyBorder="1"/>
    <xf numFmtId="0" fontId="1" fillId="5" borderId="61" xfId="0" applyFont="1" applyFill="1" applyBorder="1" applyAlignment="1"/>
    <xf numFmtId="0" fontId="1" fillId="5" borderId="56" xfId="0" applyFont="1" applyFill="1" applyBorder="1" applyAlignment="1"/>
    <xf numFmtId="0" fontId="1" fillId="4" borderId="46" xfId="0" applyFont="1" applyFill="1" applyBorder="1" applyAlignment="1"/>
    <xf numFmtId="0" fontId="0" fillId="4" borderId="7" xfId="0" applyFill="1" applyBorder="1"/>
    <xf numFmtId="0" fontId="0" fillId="4" borderId="7" xfId="0" applyFill="1" applyBorder="1" applyAlignment="1"/>
    <xf numFmtId="0" fontId="0" fillId="4" borderId="43" xfId="0" applyFill="1" applyBorder="1"/>
    <xf numFmtId="0" fontId="0" fillId="2" borderId="62" xfId="0" applyFill="1" applyBorder="1"/>
    <xf numFmtId="0" fontId="0" fillId="2" borderId="63" xfId="0" applyFill="1" applyBorder="1"/>
    <xf numFmtId="0" fontId="0" fillId="7" borderId="63" xfId="0" applyFill="1" applyBorder="1"/>
    <xf numFmtId="0" fontId="0" fillId="9" borderId="62" xfId="0" applyFill="1" applyBorder="1"/>
    <xf numFmtId="0" fontId="0" fillId="9" borderId="63" xfId="0" applyFill="1" applyBorder="1"/>
    <xf numFmtId="0" fontId="0" fillId="0" borderId="64" xfId="0" applyBorder="1"/>
    <xf numFmtId="0" fontId="1" fillId="0" borderId="65" xfId="0" applyFont="1" applyFill="1" applyBorder="1" applyAlignment="1"/>
    <xf numFmtId="0" fontId="0" fillId="0" borderId="66" xfId="0" applyBorder="1"/>
    <xf numFmtId="0" fontId="0" fillId="0" borderId="67" xfId="0" applyBorder="1"/>
    <xf numFmtId="0" fontId="1" fillId="4" borderId="47" xfId="0" applyFont="1" applyFill="1" applyBorder="1" applyAlignment="1"/>
    <xf numFmtId="0" fontId="0" fillId="4" borderId="48" xfId="0" applyFill="1" applyBorder="1"/>
    <xf numFmtId="0" fontId="0" fillId="4" borderId="48" xfId="0" applyFill="1" applyBorder="1" applyAlignment="1"/>
    <xf numFmtId="0" fontId="0" fillId="4" borderId="49" xfId="0" applyFill="1" applyBorder="1"/>
    <xf numFmtId="0" fontId="0" fillId="2" borderId="68" xfId="0" applyFill="1" applyBorder="1"/>
    <xf numFmtId="0" fontId="0" fillId="7" borderId="68" xfId="0" applyFill="1" applyBorder="1"/>
    <xf numFmtId="0" fontId="0" fillId="9" borderId="68" xfId="0" applyFill="1" applyBorder="1"/>
    <xf numFmtId="0" fontId="0" fillId="0" borderId="0" xfId="0" applyAlignment="1">
      <alignment vertical="center"/>
    </xf>
    <xf numFmtId="0" fontId="17" fillId="0" borderId="0" xfId="3"/>
    <xf numFmtId="0" fontId="0" fillId="0" borderId="0" xfId="0" quotePrefix="1"/>
    <xf numFmtId="0" fontId="0" fillId="0" borderId="0" xfId="0" applyAlignment="1">
      <alignment horizontal="center"/>
    </xf>
    <xf numFmtId="0" fontId="0" fillId="0" borderId="21" xfId="0" applyBorder="1" applyAlignment="1">
      <alignment horizontal="left" vertical="top" wrapText="1"/>
    </xf>
    <xf numFmtId="0" fontId="0" fillId="0" borderId="0" xfId="0" applyBorder="1" applyAlignment="1">
      <alignment horizontal="left" vertical="top" wrapText="1"/>
    </xf>
    <xf numFmtId="0" fontId="0" fillId="0" borderId="22" xfId="0" applyBorder="1" applyAlignment="1">
      <alignment horizontal="left" vertical="top" wrapText="1"/>
    </xf>
    <xf numFmtId="0" fontId="0" fillId="0" borderId="23" xfId="0" applyBorder="1" applyAlignment="1">
      <alignment horizontal="left" vertical="top" wrapText="1"/>
    </xf>
    <xf numFmtId="0" fontId="0" fillId="0" borderId="24" xfId="0" applyBorder="1" applyAlignment="1">
      <alignment horizontal="left" vertical="top" wrapText="1"/>
    </xf>
    <xf numFmtId="0" fontId="0" fillId="0" borderId="25" xfId="0" applyBorder="1" applyAlignment="1">
      <alignment horizontal="left" vertical="top" wrapText="1"/>
    </xf>
    <xf numFmtId="0" fontId="14" fillId="15" borderId="21" xfId="0" applyFont="1" applyFill="1" applyBorder="1" applyAlignment="1">
      <alignment horizontal="center"/>
    </xf>
    <xf numFmtId="0" fontId="14" fillId="15" borderId="0" xfId="0" applyFont="1" applyFill="1" applyBorder="1" applyAlignment="1">
      <alignment horizontal="center"/>
    </xf>
    <xf numFmtId="0" fontId="14" fillId="15" borderId="22" xfId="0" applyFont="1" applyFill="1" applyBorder="1" applyAlignment="1">
      <alignment horizontal="center"/>
    </xf>
    <xf numFmtId="0" fontId="14" fillId="15" borderId="29" xfId="0" applyFont="1" applyFill="1" applyBorder="1" applyAlignment="1">
      <alignment horizontal="center"/>
    </xf>
    <xf numFmtId="0" fontId="14" fillId="15" borderId="9" xfId="0" applyFont="1" applyFill="1" applyBorder="1" applyAlignment="1">
      <alignment horizontal="center"/>
    </xf>
    <xf numFmtId="0" fontId="14" fillId="15" borderId="30" xfId="0" applyFont="1" applyFill="1" applyBorder="1" applyAlignment="1">
      <alignment horizontal="center"/>
    </xf>
    <xf numFmtId="0" fontId="15" fillId="8" borderId="18" xfId="0" applyFont="1" applyFill="1" applyBorder="1" applyAlignment="1">
      <alignment horizontal="center" vertical="center"/>
    </xf>
    <xf numFmtId="0" fontId="15" fillId="8" borderId="19" xfId="0" applyFont="1" applyFill="1" applyBorder="1" applyAlignment="1">
      <alignment horizontal="center" vertical="center"/>
    </xf>
    <xf numFmtId="0" fontId="15" fillId="8" borderId="20" xfId="0" applyFont="1" applyFill="1" applyBorder="1" applyAlignment="1">
      <alignment horizontal="center" vertical="center"/>
    </xf>
    <xf numFmtId="0" fontId="15" fillId="8" borderId="21" xfId="0" applyFont="1" applyFill="1" applyBorder="1" applyAlignment="1">
      <alignment horizontal="center" vertical="center"/>
    </xf>
    <xf numFmtId="0" fontId="15" fillId="8" borderId="0" xfId="0" applyFont="1" applyFill="1" applyBorder="1" applyAlignment="1">
      <alignment horizontal="center" vertical="center"/>
    </xf>
    <xf numFmtId="0" fontId="15" fillId="8" borderId="22" xfId="0" applyFont="1" applyFill="1" applyBorder="1" applyAlignment="1">
      <alignment horizontal="center" vertical="center"/>
    </xf>
    <xf numFmtId="0" fontId="15" fillId="8" borderId="23" xfId="0" applyFont="1" applyFill="1" applyBorder="1" applyAlignment="1">
      <alignment horizontal="center" vertical="center"/>
    </xf>
    <xf numFmtId="0" fontId="15" fillId="8" borderId="24" xfId="0" applyFont="1" applyFill="1" applyBorder="1" applyAlignment="1">
      <alignment horizontal="center" vertical="center"/>
    </xf>
    <xf numFmtId="0" fontId="15" fillId="8" borderId="25" xfId="0" applyFont="1" applyFill="1" applyBorder="1" applyAlignment="1">
      <alignment horizontal="center" vertical="center"/>
    </xf>
    <xf numFmtId="0" fontId="14" fillId="15" borderId="18" xfId="0" applyFont="1" applyFill="1" applyBorder="1" applyAlignment="1">
      <alignment horizontal="center"/>
    </xf>
    <xf numFmtId="0" fontId="14" fillId="15" borderId="19" xfId="0" applyFont="1" applyFill="1" applyBorder="1" applyAlignment="1">
      <alignment horizontal="center"/>
    </xf>
    <xf numFmtId="0" fontId="14" fillId="15" borderId="20" xfId="0" applyFont="1" applyFill="1" applyBorder="1" applyAlignment="1">
      <alignment horizontal="center"/>
    </xf>
    <xf numFmtId="0" fontId="0" fillId="0" borderId="40" xfId="0" applyFont="1" applyBorder="1" applyAlignment="1">
      <alignment horizontal="left" vertical="top" wrapText="1"/>
    </xf>
    <xf numFmtId="0" fontId="0" fillId="0" borderId="8" xfId="0" applyFont="1" applyBorder="1" applyAlignment="1">
      <alignment horizontal="left" vertical="top" wrapText="1"/>
    </xf>
    <xf numFmtId="0" fontId="0" fillId="0" borderId="41" xfId="0" applyFont="1" applyBorder="1" applyAlignment="1">
      <alignment horizontal="left" vertical="top" wrapText="1"/>
    </xf>
    <xf numFmtId="0" fontId="0" fillId="0" borderId="21" xfId="0" applyFont="1" applyBorder="1" applyAlignment="1">
      <alignment horizontal="left" vertical="top" wrapText="1"/>
    </xf>
    <xf numFmtId="0" fontId="0" fillId="0" borderId="0" xfId="0" applyFont="1" applyBorder="1" applyAlignment="1">
      <alignment horizontal="left" vertical="top" wrapText="1"/>
    </xf>
    <xf numFmtId="0" fontId="0" fillId="0" borderId="22" xfId="0" applyFont="1" applyBorder="1" applyAlignment="1">
      <alignment horizontal="left" vertical="top" wrapText="1"/>
    </xf>
    <xf numFmtId="0" fontId="0" fillId="0" borderId="23" xfId="0" applyFont="1" applyBorder="1" applyAlignment="1">
      <alignment horizontal="left" vertical="top" wrapText="1"/>
    </xf>
    <xf numFmtId="0" fontId="0" fillId="0" borderId="24" xfId="0" applyFont="1" applyBorder="1" applyAlignment="1">
      <alignment horizontal="left" vertical="top" wrapText="1"/>
    </xf>
    <xf numFmtId="0" fontId="0" fillId="0" borderId="25" xfId="0" applyFont="1" applyBorder="1" applyAlignment="1">
      <alignment horizontal="left" vertical="top" wrapText="1"/>
    </xf>
    <xf numFmtId="0" fontId="0" fillId="0" borderId="40" xfId="0" applyBorder="1" applyAlignment="1">
      <alignment horizontal="left" vertical="top" wrapText="1"/>
    </xf>
    <xf numFmtId="0" fontId="0" fillId="0" borderId="8" xfId="0" applyBorder="1" applyAlignment="1">
      <alignment horizontal="left" vertical="top" wrapText="1"/>
    </xf>
    <xf numFmtId="0" fontId="0" fillId="0" borderId="41" xfId="0" applyBorder="1" applyAlignment="1">
      <alignment horizontal="left" vertical="top" wrapText="1"/>
    </xf>
    <xf numFmtId="0" fontId="21" fillId="10" borderId="19" xfId="0" applyFont="1" applyFill="1" applyBorder="1" applyAlignment="1">
      <alignment horizontal="center" vertical="center" wrapText="1"/>
    </xf>
    <xf numFmtId="0" fontId="21" fillId="10" borderId="0" xfId="0" applyFont="1" applyFill="1" applyBorder="1" applyAlignment="1">
      <alignment horizontal="center" vertical="center" wrapText="1"/>
    </xf>
    <xf numFmtId="0" fontId="19" fillId="10" borderId="19" xfId="0" applyFont="1" applyFill="1" applyBorder="1" applyAlignment="1">
      <alignment horizontal="center" vertical="center"/>
    </xf>
    <xf numFmtId="0" fontId="19" fillId="10" borderId="0" xfId="0" applyFont="1" applyFill="1" applyBorder="1" applyAlignment="1">
      <alignment horizontal="center" vertical="center"/>
    </xf>
    <xf numFmtId="0" fontId="7" fillId="7" borderId="18" xfId="0" applyFont="1" applyFill="1" applyBorder="1" applyAlignment="1">
      <alignment horizontal="center" vertical="center"/>
    </xf>
    <xf numFmtId="0" fontId="7" fillId="7" borderId="19" xfId="0" applyFont="1" applyFill="1" applyBorder="1" applyAlignment="1">
      <alignment horizontal="center" vertical="center"/>
    </xf>
    <xf numFmtId="0" fontId="7" fillId="7" borderId="29" xfId="0" applyFont="1" applyFill="1" applyBorder="1" applyAlignment="1">
      <alignment horizontal="center" vertical="center"/>
    </xf>
    <xf numFmtId="0" fontId="7" fillId="7" borderId="9" xfId="0" applyFont="1" applyFill="1" applyBorder="1" applyAlignment="1">
      <alignment horizontal="center" vertical="center"/>
    </xf>
    <xf numFmtId="0" fontId="9" fillId="7" borderId="28" xfId="0" applyFont="1" applyFill="1" applyBorder="1" applyAlignment="1">
      <alignment horizontal="center" vertical="center"/>
    </xf>
    <xf numFmtId="0" fontId="9" fillId="7" borderId="19" xfId="0" applyFont="1" applyFill="1" applyBorder="1" applyAlignment="1">
      <alignment horizontal="center" vertical="center"/>
    </xf>
    <xf numFmtId="0" fontId="9" fillId="7" borderId="15" xfId="0" applyFont="1" applyFill="1" applyBorder="1" applyAlignment="1">
      <alignment horizontal="center" vertical="center"/>
    </xf>
    <xf numFmtId="0" fontId="9" fillId="7" borderId="9" xfId="0" applyFont="1" applyFill="1" applyBorder="1" applyAlignment="1">
      <alignment horizontal="center" vertical="center"/>
    </xf>
    <xf numFmtId="0" fontId="6" fillId="3" borderId="21" xfId="0" applyFont="1" applyFill="1" applyBorder="1" applyAlignment="1">
      <alignment horizontal="center"/>
    </xf>
    <xf numFmtId="0" fontId="6" fillId="3" borderId="0" xfId="0" applyFont="1" applyFill="1" applyBorder="1" applyAlignment="1">
      <alignment horizontal="center"/>
    </xf>
    <xf numFmtId="0" fontId="12" fillId="6" borderId="18" xfId="0" applyFont="1" applyFill="1" applyBorder="1" applyAlignment="1">
      <alignment horizontal="center"/>
    </xf>
    <xf numFmtId="0" fontId="12" fillId="6" borderId="19" xfId="0" applyFont="1" applyFill="1" applyBorder="1" applyAlignment="1">
      <alignment horizontal="center"/>
    </xf>
    <xf numFmtId="0" fontId="12" fillId="6" borderId="20" xfId="0" applyFont="1" applyFill="1" applyBorder="1" applyAlignment="1">
      <alignment horizontal="center"/>
    </xf>
    <xf numFmtId="0" fontId="12" fillId="6" borderId="23" xfId="0" applyFont="1" applyFill="1" applyBorder="1" applyAlignment="1">
      <alignment horizontal="center"/>
    </xf>
    <xf numFmtId="0" fontId="12" fillId="6" borderId="24" xfId="0" applyFont="1" applyFill="1" applyBorder="1" applyAlignment="1">
      <alignment horizontal="center"/>
    </xf>
    <xf numFmtId="0" fontId="12" fillId="6" borderId="25" xfId="0" applyFont="1" applyFill="1" applyBorder="1" applyAlignment="1">
      <alignment horizontal="center"/>
    </xf>
    <xf numFmtId="0" fontId="1" fillId="9" borderId="31" xfId="0" applyFont="1" applyFill="1" applyBorder="1" applyAlignment="1">
      <alignment horizontal="center"/>
    </xf>
    <xf numFmtId="0" fontId="1" fillId="9" borderId="32" xfId="0" applyFont="1" applyFill="1" applyBorder="1" applyAlignment="1">
      <alignment horizontal="center"/>
    </xf>
    <xf numFmtId="0" fontId="0" fillId="9" borderId="33" xfId="0" applyFill="1" applyBorder="1" applyAlignment="1">
      <alignment horizontal="center"/>
    </xf>
    <xf numFmtId="0" fontId="0" fillId="9" borderId="34" xfId="0" applyFill="1" applyBorder="1" applyAlignment="1">
      <alignment horizontal="center"/>
    </xf>
    <xf numFmtId="0" fontId="4" fillId="0" borderId="52" xfId="1" applyBorder="1" applyAlignment="1">
      <alignment horizontal="center"/>
    </xf>
    <xf numFmtId="0" fontId="4" fillId="0" borderId="5" xfId="1" applyBorder="1" applyAlignment="1">
      <alignment horizontal="center"/>
    </xf>
    <xf numFmtId="0" fontId="4" fillId="0" borderId="53" xfId="1" applyBorder="1" applyAlignment="1">
      <alignment horizontal="center"/>
    </xf>
    <xf numFmtId="0" fontId="4" fillId="10" borderId="26" xfId="1" applyFill="1" applyBorder="1" applyAlignment="1">
      <alignment horizontal="center"/>
    </xf>
    <xf numFmtId="0" fontId="4" fillId="10" borderId="36" xfId="1" applyFill="1" applyBorder="1" applyAlignment="1">
      <alignment horizontal="center"/>
    </xf>
    <xf numFmtId="0" fontId="10" fillId="11" borderId="18" xfId="0" applyFont="1" applyFill="1" applyBorder="1" applyAlignment="1">
      <alignment horizontal="center" vertical="center"/>
    </xf>
    <xf numFmtId="0" fontId="10" fillId="11" borderId="19" xfId="0" applyFont="1" applyFill="1" applyBorder="1" applyAlignment="1">
      <alignment horizontal="center" vertical="center"/>
    </xf>
    <xf numFmtId="0" fontId="10" fillId="11" borderId="29" xfId="0" applyFont="1" applyFill="1" applyBorder="1" applyAlignment="1">
      <alignment horizontal="center" vertical="center"/>
    </xf>
    <xf numFmtId="0" fontId="10" fillId="11" borderId="9" xfId="0" applyFont="1" applyFill="1" applyBorder="1" applyAlignment="1">
      <alignment horizontal="center" vertical="center"/>
    </xf>
    <xf numFmtId="0" fontId="1" fillId="0" borderId="42" xfId="0" applyFont="1" applyBorder="1" applyAlignment="1">
      <alignment horizontal="center"/>
    </xf>
    <xf numFmtId="0" fontId="1" fillId="0" borderId="11" xfId="0" applyFont="1" applyBorder="1" applyAlignment="1">
      <alignment horizontal="center"/>
    </xf>
    <xf numFmtId="0" fontId="1" fillId="0" borderId="10" xfId="0" applyFont="1" applyBorder="1" applyAlignment="1">
      <alignment horizontal="center"/>
    </xf>
    <xf numFmtId="0" fontId="1" fillId="0" borderId="17" xfId="0" applyFont="1" applyBorder="1" applyAlignment="1">
      <alignment horizontal="center"/>
    </xf>
    <xf numFmtId="0" fontId="0" fillId="0" borderId="40" xfId="0" applyFont="1" applyBorder="1" applyAlignment="1">
      <alignment horizontal="left" vertical="distributed"/>
    </xf>
    <xf numFmtId="0" fontId="0" fillId="0" borderId="8" xfId="0" applyFont="1" applyBorder="1" applyAlignment="1">
      <alignment horizontal="left" vertical="distributed"/>
    </xf>
    <xf numFmtId="0" fontId="0" fillId="0" borderId="2" xfId="0" applyFont="1" applyBorder="1" applyAlignment="1">
      <alignment horizontal="left" vertical="distributed"/>
    </xf>
    <xf numFmtId="0" fontId="0" fillId="0" borderId="29" xfId="0" applyFont="1" applyBorder="1" applyAlignment="1">
      <alignment horizontal="left" vertical="distributed"/>
    </xf>
    <xf numFmtId="0" fontId="0" fillId="0" borderId="9" xfId="0" applyFont="1" applyBorder="1" applyAlignment="1">
      <alignment horizontal="left" vertical="distributed"/>
    </xf>
    <xf numFmtId="0" fontId="0" fillId="0" borderId="4" xfId="0" applyFont="1" applyBorder="1" applyAlignment="1">
      <alignment horizontal="left" vertical="distributed"/>
    </xf>
    <xf numFmtId="0" fontId="0" fillId="0" borderId="1" xfId="0" applyBorder="1" applyAlignment="1">
      <alignment horizontal="left" vertical="distributed"/>
    </xf>
    <xf numFmtId="0" fontId="0" fillId="0" borderId="8" xfId="0" applyBorder="1" applyAlignment="1">
      <alignment horizontal="left" vertical="distributed"/>
    </xf>
    <xf numFmtId="0" fontId="0" fillId="0" borderId="2" xfId="0" applyBorder="1" applyAlignment="1">
      <alignment horizontal="left" vertical="distributed"/>
    </xf>
    <xf numFmtId="0" fontId="0" fillId="0" borderId="3" xfId="0" applyBorder="1" applyAlignment="1">
      <alignment horizontal="left" vertical="distributed"/>
    </xf>
    <xf numFmtId="0" fontId="0" fillId="0" borderId="9" xfId="0" applyBorder="1" applyAlignment="1">
      <alignment horizontal="left" vertical="distributed"/>
    </xf>
    <xf numFmtId="0" fontId="0" fillId="0" borderId="4" xfId="0" applyBorder="1" applyAlignment="1">
      <alignment horizontal="left" vertical="distributed"/>
    </xf>
    <xf numFmtId="0" fontId="0" fillId="0" borderId="41" xfId="0" applyBorder="1" applyAlignment="1">
      <alignment horizontal="left" vertical="distributed"/>
    </xf>
    <xf numFmtId="0" fontId="0" fillId="0" borderId="30" xfId="0" applyBorder="1" applyAlignment="1">
      <alignment horizontal="left" vertical="distributed"/>
    </xf>
    <xf numFmtId="0" fontId="0" fillId="2" borderId="46" xfId="0" applyFill="1" applyBorder="1" applyAlignment="1">
      <alignment horizontal="center"/>
    </xf>
    <xf numFmtId="0" fontId="0" fillId="2" borderId="12" xfId="0" applyFill="1" applyBorder="1" applyAlignment="1">
      <alignment horizontal="center"/>
    </xf>
    <xf numFmtId="0" fontId="1" fillId="0" borderId="39" xfId="0" applyFont="1" applyBorder="1" applyAlignment="1">
      <alignment horizontal="center"/>
    </xf>
    <xf numFmtId="0" fontId="1" fillId="0" borderId="13" xfId="0" applyFont="1" applyBorder="1" applyAlignment="1">
      <alignment horizontal="center"/>
    </xf>
    <xf numFmtId="0" fontId="1" fillId="0" borderId="12" xfId="0" applyFont="1" applyBorder="1" applyAlignment="1">
      <alignment horizontal="center"/>
    </xf>
    <xf numFmtId="0" fontId="1" fillId="0" borderId="14" xfId="0" applyFont="1" applyBorder="1" applyAlignment="1">
      <alignment horizontal="center"/>
    </xf>
    <xf numFmtId="0" fontId="0" fillId="2" borderId="50" xfId="0" applyFill="1" applyBorder="1" applyAlignment="1">
      <alignment horizontal="center"/>
    </xf>
    <xf numFmtId="0" fontId="0" fillId="0" borderId="40" xfId="0" applyBorder="1" applyAlignment="1">
      <alignment horizontal="left" vertical="distributed"/>
    </xf>
    <xf numFmtId="0" fontId="0" fillId="0" borderId="29" xfId="0" applyBorder="1" applyAlignment="1">
      <alignment horizontal="left" vertical="distributed"/>
    </xf>
    <xf numFmtId="0" fontId="0" fillId="0" borderId="45" xfId="0" applyBorder="1" applyAlignment="1">
      <alignment horizontal="left" vertical="distributed"/>
    </xf>
    <xf numFmtId="0" fontId="0" fillId="0" borderId="24" xfId="0" applyBorder="1" applyAlignment="1">
      <alignment horizontal="left" vertical="distributed"/>
    </xf>
    <xf numFmtId="0" fontId="0" fillId="0" borderId="44" xfId="0" applyBorder="1" applyAlignment="1">
      <alignment horizontal="left" vertical="distributed"/>
    </xf>
    <xf numFmtId="0" fontId="9" fillId="12" borderId="18" xfId="0" applyFont="1" applyFill="1" applyBorder="1" applyAlignment="1">
      <alignment horizontal="center"/>
    </xf>
    <xf numFmtId="0" fontId="9" fillId="12" borderId="19" xfId="0" applyFont="1" applyFill="1" applyBorder="1" applyAlignment="1">
      <alignment horizontal="center"/>
    </xf>
    <xf numFmtId="0" fontId="9" fillId="12" borderId="20" xfId="0" applyFont="1" applyFill="1" applyBorder="1" applyAlignment="1">
      <alignment horizontal="center"/>
    </xf>
    <xf numFmtId="0" fontId="9" fillId="12" borderId="23" xfId="0" applyFont="1" applyFill="1" applyBorder="1" applyAlignment="1">
      <alignment horizontal="center"/>
    </xf>
    <xf numFmtId="0" fontId="9" fillId="12" borderId="24" xfId="0" applyFont="1" applyFill="1" applyBorder="1" applyAlignment="1">
      <alignment horizontal="center"/>
    </xf>
    <xf numFmtId="0" fontId="9" fillId="12" borderId="25" xfId="0" applyFont="1" applyFill="1" applyBorder="1" applyAlignment="1">
      <alignment horizontal="center"/>
    </xf>
    <xf numFmtId="0" fontId="0" fillId="2" borderId="47" xfId="0" applyFill="1" applyBorder="1" applyAlignment="1">
      <alignment horizontal="center"/>
    </xf>
    <xf numFmtId="0" fontId="0" fillId="2" borderId="51" xfId="0" applyFill="1" applyBorder="1" applyAlignment="1">
      <alignment horizontal="center"/>
    </xf>
    <xf numFmtId="0" fontId="11" fillId="11" borderId="26" xfId="2" applyFont="1" applyFill="1" applyBorder="1" applyAlignment="1">
      <alignment horizontal="center"/>
    </xf>
    <xf numFmtId="0" fontId="11" fillId="11" borderId="36" xfId="2" applyFont="1" applyFill="1" applyBorder="1" applyAlignment="1">
      <alignment horizontal="center"/>
    </xf>
    <xf numFmtId="0" fontId="11" fillId="11" borderId="37" xfId="2" applyFont="1" applyFill="1" applyBorder="1" applyAlignment="1">
      <alignment horizontal="center"/>
    </xf>
    <xf numFmtId="0" fontId="11" fillId="11" borderId="38" xfId="2" applyFont="1" applyFill="1" applyBorder="1" applyAlignment="1">
      <alignment horizontal="center"/>
    </xf>
    <xf numFmtId="0" fontId="11" fillId="11" borderId="27" xfId="2" applyFont="1" applyFill="1" applyBorder="1" applyAlignment="1">
      <alignment horizontal="center"/>
    </xf>
    <xf numFmtId="0" fontId="0" fillId="0" borderId="31" xfId="0" applyBorder="1" applyAlignment="1">
      <alignment horizontal="center"/>
    </xf>
    <xf numFmtId="0" fontId="0" fillId="0" borderId="34" xfId="0" applyBorder="1" applyAlignment="1">
      <alignment horizontal="center"/>
    </xf>
    <xf numFmtId="0" fontId="0" fillId="0" borderId="54" xfId="0" applyBorder="1" applyAlignment="1">
      <alignment horizontal="center"/>
    </xf>
    <xf numFmtId="0" fontId="0" fillId="0" borderId="55" xfId="0" applyBorder="1" applyAlignment="1">
      <alignment horizontal="center"/>
    </xf>
    <xf numFmtId="0" fontId="0" fillId="0" borderId="35" xfId="0" applyBorder="1" applyAlignment="1">
      <alignment horizontal="center"/>
    </xf>
    <xf numFmtId="0" fontId="0" fillId="0" borderId="23" xfId="0" applyBorder="1" applyAlignment="1">
      <alignment horizontal="left" vertical="distributed"/>
    </xf>
    <xf numFmtId="0" fontId="0" fillId="0" borderId="25" xfId="0" applyBorder="1" applyAlignment="1">
      <alignment horizontal="left" vertical="distributed"/>
    </xf>
    <xf numFmtId="0" fontId="4" fillId="0" borderId="57" xfId="1" applyBorder="1" applyAlignment="1">
      <alignment horizontal="center"/>
    </xf>
    <xf numFmtId="0" fontId="4" fillId="0" borderId="58" xfId="1" applyBorder="1" applyAlignment="1">
      <alignment horizontal="center"/>
    </xf>
    <xf numFmtId="0" fontId="4" fillId="0" borderId="59" xfId="1" applyBorder="1" applyAlignment="1">
      <alignment horizontal="center"/>
    </xf>
    <xf numFmtId="0" fontId="13" fillId="14" borderId="18" xfId="0" applyFont="1" applyFill="1" applyBorder="1" applyAlignment="1">
      <alignment horizontal="center"/>
    </xf>
    <xf numFmtId="0" fontId="13" fillId="14" borderId="20" xfId="0" applyFont="1" applyFill="1" applyBorder="1" applyAlignment="1">
      <alignment horizontal="center"/>
    </xf>
    <xf numFmtId="0" fontId="13" fillId="14" borderId="29" xfId="0" applyFont="1" applyFill="1" applyBorder="1" applyAlignment="1">
      <alignment horizontal="center"/>
    </xf>
    <xf numFmtId="0" fontId="13" fillId="14" borderId="30" xfId="0" applyFont="1" applyFill="1" applyBorder="1" applyAlignment="1">
      <alignment horizontal="center"/>
    </xf>
    <xf numFmtId="0" fontId="0" fillId="13" borderId="21" xfId="0" applyFill="1" applyBorder="1" applyAlignment="1">
      <alignment horizontal="left" vertical="top" wrapText="1"/>
    </xf>
    <xf numFmtId="0" fontId="0" fillId="13" borderId="0" xfId="0" applyFill="1" applyBorder="1" applyAlignment="1">
      <alignment horizontal="left" vertical="top" wrapText="1"/>
    </xf>
    <xf numFmtId="0" fontId="0" fillId="13" borderId="19" xfId="0" applyFill="1" applyBorder="1" applyAlignment="1">
      <alignment horizontal="left" vertical="top" wrapText="1"/>
    </xf>
    <xf numFmtId="0" fontId="0" fillId="13" borderId="20" xfId="0" applyFill="1" applyBorder="1" applyAlignment="1">
      <alignment horizontal="left" vertical="top" wrapText="1"/>
    </xf>
    <xf numFmtId="0" fontId="0" fillId="13" borderId="22" xfId="0" applyFill="1" applyBorder="1" applyAlignment="1">
      <alignment horizontal="left" vertical="top" wrapText="1"/>
    </xf>
    <xf numFmtId="0" fontId="0" fillId="13" borderId="23" xfId="0" applyFill="1" applyBorder="1" applyAlignment="1">
      <alignment horizontal="left" vertical="top" wrapText="1"/>
    </xf>
    <xf numFmtId="0" fontId="0" fillId="13" borderId="24" xfId="0" applyFill="1" applyBorder="1" applyAlignment="1">
      <alignment horizontal="left" vertical="top" wrapText="1"/>
    </xf>
    <xf numFmtId="0" fontId="0" fillId="13" borderId="25" xfId="0" applyFill="1" applyBorder="1" applyAlignment="1">
      <alignment horizontal="left" vertical="top" wrapText="1"/>
    </xf>
    <xf numFmtId="0" fontId="9" fillId="0" borderId="18" xfId="0" applyFont="1" applyBorder="1" applyAlignment="1">
      <alignment horizontal="center"/>
    </xf>
    <xf numFmtId="0" fontId="9" fillId="0" borderId="19" xfId="0" applyFont="1" applyBorder="1" applyAlignment="1">
      <alignment horizontal="center"/>
    </xf>
    <xf numFmtId="0" fontId="9" fillId="0" borderId="20" xfId="0" applyFont="1" applyBorder="1" applyAlignment="1">
      <alignment horizontal="center"/>
    </xf>
    <xf numFmtId="0" fontId="9" fillId="0" borderId="29" xfId="0" applyFont="1" applyBorder="1" applyAlignment="1">
      <alignment horizontal="center"/>
    </xf>
    <xf numFmtId="0" fontId="9" fillId="0" borderId="9" xfId="0" applyFont="1" applyBorder="1" applyAlignment="1">
      <alignment horizontal="center"/>
    </xf>
    <xf numFmtId="0" fontId="9" fillId="0" borderId="30" xfId="0" applyFont="1" applyBorder="1" applyAlignment="1">
      <alignment horizontal="center"/>
    </xf>
    <xf numFmtId="0" fontId="1" fillId="4" borderId="39" xfId="0" applyFont="1" applyFill="1" applyBorder="1" applyAlignment="1"/>
    <xf numFmtId="0" fontId="1" fillId="4" borderId="69" xfId="0" applyFont="1" applyFill="1" applyBorder="1" applyAlignment="1"/>
    <xf numFmtId="0" fontId="1" fillId="0" borderId="39" xfId="0" applyFont="1" applyBorder="1" applyAlignment="1"/>
    <xf numFmtId="0" fontId="1" fillId="0" borderId="69" xfId="0" applyFont="1" applyBorder="1" applyAlignment="1"/>
    <xf numFmtId="0" fontId="1" fillId="0" borderId="31" xfId="0" applyFont="1" applyBorder="1" applyAlignment="1"/>
    <xf numFmtId="0" fontId="1" fillId="0" borderId="35" xfId="0" applyFont="1" applyBorder="1" applyAlignment="1"/>
    <xf numFmtId="0" fontId="12" fillId="16" borderId="21" xfId="0" applyFont="1" applyFill="1" applyBorder="1" applyAlignment="1">
      <alignment horizontal="center"/>
    </xf>
    <xf numFmtId="0" fontId="12" fillId="16" borderId="0" xfId="0" applyFont="1" applyFill="1" applyBorder="1" applyAlignment="1">
      <alignment horizontal="center"/>
    </xf>
    <xf numFmtId="0" fontId="12" fillId="16" borderId="23" xfId="0" applyFont="1" applyFill="1" applyBorder="1" applyAlignment="1">
      <alignment horizontal="center"/>
    </xf>
    <xf numFmtId="0" fontId="12" fillId="16" borderId="24" xfId="0" applyFont="1" applyFill="1" applyBorder="1" applyAlignment="1">
      <alignment horizontal="center"/>
    </xf>
    <xf numFmtId="0" fontId="1" fillId="14" borderId="26" xfId="0" applyFont="1" applyFill="1" applyBorder="1" applyAlignment="1">
      <alignment horizontal="center"/>
    </xf>
    <xf numFmtId="0" fontId="1" fillId="14" borderId="27" xfId="0" applyFont="1" applyFill="1" applyBorder="1" applyAlignment="1">
      <alignment horizontal="center"/>
    </xf>
    <xf numFmtId="0" fontId="0" fillId="0" borderId="41" xfId="0" applyFont="1" applyBorder="1" applyAlignment="1">
      <alignment horizontal="left" vertical="distributed"/>
    </xf>
    <xf numFmtId="0" fontId="0" fillId="0" borderId="24" xfId="0" applyFont="1" applyBorder="1" applyAlignment="1">
      <alignment horizontal="left" vertical="distributed"/>
    </xf>
    <xf numFmtId="0" fontId="0" fillId="0" borderId="25" xfId="0" applyFont="1" applyBorder="1" applyAlignment="1">
      <alignment horizontal="left" vertical="distributed"/>
    </xf>
    <xf numFmtId="0" fontId="0" fillId="0" borderId="1" xfId="0" applyFont="1" applyBorder="1" applyAlignment="1">
      <alignment horizontal="left" vertical="distributed"/>
    </xf>
    <xf numFmtId="0" fontId="0" fillId="0" borderId="45" xfId="0" applyFont="1" applyBorder="1" applyAlignment="1">
      <alignment horizontal="left" vertical="distributed"/>
    </xf>
    <xf numFmtId="0" fontId="0" fillId="0" borderId="44" xfId="0" applyFont="1" applyBorder="1" applyAlignment="1">
      <alignment horizontal="left" vertical="distributed"/>
    </xf>
    <xf numFmtId="0" fontId="13" fillId="14" borderId="71" xfId="0" applyFont="1" applyFill="1" applyBorder="1" applyAlignment="1">
      <alignment horizontal="center" vertical="center"/>
    </xf>
    <xf numFmtId="0" fontId="13" fillId="14" borderId="72" xfId="0" applyFont="1" applyFill="1" applyBorder="1" applyAlignment="1">
      <alignment horizontal="center" vertical="center"/>
    </xf>
    <xf numFmtId="0" fontId="13" fillId="14" borderId="74" xfId="0" applyFont="1" applyFill="1" applyBorder="1" applyAlignment="1">
      <alignment horizontal="center" vertical="center"/>
    </xf>
    <xf numFmtId="0" fontId="13" fillId="14" borderId="75" xfId="0" applyFont="1" applyFill="1" applyBorder="1" applyAlignment="1">
      <alignment horizontal="center" vertical="center"/>
    </xf>
    <xf numFmtId="0" fontId="2" fillId="2" borderId="18" xfId="0" applyFont="1" applyFill="1" applyBorder="1" applyAlignment="1">
      <alignment horizontal="center"/>
    </xf>
    <xf numFmtId="0" fontId="2" fillId="2" borderId="19" xfId="0" applyFont="1" applyFill="1" applyBorder="1" applyAlignment="1">
      <alignment horizontal="center"/>
    </xf>
    <xf numFmtId="0" fontId="2" fillId="2" borderId="20" xfId="0" applyFont="1" applyFill="1" applyBorder="1" applyAlignment="1">
      <alignment horizontal="center"/>
    </xf>
    <xf numFmtId="0" fontId="2" fillId="2" borderId="23" xfId="0" applyFont="1" applyFill="1" applyBorder="1" applyAlignment="1">
      <alignment horizontal="center"/>
    </xf>
    <xf numFmtId="0" fontId="2" fillId="2" borderId="0" xfId="0" applyFont="1" applyFill="1" applyBorder="1" applyAlignment="1">
      <alignment horizontal="center"/>
    </xf>
    <xf numFmtId="0" fontId="2" fillId="2" borderId="25" xfId="0" applyFont="1" applyFill="1" applyBorder="1" applyAlignment="1">
      <alignment horizontal="center"/>
    </xf>
    <xf numFmtId="0" fontId="2" fillId="7" borderId="18" xfId="0" applyFont="1" applyFill="1" applyBorder="1" applyAlignment="1">
      <alignment horizontal="center"/>
    </xf>
    <xf numFmtId="0" fontId="2" fillId="7" borderId="19" xfId="0" applyFont="1" applyFill="1" applyBorder="1" applyAlignment="1">
      <alignment horizontal="center"/>
    </xf>
    <xf numFmtId="0" fontId="2" fillId="7" borderId="20" xfId="0" applyFont="1" applyFill="1" applyBorder="1" applyAlignment="1">
      <alignment horizontal="center"/>
    </xf>
    <xf numFmtId="0" fontId="2" fillId="7" borderId="23" xfId="0" applyFont="1" applyFill="1" applyBorder="1" applyAlignment="1">
      <alignment horizontal="center"/>
    </xf>
    <xf numFmtId="0" fontId="2" fillId="7" borderId="0" xfId="0" applyFont="1" applyFill="1" applyBorder="1" applyAlignment="1">
      <alignment horizontal="center"/>
    </xf>
    <xf numFmtId="0" fontId="2" fillId="7" borderId="25" xfId="0" applyFont="1" applyFill="1" applyBorder="1" applyAlignment="1">
      <alignment horizontal="center"/>
    </xf>
    <xf numFmtId="0" fontId="2" fillId="9" borderId="18" xfId="0" applyFont="1" applyFill="1" applyBorder="1" applyAlignment="1">
      <alignment horizontal="center"/>
    </xf>
    <xf numFmtId="0" fontId="2" fillId="9" borderId="19" xfId="0" applyFont="1" applyFill="1" applyBorder="1" applyAlignment="1">
      <alignment horizontal="center"/>
    </xf>
    <xf numFmtId="0" fontId="2" fillId="9" borderId="20" xfId="0" applyFont="1" applyFill="1" applyBorder="1" applyAlignment="1">
      <alignment horizontal="center"/>
    </xf>
    <xf numFmtId="0" fontId="2" fillId="9" borderId="23" xfId="0" applyFont="1" applyFill="1" applyBorder="1" applyAlignment="1">
      <alignment horizontal="center"/>
    </xf>
    <xf numFmtId="0" fontId="2" fillId="9" borderId="0" xfId="0" applyFont="1" applyFill="1" applyBorder="1" applyAlignment="1">
      <alignment horizontal="center"/>
    </xf>
    <xf numFmtId="0" fontId="2" fillId="9" borderId="25" xfId="0" applyFont="1" applyFill="1" applyBorder="1" applyAlignment="1">
      <alignment horizontal="center"/>
    </xf>
    <xf numFmtId="0" fontId="18" fillId="13" borderId="70" xfId="0" applyFont="1" applyFill="1" applyBorder="1" applyAlignment="1">
      <alignment horizontal="center" vertical="center"/>
    </xf>
    <xf numFmtId="0" fontId="18" fillId="13" borderId="71" xfId="0" applyFont="1" applyFill="1" applyBorder="1" applyAlignment="1">
      <alignment horizontal="center" vertical="center"/>
    </xf>
    <xf numFmtId="0" fontId="18" fillId="13" borderId="73" xfId="0" applyFont="1" applyFill="1" applyBorder="1" applyAlignment="1">
      <alignment horizontal="center" vertical="center"/>
    </xf>
    <xf numFmtId="0" fontId="18" fillId="13" borderId="74" xfId="0" applyFont="1" applyFill="1" applyBorder="1" applyAlignment="1">
      <alignment horizontal="center" vertical="center"/>
    </xf>
    <xf numFmtId="0" fontId="23" fillId="0" borderId="0" xfId="0" applyFont="1" applyFill="1" applyBorder="1"/>
    <xf numFmtId="0" fontId="23" fillId="0" borderId="0" xfId="0" applyFont="1" applyFill="1" applyBorder="1" applyAlignment="1">
      <alignment vertical="top" wrapText="1"/>
    </xf>
    <xf numFmtId="0" fontId="0" fillId="0" borderId="0" xfId="0" applyFill="1"/>
    <xf numFmtId="0" fontId="20" fillId="0" borderId="0" xfId="0" applyFont="1" applyFill="1" applyBorder="1" applyAlignment="1">
      <alignment vertical="center"/>
    </xf>
    <xf numFmtId="0" fontId="21" fillId="0" borderId="19" xfId="0" applyFont="1" applyFill="1" applyBorder="1" applyAlignment="1">
      <alignment vertical="center" wrapText="1"/>
    </xf>
    <xf numFmtId="0" fontId="21" fillId="0" borderId="0" xfId="0" applyFont="1" applyFill="1" applyBorder="1" applyAlignment="1">
      <alignment vertical="center" wrapText="1"/>
    </xf>
    <xf numFmtId="0" fontId="23" fillId="2" borderId="62" xfId="0" applyFont="1" applyFill="1" applyBorder="1"/>
    <xf numFmtId="0" fontId="23" fillId="2" borderId="63" xfId="0" applyFont="1" applyFill="1" applyBorder="1"/>
    <xf numFmtId="0" fontId="22" fillId="2" borderId="18" xfId="0" applyFont="1" applyFill="1" applyBorder="1" applyAlignment="1">
      <alignment horizontal="left"/>
    </xf>
    <xf numFmtId="0" fontId="23" fillId="2" borderId="68" xfId="0" applyFont="1" applyFill="1" applyBorder="1"/>
    <xf numFmtId="0" fontId="22" fillId="2" borderId="77" xfId="0" applyFont="1" applyFill="1" applyBorder="1" applyAlignment="1">
      <alignment horizontal="left"/>
    </xf>
    <xf numFmtId="0" fontId="23" fillId="7" borderId="62" xfId="0" applyFont="1" applyFill="1" applyBorder="1"/>
    <xf numFmtId="0" fontId="23" fillId="7" borderId="63" xfId="0" applyFont="1" applyFill="1" applyBorder="1"/>
    <xf numFmtId="0" fontId="22" fillId="7" borderId="77" xfId="0" applyFont="1" applyFill="1" applyBorder="1" applyAlignment="1">
      <alignment horizontal="left"/>
    </xf>
    <xf numFmtId="0" fontId="23" fillId="9" borderId="62" xfId="0" applyFont="1" applyFill="1" applyBorder="1"/>
    <xf numFmtId="0" fontId="23" fillId="9" borderId="63" xfId="0" applyFont="1" applyFill="1" applyBorder="1"/>
    <xf numFmtId="0" fontId="22" fillId="9" borderId="76" xfId="0" applyFont="1" applyFill="1" applyBorder="1" applyAlignment="1">
      <alignment horizontal="left"/>
    </xf>
    <xf numFmtId="0" fontId="22" fillId="9" borderId="18" xfId="0" applyFont="1" applyFill="1" applyBorder="1" applyAlignment="1">
      <alignment horizontal="left"/>
    </xf>
    <xf numFmtId="0" fontId="23" fillId="9" borderId="68" xfId="0" applyFont="1" applyFill="1" applyBorder="1"/>
    <xf numFmtId="0" fontId="22" fillId="7" borderId="18" xfId="0" applyFont="1" applyFill="1" applyBorder="1" applyAlignment="1">
      <alignment horizontal="left"/>
    </xf>
    <xf numFmtId="0" fontId="23" fillId="7" borderId="68" xfId="0" applyFont="1" applyFill="1" applyBorder="1"/>
    <xf numFmtId="0" fontId="0" fillId="0" borderId="0" xfId="0" applyAlignment="1">
      <alignment vertical="top" wrapText="1"/>
    </xf>
    <xf numFmtId="0" fontId="0" fillId="0" borderId="19" xfId="0" applyBorder="1" applyAlignment="1">
      <alignment horizontal="left" vertical="top" wrapText="1"/>
    </xf>
    <xf numFmtId="0" fontId="0" fillId="0" borderId="20" xfId="0" applyBorder="1" applyAlignment="1">
      <alignment horizontal="left" vertical="top" wrapText="1"/>
    </xf>
    <xf numFmtId="0" fontId="0" fillId="0" borderId="78" xfId="0" applyBorder="1" applyAlignment="1">
      <alignment horizontal="left" vertical="top" wrapText="1"/>
    </xf>
    <xf numFmtId="0" fontId="0" fillId="0" borderId="79" xfId="0" applyBorder="1" applyAlignment="1">
      <alignment horizontal="left" vertical="top" wrapText="1"/>
    </xf>
    <xf numFmtId="0" fontId="0" fillId="0" borderId="45" xfId="0" applyBorder="1" applyAlignment="1">
      <alignment horizontal="left" vertical="top" wrapText="1"/>
    </xf>
    <xf numFmtId="0" fontId="25" fillId="17" borderId="18" xfId="0" applyFont="1" applyFill="1" applyBorder="1" applyAlignment="1">
      <alignment horizontal="center" vertical="center"/>
    </xf>
    <xf numFmtId="0" fontId="25" fillId="17" borderId="19" xfId="0" applyFont="1" applyFill="1" applyBorder="1" applyAlignment="1">
      <alignment horizontal="center" vertical="center"/>
    </xf>
    <xf numFmtId="0" fontId="25" fillId="17" borderId="21" xfId="0" applyFont="1" applyFill="1" applyBorder="1" applyAlignment="1">
      <alignment horizontal="center" vertical="center"/>
    </xf>
    <xf numFmtId="0" fontId="25" fillId="17" borderId="0" xfId="0" applyFont="1" applyFill="1" applyBorder="1" applyAlignment="1">
      <alignment horizontal="center" vertical="center"/>
    </xf>
    <xf numFmtId="0" fontId="25" fillId="17" borderId="23" xfId="0" applyFont="1" applyFill="1" applyBorder="1" applyAlignment="1">
      <alignment horizontal="center" vertical="center"/>
    </xf>
    <xf numFmtId="0" fontId="25" fillId="17" borderId="24" xfId="0" applyFont="1" applyFill="1" applyBorder="1" applyAlignment="1">
      <alignment horizontal="center" vertical="center"/>
    </xf>
    <xf numFmtId="0" fontId="24" fillId="14" borderId="18" xfId="0" applyFont="1" applyFill="1" applyBorder="1" applyAlignment="1">
      <alignment horizontal="center"/>
    </xf>
    <xf numFmtId="0" fontId="24" fillId="14" borderId="20" xfId="0" applyFont="1" applyFill="1" applyBorder="1" applyAlignment="1">
      <alignment horizontal="center"/>
    </xf>
    <xf numFmtId="0" fontId="24" fillId="14" borderId="29" xfId="0" applyFont="1" applyFill="1" applyBorder="1" applyAlignment="1">
      <alignment horizontal="center"/>
    </xf>
    <xf numFmtId="0" fontId="24" fillId="14" borderId="30" xfId="0" applyFont="1" applyFill="1" applyBorder="1" applyAlignment="1">
      <alignment horizontal="center"/>
    </xf>
  </cellXfs>
  <cellStyles count="4">
    <cellStyle name="Heading 2" xfId="1" builtinId="17"/>
    <cellStyle name="Heading 3" xfId="2" builtinId="18"/>
    <cellStyle name="Hyperlink" xfId="3" builtinId="8"/>
    <cellStyle name="Normal"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fmlaLink="B5" noThreeD="1"/>
</file>

<file path=xl/ctrlProps/ctrlProp2.xml><?xml version="1.0" encoding="utf-8"?>
<formControlPr xmlns="http://schemas.microsoft.com/office/spreadsheetml/2009/9/main" objectType="CheckBox" fmlaLink="B6" noThreeD="1"/>
</file>

<file path=xl/ctrlProps/ctrlProp3.xml><?xml version="1.0" encoding="utf-8"?>
<formControlPr xmlns="http://schemas.microsoft.com/office/spreadsheetml/2009/9/main" objectType="CheckBox" fmlaLink="B7" noThreeD="1"/>
</file>

<file path=xl/ctrlProps/ctrlProp4.xml><?xml version="1.0" encoding="utf-8"?>
<formControlPr xmlns="http://schemas.microsoft.com/office/spreadsheetml/2009/9/main" objectType="CheckBox" fmlaLink="B8" noThreeD="1"/>
</file>

<file path=xl/ctrlProps/ctrlProp5.xml><?xml version="1.0" encoding="utf-8"?>
<formControlPr xmlns="http://schemas.microsoft.com/office/spreadsheetml/2009/9/main" objectType="CheckBox" fmlaLink="B9" noThreeD="1"/>
</file>

<file path=xl/ctrlProps/ctrlProp6.xml><?xml version="1.0" encoding="utf-8"?>
<formControlPr xmlns="http://schemas.microsoft.com/office/spreadsheetml/2009/9/main" objectType="CheckBox" fmlaLink="B10" noThreeD="1"/>
</file>

<file path=xl/ctrlProps/ctrlProp7.xml><?xml version="1.0" encoding="utf-8"?>
<formControlPr xmlns="http://schemas.microsoft.com/office/spreadsheetml/2009/9/main" objectType="CheckBox" fmlaLink="B11" noThreeD="1"/>
</file>

<file path=xl/ctrlProps/ctrlProp8.xml><?xml version="1.0" encoding="utf-8"?>
<formControlPr xmlns="http://schemas.microsoft.com/office/spreadsheetml/2009/9/main" objectType="CheckBox" fmlaLink="B12" noThreeD="1"/>
</file>

<file path=xl/ctrlProps/ctrlProp9.xml><?xml version="1.0" encoding="utf-8"?>
<formControlPr xmlns="http://schemas.microsoft.com/office/spreadsheetml/2009/9/main" objectType="CheckBox" fmlaLink="B13" noThreeD="1"/>
</file>

<file path=xl/ctrlProps/ctrlProp10.xml><?xml version="1.0" encoding="utf-8"?>
<formControlPr xmlns="http://schemas.microsoft.com/office/spreadsheetml/2009/9/main" objectType="CheckBox" fmlaLink="B14" noThreeD="1"/>
</file>

<file path=xl/ctrlProps/ctrlProp11.xml><?xml version="1.0" encoding="utf-8"?>
<formControlPr xmlns="http://schemas.microsoft.com/office/spreadsheetml/2009/9/main" objectType="CheckBox" fmlaLink="B15" noThreeD="1"/>
</file>

<file path=xl/ctrlProps/ctrlProp12.xml><?xml version="1.0" encoding="utf-8"?>
<formControlPr xmlns="http://schemas.microsoft.com/office/spreadsheetml/2009/9/main" objectType="CheckBox" fmlaLink="B16" noThreeD="1"/>
</file>

<file path=xl/ctrlProps/ctrlProp13.xml><?xml version="1.0" encoding="utf-8"?>
<formControlPr xmlns="http://schemas.microsoft.com/office/spreadsheetml/2009/9/main" objectType="CheckBox" fmlaLink="B17" noThreeD="1"/>
</file>

<file path=xl/ctrlProps/ctrlProp14.xml><?xml version="1.0" encoding="utf-8"?>
<formControlPr xmlns="http://schemas.microsoft.com/office/spreadsheetml/2009/9/main" objectType="CheckBox" fmlaLink="B5" noThreeD="1"/>
</file>

<file path=xl/ctrlProps/ctrlProp15.xml><?xml version="1.0" encoding="utf-8"?>
<formControlPr xmlns="http://schemas.microsoft.com/office/spreadsheetml/2009/9/main" objectType="CheckBox" fmlaLink="B6" noThreeD="1"/>
</file>

<file path=xl/ctrlProps/ctrlProp16.xml><?xml version="1.0" encoding="utf-8"?>
<formControlPr xmlns="http://schemas.microsoft.com/office/spreadsheetml/2009/9/main" objectType="CheckBox" fmlaLink="B7" noThreeD="1"/>
</file>

<file path=xl/ctrlProps/ctrlProp17.xml><?xml version="1.0" encoding="utf-8"?>
<formControlPr xmlns="http://schemas.microsoft.com/office/spreadsheetml/2009/9/main" objectType="CheckBox" checked="Checked" fmlaLink="B8" noThreeD="1"/>
</file>

<file path=xl/ctrlProps/ctrlProp18.xml><?xml version="1.0" encoding="utf-8"?>
<formControlPr xmlns="http://schemas.microsoft.com/office/spreadsheetml/2009/9/main" objectType="CheckBox" checked="Checked" fmlaLink="B9" noThreeD="1"/>
</file>

<file path=xl/ctrlProps/ctrlProp19.xml><?xml version="1.0" encoding="utf-8"?>
<formControlPr xmlns="http://schemas.microsoft.com/office/spreadsheetml/2009/9/main" objectType="CheckBox" fmlaLink="B10" noThreeD="1"/>
</file>

<file path=xl/ctrlProps/ctrlProp20.xml><?xml version="1.0" encoding="utf-8"?>
<formControlPr xmlns="http://schemas.microsoft.com/office/spreadsheetml/2009/9/main" objectType="CheckBox" fmlaLink="B11" noThreeD="1"/>
</file>

<file path=xl/ctrlProps/ctrlProp21.xml><?xml version="1.0" encoding="utf-8"?>
<formControlPr xmlns="http://schemas.microsoft.com/office/spreadsheetml/2009/9/main" objectType="CheckBox" fmlaLink="B12" noThreeD="1"/>
</file>

<file path=xl/ctrlProps/ctrlProp22.xml><?xml version="1.0" encoding="utf-8"?>
<formControlPr xmlns="http://schemas.microsoft.com/office/spreadsheetml/2009/9/main" objectType="CheckBox" fmlaLink="B13" noThreeD="1"/>
</file>

<file path=xl/ctrlProps/ctrlProp23.xml><?xml version="1.0" encoding="utf-8"?>
<formControlPr xmlns="http://schemas.microsoft.com/office/spreadsheetml/2009/9/main" objectType="CheckBox" fmlaLink="B14" noThreeD="1"/>
</file>

<file path=xl/ctrlProps/ctrlProp24.xml><?xml version="1.0" encoding="utf-8"?>
<formControlPr xmlns="http://schemas.microsoft.com/office/spreadsheetml/2009/9/main" objectType="CheckBox" fmlaLink="B15" noThreeD="1"/>
</file>

<file path=xl/ctrlProps/ctrlProp25.xml><?xml version="1.0" encoding="utf-8"?>
<formControlPr xmlns="http://schemas.microsoft.com/office/spreadsheetml/2009/9/main" objectType="CheckBox" fmlaLink="B16" noThreeD="1"/>
</file>

<file path=xl/ctrlProps/ctrlProp26.xml><?xml version="1.0" encoding="utf-8"?>
<formControlPr xmlns="http://schemas.microsoft.com/office/spreadsheetml/2009/9/main" objectType="CheckBox" fmlaLink="B17" noThreeD="1"/>
</file>

<file path=xl/ctrlProps/ctrlProp27.xml><?xml version="1.0" encoding="utf-8"?>
<formControlPr xmlns="http://schemas.microsoft.com/office/spreadsheetml/2009/9/main" objectType="CheckBox" fmlaLink="B5" noThreeD="1"/>
</file>

<file path=xl/ctrlProps/ctrlProp28.xml><?xml version="1.0" encoding="utf-8"?>
<formControlPr xmlns="http://schemas.microsoft.com/office/spreadsheetml/2009/9/main" objectType="CheckBox" fmlaLink="B6" noThreeD="1"/>
</file>

<file path=xl/ctrlProps/ctrlProp29.xml><?xml version="1.0" encoding="utf-8"?>
<formControlPr xmlns="http://schemas.microsoft.com/office/spreadsheetml/2009/9/main" objectType="CheckBox" checked="Checked" fmlaLink="B7" noThreeD="1"/>
</file>

<file path=xl/ctrlProps/ctrlProp30.xml><?xml version="1.0" encoding="utf-8"?>
<formControlPr xmlns="http://schemas.microsoft.com/office/spreadsheetml/2009/9/main" objectType="CheckBox" fmlaLink="B8" noThreeD="1"/>
</file>

<file path=xl/ctrlProps/ctrlProp31.xml><?xml version="1.0" encoding="utf-8"?>
<formControlPr xmlns="http://schemas.microsoft.com/office/spreadsheetml/2009/9/main" objectType="CheckBox" fmlaLink="B9" noThreeD="1"/>
</file>

<file path=xl/ctrlProps/ctrlProp32.xml><?xml version="1.0" encoding="utf-8"?>
<formControlPr xmlns="http://schemas.microsoft.com/office/spreadsheetml/2009/9/main" objectType="CheckBox" fmlaLink="B10" noThreeD="1"/>
</file>

<file path=xl/ctrlProps/ctrlProp33.xml><?xml version="1.0" encoding="utf-8"?>
<formControlPr xmlns="http://schemas.microsoft.com/office/spreadsheetml/2009/9/main" objectType="CheckBox" fmlaLink="B11" noThreeD="1"/>
</file>

<file path=xl/ctrlProps/ctrlProp34.xml><?xml version="1.0" encoding="utf-8"?>
<formControlPr xmlns="http://schemas.microsoft.com/office/spreadsheetml/2009/9/main" objectType="CheckBox" fmlaLink="B12" noThreeD="1"/>
</file>

<file path=xl/ctrlProps/ctrlProp35.xml><?xml version="1.0" encoding="utf-8"?>
<formControlPr xmlns="http://schemas.microsoft.com/office/spreadsheetml/2009/9/main" objectType="CheckBox" fmlaLink="B13" noThreeD="1"/>
</file>

<file path=xl/ctrlProps/ctrlProp36.xml><?xml version="1.0" encoding="utf-8"?>
<formControlPr xmlns="http://schemas.microsoft.com/office/spreadsheetml/2009/9/main" objectType="CheckBox" fmlaLink="B14" noThreeD="1"/>
</file>

<file path=xl/ctrlProps/ctrlProp37.xml><?xml version="1.0" encoding="utf-8"?>
<formControlPr xmlns="http://schemas.microsoft.com/office/spreadsheetml/2009/9/main" objectType="CheckBox" checked="Checked" fmlaLink="B15" noThreeD="1"/>
</file>

<file path=xl/ctrlProps/ctrlProp38.xml><?xml version="1.0" encoding="utf-8"?>
<formControlPr xmlns="http://schemas.microsoft.com/office/spreadsheetml/2009/9/main" objectType="CheckBox" fmlaLink="B16" noThreeD="1"/>
</file>

<file path=xl/ctrlProps/ctrlProp39.xml><?xml version="1.0" encoding="utf-8"?>
<formControlPr xmlns="http://schemas.microsoft.com/office/spreadsheetml/2009/9/main" objectType="CheckBox" fmlaLink="B17" noThreeD="1"/>
</file>

<file path=xl/ctrlProps/ctrlProp40.xml><?xml version="1.0" encoding="utf-8"?>
<formControlPr xmlns="http://schemas.microsoft.com/office/spreadsheetml/2009/9/main" objectType="CheckBox" checked="Checked" fmlaLink="B5" noThreeD="1"/>
</file>

<file path=xl/ctrlProps/ctrlProp41.xml><?xml version="1.0" encoding="utf-8"?>
<formControlPr xmlns="http://schemas.microsoft.com/office/spreadsheetml/2009/9/main" objectType="CheckBox" fmlaLink="B6" noThreeD="1"/>
</file>

<file path=xl/ctrlProps/ctrlProp42.xml><?xml version="1.0" encoding="utf-8"?>
<formControlPr xmlns="http://schemas.microsoft.com/office/spreadsheetml/2009/9/main" objectType="CheckBox" fmlaLink="B7" noThreeD="1"/>
</file>

<file path=xl/ctrlProps/ctrlProp43.xml><?xml version="1.0" encoding="utf-8"?>
<formControlPr xmlns="http://schemas.microsoft.com/office/spreadsheetml/2009/9/main" objectType="CheckBox" fmlaLink="B8" noThreeD="1"/>
</file>

<file path=xl/ctrlProps/ctrlProp44.xml><?xml version="1.0" encoding="utf-8"?>
<formControlPr xmlns="http://schemas.microsoft.com/office/spreadsheetml/2009/9/main" objectType="CheckBox" fmlaLink="B9" noThreeD="1"/>
</file>

<file path=xl/ctrlProps/ctrlProp45.xml><?xml version="1.0" encoding="utf-8"?>
<formControlPr xmlns="http://schemas.microsoft.com/office/spreadsheetml/2009/9/main" objectType="CheckBox" fmlaLink="B10" noThreeD="1"/>
</file>

<file path=xl/ctrlProps/ctrlProp46.xml><?xml version="1.0" encoding="utf-8"?>
<formControlPr xmlns="http://schemas.microsoft.com/office/spreadsheetml/2009/9/main" objectType="CheckBox" checked="Checked" fmlaLink="B11" noThreeD="1"/>
</file>

<file path=xl/ctrlProps/ctrlProp47.xml><?xml version="1.0" encoding="utf-8"?>
<formControlPr xmlns="http://schemas.microsoft.com/office/spreadsheetml/2009/9/main" objectType="CheckBox" fmlaLink="B12" noThreeD="1"/>
</file>

<file path=xl/ctrlProps/ctrlProp48.xml><?xml version="1.0" encoding="utf-8"?>
<formControlPr xmlns="http://schemas.microsoft.com/office/spreadsheetml/2009/9/main" objectType="CheckBox" fmlaLink="B13" noThreeD="1"/>
</file>

<file path=xl/ctrlProps/ctrlProp49.xml><?xml version="1.0" encoding="utf-8"?>
<formControlPr xmlns="http://schemas.microsoft.com/office/spreadsheetml/2009/9/main" objectType="CheckBox" fmlaLink="B14" noThreeD="1"/>
</file>

<file path=xl/ctrlProps/ctrlProp50.xml><?xml version="1.0" encoding="utf-8"?>
<formControlPr xmlns="http://schemas.microsoft.com/office/spreadsheetml/2009/9/main" objectType="CheckBox" fmlaLink="B15" noThreeD="1"/>
</file>

<file path=xl/ctrlProps/ctrlProp51.xml><?xml version="1.0" encoding="utf-8"?>
<formControlPr xmlns="http://schemas.microsoft.com/office/spreadsheetml/2009/9/main" objectType="CheckBox" fmlaLink="B16" noThreeD="1"/>
</file>

<file path=xl/ctrlProps/ctrlProp52.xml><?xml version="1.0" encoding="utf-8"?>
<formControlPr xmlns="http://schemas.microsoft.com/office/spreadsheetml/2009/9/main" objectType="CheckBox" fmlaLink="B17" noThreeD="1"/>
</file>

<file path=xl/ctrlProps/ctrlProp53.xml><?xml version="1.0" encoding="utf-8"?>
<formControlPr xmlns="http://schemas.microsoft.com/office/spreadsheetml/2009/9/main" objectType="CheckBox" checked="Checked" fmlaLink="B5" noThreeD="1"/>
</file>

<file path=xl/ctrlProps/ctrlProp54.xml><?xml version="1.0" encoding="utf-8"?>
<formControlPr xmlns="http://schemas.microsoft.com/office/spreadsheetml/2009/9/main" objectType="CheckBox" fmlaLink="B6" noThreeD="1"/>
</file>

<file path=xl/ctrlProps/ctrlProp55.xml><?xml version="1.0" encoding="utf-8"?>
<formControlPr xmlns="http://schemas.microsoft.com/office/spreadsheetml/2009/9/main" objectType="CheckBox" fmlaLink="B7" noThreeD="1"/>
</file>

<file path=xl/ctrlProps/ctrlProp56.xml><?xml version="1.0" encoding="utf-8"?>
<formControlPr xmlns="http://schemas.microsoft.com/office/spreadsheetml/2009/9/main" objectType="CheckBox" fmlaLink="B8" noThreeD="1"/>
</file>

<file path=xl/ctrlProps/ctrlProp57.xml><?xml version="1.0" encoding="utf-8"?>
<formControlPr xmlns="http://schemas.microsoft.com/office/spreadsheetml/2009/9/main" objectType="CheckBox" fmlaLink="B9" noThreeD="1"/>
</file>

<file path=xl/ctrlProps/ctrlProp58.xml><?xml version="1.0" encoding="utf-8"?>
<formControlPr xmlns="http://schemas.microsoft.com/office/spreadsheetml/2009/9/main" objectType="CheckBox" fmlaLink="B10" noThreeD="1"/>
</file>

<file path=xl/ctrlProps/ctrlProp59.xml><?xml version="1.0" encoding="utf-8"?>
<formControlPr xmlns="http://schemas.microsoft.com/office/spreadsheetml/2009/9/main" objectType="CheckBox" fmlaLink="B11" noThreeD="1"/>
</file>

<file path=xl/ctrlProps/ctrlProp60.xml><?xml version="1.0" encoding="utf-8"?>
<formControlPr xmlns="http://schemas.microsoft.com/office/spreadsheetml/2009/9/main" objectType="CheckBox" checked="Checked" fmlaLink="B12" noThreeD="1"/>
</file>

<file path=xl/ctrlProps/ctrlProp61.xml><?xml version="1.0" encoding="utf-8"?>
<formControlPr xmlns="http://schemas.microsoft.com/office/spreadsheetml/2009/9/main" objectType="CheckBox" fmlaLink="B13" noThreeD="1"/>
</file>

<file path=xl/ctrlProps/ctrlProp62.xml><?xml version="1.0" encoding="utf-8"?>
<formControlPr xmlns="http://schemas.microsoft.com/office/spreadsheetml/2009/9/main" objectType="CheckBox" fmlaLink="B14" noThreeD="1"/>
</file>

<file path=xl/ctrlProps/ctrlProp63.xml><?xml version="1.0" encoding="utf-8"?>
<formControlPr xmlns="http://schemas.microsoft.com/office/spreadsheetml/2009/9/main" objectType="CheckBox" fmlaLink="B15" noThreeD="1"/>
</file>

<file path=xl/ctrlProps/ctrlProp64.xml><?xml version="1.0" encoding="utf-8"?>
<formControlPr xmlns="http://schemas.microsoft.com/office/spreadsheetml/2009/9/main" objectType="CheckBox" fmlaLink="B16" noThreeD="1"/>
</file>

<file path=xl/ctrlProps/ctrlProp65.xml><?xml version="1.0" encoding="utf-8"?>
<formControlPr xmlns="http://schemas.microsoft.com/office/spreadsheetml/2009/9/main" objectType="CheckBox" fmlaLink="B17" noThreeD="1"/>
</file>

<file path=xl/ctrlProps/ctrlProp66.xml><?xml version="1.0" encoding="utf-8"?>
<formControlPr xmlns="http://schemas.microsoft.com/office/spreadsheetml/2009/9/main" objectType="CheckBox" checked="Checked" fmlaLink="B5" noThreeD="1"/>
</file>

<file path=xl/ctrlProps/ctrlProp67.xml><?xml version="1.0" encoding="utf-8"?>
<formControlPr xmlns="http://schemas.microsoft.com/office/spreadsheetml/2009/9/main" objectType="CheckBox" fmlaLink="B6" noThreeD="1"/>
</file>

<file path=xl/ctrlProps/ctrlProp68.xml><?xml version="1.0" encoding="utf-8"?>
<formControlPr xmlns="http://schemas.microsoft.com/office/spreadsheetml/2009/9/main" objectType="CheckBox" checked="Checked" fmlaLink="B7" noThreeD="1"/>
</file>

<file path=xl/ctrlProps/ctrlProp69.xml><?xml version="1.0" encoding="utf-8"?>
<formControlPr xmlns="http://schemas.microsoft.com/office/spreadsheetml/2009/9/main" objectType="CheckBox" fmlaLink="B8" noThreeD="1"/>
</file>

<file path=xl/ctrlProps/ctrlProp70.xml><?xml version="1.0" encoding="utf-8"?>
<formControlPr xmlns="http://schemas.microsoft.com/office/spreadsheetml/2009/9/main" objectType="CheckBox" fmlaLink="B9" noThreeD="1"/>
</file>

<file path=xl/ctrlProps/ctrlProp71.xml><?xml version="1.0" encoding="utf-8"?>
<formControlPr xmlns="http://schemas.microsoft.com/office/spreadsheetml/2009/9/main" objectType="CheckBox" fmlaLink="B10" noThreeD="1"/>
</file>

<file path=xl/ctrlProps/ctrlProp72.xml><?xml version="1.0" encoding="utf-8"?>
<formControlPr xmlns="http://schemas.microsoft.com/office/spreadsheetml/2009/9/main" objectType="CheckBox" fmlaLink="B11" noThreeD="1"/>
</file>

<file path=xl/ctrlProps/ctrlProp73.xml><?xml version="1.0" encoding="utf-8"?>
<formControlPr xmlns="http://schemas.microsoft.com/office/spreadsheetml/2009/9/main" objectType="CheckBox" fmlaLink="B12" noThreeD="1"/>
</file>

<file path=xl/ctrlProps/ctrlProp74.xml><?xml version="1.0" encoding="utf-8"?>
<formControlPr xmlns="http://schemas.microsoft.com/office/spreadsheetml/2009/9/main" objectType="CheckBox" fmlaLink="B13" noThreeD="1"/>
</file>

<file path=xl/ctrlProps/ctrlProp75.xml><?xml version="1.0" encoding="utf-8"?>
<formControlPr xmlns="http://schemas.microsoft.com/office/spreadsheetml/2009/9/main" objectType="CheckBox" fmlaLink="B14" noThreeD="1"/>
</file>

<file path=xl/ctrlProps/ctrlProp76.xml><?xml version="1.0" encoding="utf-8"?>
<formControlPr xmlns="http://schemas.microsoft.com/office/spreadsheetml/2009/9/main" objectType="CheckBox" fmlaLink="B15" noThreeD="1"/>
</file>

<file path=xl/ctrlProps/ctrlProp77.xml><?xml version="1.0" encoding="utf-8"?>
<formControlPr xmlns="http://schemas.microsoft.com/office/spreadsheetml/2009/9/main" objectType="CheckBox" checked="Checked" fmlaLink="B16" noThreeD="1"/>
</file>

<file path=xl/ctrlProps/ctrlProp78.xml><?xml version="1.0" encoding="utf-8"?>
<formControlPr xmlns="http://schemas.microsoft.com/office/spreadsheetml/2009/9/main" objectType="CheckBox" fmlaLink="B17" noThreeD="1"/>
</file>

<file path=xl/ctrlProps/ctrlProp79.xml><?xml version="1.0" encoding="utf-8"?>
<formControlPr xmlns="http://schemas.microsoft.com/office/spreadsheetml/2009/9/main" objectType="CheckBox" fmlaLink="B5" noThreeD="1"/>
</file>

<file path=xl/ctrlProps/ctrlProp80.xml><?xml version="1.0" encoding="utf-8"?>
<formControlPr xmlns="http://schemas.microsoft.com/office/spreadsheetml/2009/9/main" objectType="CheckBox" fmlaLink="B6" noThreeD="1"/>
</file>

<file path=xl/ctrlProps/ctrlProp81.xml><?xml version="1.0" encoding="utf-8"?>
<formControlPr xmlns="http://schemas.microsoft.com/office/spreadsheetml/2009/9/main" objectType="CheckBox" fmlaLink="B7" noThreeD="1"/>
</file>

<file path=xl/ctrlProps/ctrlProp82.xml><?xml version="1.0" encoding="utf-8"?>
<formControlPr xmlns="http://schemas.microsoft.com/office/spreadsheetml/2009/9/main" objectType="CheckBox" checked="Checked" fmlaLink="B8" noThreeD="1"/>
</file>

<file path=xl/ctrlProps/ctrlProp83.xml><?xml version="1.0" encoding="utf-8"?>
<formControlPr xmlns="http://schemas.microsoft.com/office/spreadsheetml/2009/9/main" objectType="CheckBox" fmlaLink="B9" noThreeD="1"/>
</file>

<file path=xl/ctrlProps/ctrlProp84.xml><?xml version="1.0" encoding="utf-8"?>
<formControlPr xmlns="http://schemas.microsoft.com/office/spreadsheetml/2009/9/main" objectType="CheckBox" fmlaLink="B10" noThreeD="1"/>
</file>

<file path=xl/ctrlProps/ctrlProp85.xml><?xml version="1.0" encoding="utf-8"?>
<formControlPr xmlns="http://schemas.microsoft.com/office/spreadsheetml/2009/9/main" objectType="CheckBox" fmlaLink="B11" noThreeD="1"/>
</file>

<file path=xl/ctrlProps/ctrlProp86.xml><?xml version="1.0" encoding="utf-8"?>
<formControlPr xmlns="http://schemas.microsoft.com/office/spreadsheetml/2009/9/main" objectType="CheckBox" fmlaLink="B12" noThreeD="1"/>
</file>

<file path=xl/ctrlProps/ctrlProp87.xml><?xml version="1.0" encoding="utf-8"?>
<formControlPr xmlns="http://schemas.microsoft.com/office/spreadsheetml/2009/9/main" objectType="CheckBox" fmlaLink="B13" noThreeD="1"/>
</file>

<file path=xl/ctrlProps/ctrlProp88.xml><?xml version="1.0" encoding="utf-8"?>
<formControlPr xmlns="http://schemas.microsoft.com/office/spreadsheetml/2009/9/main" objectType="CheckBox" checked="Checked" fmlaLink="B14" noThreeD="1"/>
</file>

<file path=xl/ctrlProps/ctrlProp89.xml><?xml version="1.0" encoding="utf-8"?>
<formControlPr xmlns="http://schemas.microsoft.com/office/spreadsheetml/2009/9/main" objectType="CheckBox" fmlaLink="B15" noThreeD="1"/>
</file>

<file path=xl/ctrlProps/ctrlProp90.xml><?xml version="1.0" encoding="utf-8"?>
<formControlPr xmlns="http://schemas.microsoft.com/office/spreadsheetml/2009/9/main" objectType="CheckBox" fmlaLink="B16" noThreeD="1"/>
</file>

<file path=xl/ctrlProps/ctrlProp91.xml><?xml version="1.0" encoding="utf-8"?>
<formControlPr xmlns="http://schemas.microsoft.com/office/spreadsheetml/2009/9/main" objectType="CheckBox" fmlaLink="B17" noThreeD="1"/>
</file>

<file path=xl/ctrlProps/ctrlProp92.xml><?xml version="1.0" encoding="utf-8"?>
<formControlPr xmlns="http://schemas.microsoft.com/office/spreadsheetml/2009/9/main" objectType="CheckBox" fmlaLink="B5" noThreeD="1"/>
</file>

<file path=xl/ctrlProps/ctrlProp93.xml><?xml version="1.0" encoding="utf-8"?>
<formControlPr xmlns="http://schemas.microsoft.com/office/spreadsheetml/2009/9/main" objectType="CheckBox" checked="Checked" fmlaLink="B6" noThreeD="1"/>
</file>

<file path=xl/ctrlProps/ctrlProp94.xml><?xml version="1.0" encoding="utf-8"?>
<formControlPr xmlns="http://schemas.microsoft.com/office/spreadsheetml/2009/9/main" objectType="CheckBox" fmlaLink="B7" noThreeD="1"/>
</file>

<file path=xl/ctrlProps/ctrlProp95.xml><?xml version="1.0" encoding="utf-8"?>
<formControlPr xmlns="http://schemas.microsoft.com/office/spreadsheetml/2009/9/main" objectType="CheckBox" fmlaLink="B8" noThreeD="1"/>
</file>

<file path=xl/ctrlProps/ctrlProp96.xml><?xml version="1.0" encoding="utf-8"?>
<formControlPr xmlns="http://schemas.microsoft.com/office/spreadsheetml/2009/9/main" objectType="CheckBox" checked="Checked" fmlaLink="B9" noThreeD="1"/>
</file>

<file path=xl/ctrlProps/ctrlProp97.xml><?xml version="1.0" encoding="utf-8"?>
<formControlPr xmlns="http://schemas.microsoft.com/office/spreadsheetml/2009/9/main" objectType="CheckBox" fmlaLink="B10" noThreeD="1"/>
</file>

<file path=xl/ctrlProps/ctrlProp98.xml><?xml version="1.0" encoding="utf-8"?>
<formControlPr xmlns="http://schemas.microsoft.com/office/spreadsheetml/2009/9/main" objectType="CheckBox" fmlaLink="B11" noThreeD="1"/>
</file>

<file path=xl/ctrlProps/ctrlProp99.xml><?xml version="1.0" encoding="utf-8"?>
<formControlPr xmlns="http://schemas.microsoft.com/office/spreadsheetml/2009/9/main" objectType="CheckBox" fmlaLink="B12" noThreeD="1"/>
</file>

<file path=xl/ctrlProps/ctrlProp100.xml><?xml version="1.0" encoding="utf-8"?>
<formControlPr xmlns="http://schemas.microsoft.com/office/spreadsheetml/2009/9/main" objectType="CheckBox" fmlaLink="B13" noThreeD="1"/>
</file>

<file path=xl/ctrlProps/ctrlProp101.xml><?xml version="1.0" encoding="utf-8"?>
<formControlPr xmlns="http://schemas.microsoft.com/office/spreadsheetml/2009/9/main" objectType="CheckBox" fmlaLink="B14" noThreeD="1"/>
</file>

<file path=xl/ctrlProps/ctrlProp102.xml><?xml version="1.0" encoding="utf-8"?>
<formControlPr xmlns="http://schemas.microsoft.com/office/spreadsheetml/2009/9/main" objectType="CheckBox" fmlaLink="B15" noThreeD="1"/>
</file>

<file path=xl/ctrlProps/ctrlProp103.xml><?xml version="1.0" encoding="utf-8"?>
<formControlPr xmlns="http://schemas.microsoft.com/office/spreadsheetml/2009/9/main" objectType="CheckBox" fmlaLink="B16" noThreeD="1"/>
</file>

<file path=xl/ctrlProps/ctrlProp104.xml><?xml version="1.0" encoding="utf-8"?>
<formControlPr xmlns="http://schemas.microsoft.com/office/spreadsheetml/2009/9/main" objectType="CheckBox" fmlaLink="B17" noThreeD="1"/>
</file>

<file path=xl/ctrlProps/ctrlProp105.xml><?xml version="1.0" encoding="utf-8"?>
<formControlPr xmlns="http://schemas.microsoft.com/office/spreadsheetml/2009/9/main" objectType="CheckBox" checked="Checked" fmlaLink="B5" noThreeD="1"/>
</file>

<file path=xl/ctrlProps/ctrlProp106.xml><?xml version="1.0" encoding="utf-8"?>
<formControlPr xmlns="http://schemas.microsoft.com/office/spreadsheetml/2009/9/main" objectType="CheckBox" fmlaLink="B6" noThreeD="1"/>
</file>

<file path=xl/ctrlProps/ctrlProp107.xml><?xml version="1.0" encoding="utf-8"?>
<formControlPr xmlns="http://schemas.microsoft.com/office/spreadsheetml/2009/9/main" objectType="CheckBox" fmlaLink="B7" noThreeD="1"/>
</file>

<file path=xl/ctrlProps/ctrlProp108.xml><?xml version="1.0" encoding="utf-8"?>
<formControlPr xmlns="http://schemas.microsoft.com/office/spreadsheetml/2009/9/main" objectType="CheckBox" fmlaLink="B8" noThreeD="1"/>
</file>

<file path=xl/ctrlProps/ctrlProp109.xml><?xml version="1.0" encoding="utf-8"?>
<formControlPr xmlns="http://schemas.microsoft.com/office/spreadsheetml/2009/9/main" objectType="CheckBox" fmlaLink="B9" noThreeD="1"/>
</file>

<file path=xl/ctrlProps/ctrlProp110.xml><?xml version="1.0" encoding="utf-8"?>
<formControlPr xmlns="http://schemas.microsoft.com/office/spreadsheetml/2009/9/main" objectType="CheckBox" fmlaLink="B10" noThreeD="1"/>
</file>

<file path=xl/ctrlProps/ctrlProp111.xml><?xml version="1.0" encoding="utf-8"?>
<formControlPr xmlns="http://schemas.microsoft.com/office/spreadsheetml/2009/9/main" objectType="CheckBox" fmlaLink="B11" noThreeD="1"/>
</file>

<file path=xl/ctrlProps/ctrlProp112.xml><?xml version="1.0" encoding="utf-8"?>
<formControlPr xmlns="http://schemas.microsoft.com/office/spreadsheetml/2009/9/main" objectType="CheckBox" fmlaLink="B12" noThreeD="1"/>
</file>

<file path=xl/ctrlProps/ctrlProp113.xml><?xml version="1.0" encoding="utf-8"?>
<formControlPr xmlns="http://schemas.microsoft.com/office/spreadsheetml/2009/9/main" objectType="CheckBox" fmlaLink="B13" noThreeD="1"/>
</file>

<file path=xl/ctrlProps/ctrlProp114.xml><?xml version="1.0" encoding="utf-8"?>
<formControlPr xmlns="http://schemas.microsoft.com/office/spreadsheetml/2009/9/main" objectType="CheckBox" fmlaLink="B14" noThreeD="1"/>
</file>

<file path=xl/ctrlProps/ctrlProp115.xml><?xml version="1.0" encoding="utf-8"?>
<formControlPr xmlns="http://schemas.microsoft.com/office/spreadsheetml/2009/9/main" objectType="CheckBox" checked="Checked" fmlaLink="B15" noThreeD="1"/>
</file>

<file path=xl/ctrlProps/ctrlProp116.xml><?xml version="1.0" encoding="utf-8"?>
<formControlPr xmlns="http://schemas.microsoft.com/office/spreadsheetml/2009/9/main" objectType="CheckBox" fmlaLink="B16" noThreeD="1"/>
</file>

<file path=xl/ctrlProps/ctrlProp117.xml><?xml version="1.0" encoding="utf-8"?>
<formControlPr xmlns="http://schemas.microsoft.com/office/spreadsheetml/2009/9/main" objectType="CheckBox" fmlaLink="B17" noThreeD="1"/>
</file>

<file path=xl/ctrlProps/ctrlProp118.xml><?xml version="1.0" encoding="utf-8"?>
<formControlPr xmlns="http://schemas.microsoft.com/office/spreadsheetml/2009/9/main" objectType="CheckBox" checked="Checked" fmlaLink="B5" noThreeD="1"/>
</file>

<file path=xl/ctrlProps/ctrlProp119.xml><?xml version="1.0" encoding="utf-8"?>
<formControlPr xmlns="http://schemas.microsoft.com/office/spreadsheetml/2009/9/main" objectType="CheckBox" fmlaLink="B6" noThreeD="1"/>
</file>

<file path=xl/ctrlProps/ctrlProp120.xml><?xml version="1.0" encoding="utf-8"?>
<formControlPr xmlns="http://schemas.microsoft.com/office/spreadsheetml/2009/9/main" objectType="CheckBox" checked="Checked" fmlaLink="B7" noThreeD="1"/>
</file>

<file path=xl/ctrlProps/ctrlProp121.xml><?xml version="1.0" encoding="utf-8"?>
<formControlPr xmlns="http://schemas.microsoft.com/office/spreadsheetml/2009/9/main" objectType="CheckBox" fmlaLink="B8" noThreeD="1"/>
</file>

<file path=xl/ctrlProps/ctrlProp122.xml><?xml version="1.0" encoding="utf-8"?>
<formControlPr xmlns="http://schemas.microsoft.com/office/spreadsheetml/2009/9/main" objectType="CheckBox" checked="Checked" fmlaLink="B9" noThreeD="1"/>
</file>

<file path=xl/ctrlProps/ctrlProp123.xml><?xml version="1.0" encoding="utf-8"?>
<formControlPr xmlns="http://schemas.microsoft.com/office/spreadsheetml/2009/9/main" objectType="CheckBox" fmlaLink="B10" noThreeD="1"/>
</file>

<file path=xl/ctrlProps/ctrlProp124.xml><?xml version="1.0" encoding="utf-8"?>
<formControlPr xmlns="http://schemas.microsoft.com/office/spreadsheetml/2009/9/main" objectType="CheckBox" fmlaLink="B11" noThreeD="1"/>
</file>

<file path=xl/ctrlProps/ctrlProp125.xml><?xml version="1.0" encoding="utf-8"?>
<formControlPr xmlns="http://schemas.microsoft.com/office/spreadsheetml/2009/9/main" objectType="CheckBox" fmlaLink="B12" noThreeD="1"/>
</file>

<file path=xl/ctrlProps/ctrlProp126.xml><?xml version="1.0" encoding="utf-8"?>
<formControlPr xmlns="http://schemas.microsoft.com/office/spreadsheetml/2009/9/main" objectType="CheckBox" fmlaLink="B13" noThreeD="1"/>
</file>

<file path=xl/ctrlProps/ctrlProp127.xml><?xml version="1.0" encoding="utf-8"?>
<formControlPr xmlns="http://schemas.microsoft.com/office/spreadsheetml/2009/9/main" objectType="CheckBox" fmlaLink="B14" noThreeD="1"/>
</file>

<file path=xl/ctrlProps/ctrlProp128.xml><?xml version="1.0" encoding="utf-8"?>
<formControlPr xmlns="http://schemas.microsoft.com/office/spreadsheetml/2009/9/main" objectType="CheckBox" fmlaLink="B15" noThreeD="1"/>
</file>

<file path=xl/ctrlProps/ctrlProp129.xml><?xml version="1.0" encoding="utf-8"?>
<formControlPr xmlns="http://schemas.microsoft.com/office/spreadsheetml/2009/9/main" objectType="CheckBox" fmlaLink="B16" noThreeD="1"/>
</file>

<file path=xl/ctrlProps/ctrlProp130.xml><?xml version="1.0" encoding="utf-8"?>
<formControlPr xmlns="http://schemas.microsoft.com/office/spreadsheetml/2009/9/main" objectType="CheckBox" fmlaLink="B17" noThreeD="1"/>
</file>

<file path=xl/ctrlProps/ctrlProp131.xml><?xml version="1.0" encoding="utf-8"?>
<formControlPr xmlns="http://schemas.microsoft.com/office/spreadsheetml/2009/9/main" objectType="CheckBox" checked="Checked" fmlaLink="B5" noThreeD="1"/>
</file>

<file path=xl/ctrlProps/ctrlProp132.xml><?xml version="1.0" encoding="utf-8"?>
<formControlPr xmlns="http://schemas.microsoft.com/office/spreadsheetml/2009/9/main" objectType="CheckBox" fmlaLink="B6" noThreeD="1"/>
</file>

<file path=xl/ctrlProps/ctrlProp133.xml><?xml version="1.0" encoding="utf-8"?>
<formControlPr xmlns="http://schemas.microsoft.com/office/spreadsheetml/2009/9/main" objectType="CheckBox" checked="Checked" fmlaLink="B7" noThreeD="1"/>
</file>

<file path=xl/ctrlProps/ctrlProp134.xml><?xml version="1.0" encoding="utf-8"?>
<formControlPr xmlns="http://schemas.microsoft.com/office/spreadsheetml/2009/9/main" objectType="CheckBox" checked="Checked" fmlaLink="B8" noThreeD="1"/>
</file>

<file path=xl/ctrlProps/ctrlProp135.xml><?xml version="1.0" encoding="utf-8"?>
<formControlPr xmlns="http://schemas.microsoft.com/office/spreadsheetml/2009/9/main" objectType="CheckBox" fmlaLink="B9" noThreeD="1"/>
</file>

<file path=xl/ctrlProps/ctrlProp136.xml><?xml version="1.0" encoding="utf-8"?>
<formControlPr xmlns="http://schemas.microsoft.com/office/spreadsheetml/2009/9/main" objectType="CheckBox" checked="Checked" fmlaLink="B10" noThreeD="1"/>
</file>

<file path=xl/ctrlProps/ctrlProp137.xml><?xml version="1.0" encoding="utf-8"?>
<formControlPr xmlns="http://schemas.microsoft.com/office/spreadsheetml/2009/9/main" objectType="CheckBox" fmlaLink="B11" noThreeD="1"/>
</file>

<file path=xl/ctrlProps/ctrlProp138.xml><?xml version="1.0" encoding="utf-8"?>
<formControlPr xmlns="http://schemas.microsoft.com/office/spreadsheetml/2009/9/main" objectType="CheckBox" fmlaLink="B12" noThreeD="1"/>
</file>

<file path=xl/ctrlProps/ctrlProp139.xml><?xml version="1.0" encoding="utf-8"?>
<formControlPr xmlns="http://schemas.microsoft.com/office/spreadsheetml/2009/9/main" objectType="CheckBox" fmlaLink="B13" noThreeD="1"/>
</file>

<file path=xl/ctrlProps/ctrlProp140.xml><?xml version="1.0" encoding="utf-8"?>
<formControlPr xmlns="http://schemas.microsoft.com/office/spreadsheetml/2009/9/main" objectType="CheckBox" fmlaLink="B14" noThreeD="1"/>
</file>

<file path=xl/ctrlProps/ctrlProp141.xml><?xml version="1.0" encoding="utf-8"?>
<formControlPr xmlns="http://schemas.microsoft.com/office/spreadsheetml/2009/9/main" objectType="CheckBox" fmlaLink="B15" noThreeD="1"/>
</file>

<file path=xl/ctrlProps/ctrlProp142.xml><?xml version="1.0" encoding="utf-8"?>
<formControlPr xmlns="http://schemas.microsoft.com/office/spreadsheetml/2009/9/main" objectType="CheckBox" fmlaLink="B16" noThreeD="1"/>
</file>

<file path=xl/ctrlProps/ctrlProp143.xml><?xml version="1.0" encoding="utf-8"?>
<formControlPr xmlns="http://schemas.microsoft.com/office/spreadsheetml/2009/9/main" objectType="CheckBox" fmlaLink="B17" noThreeD="1"/>
</file>

<file path=xl/ctrlProps/ctrlProp144.xml><?xml version="1.0" encoding="utf-8"?>
<formControlPr xmlns="http://schemas.microsoft.com/office/spreadsheetml/2009/9/main" objectType="CheckBox" fmlaLink="B5" noThreeD="1"/>
</file>

<file path=xl/ctrlProps/ctrlProp145.xml><?xml version="1.0" encoding="utf-8"?>
<formControlPr xmlns="http://schemas.microsoft.com/office/spreadsheetml/2009/9/main" objectType="CheckBox" checked="Checked" fmlaLink="B6" noThreeD="1"/>
</file>

<file path=xl/ctrlProps/ctrlProp146.xml><?xml version="1.0" encoding="utf-8"?>
<formControlPr xmlns="http://schemas.microsoft.com/office/spreadsheetml/2009/9/main" objectType="CheckBox" fmlaLink="B7" noThreeD="1"/>
</file>

<file path=xl/ctrlProps/ctrlProp147.xml><?xml version="1.0" encoding="utf-8"?>
<formControlPr xmlns="http://schemas.microsoft.com/office/spreadsheetml/2009/9/main" objectType="CheckBox" fmlaLink="B8" noThreeD="1"/>
</file>

<file path=xl/ctrlProps/ctrlProp148.xml><?xml version="1.0" encoding="utf-8"?>
<formControlPr xmlns="http://schemas.microsoft.com/office/spreadsheetml/2009/9/main" objectType="CheckBox" fmlaLink="B9" noThreeD="1"/>
</file>

<file path=xl/ctrlProps/ctrlProp149.xml><?xml version="1.0" encoding="utf-8"?>
<formControlPr xmlns="http://schemas.microsoft.com/office/spreadsheetml/2009/9/main" objectType="CheckBox" checked="Checked" fmlaLink="B10" noThreeD="1"/>
</file>

<file path=xl/ctrlProps/ctrlProp150.xml><?xml version="1.0" encoding="utf-8"?>
<formControlPr xmlns="http://schemas.microsoft.com/office/spreadsheetml/2009/9/main" objectType="CheckBox" fmlaLink="B11" noThreeD="1"/>
</file>

<file path=xl/ctrlProps/ctrlProp151.xml><?xml version="1.0" encoding="utf-8"?>
<formControlPr xmlns="http://schemas.microsoft.com/office/spreadsheetml/2009/9/main" objectType="CheckBox" fmlaLink="B12" noThreeD="1"/>
</file>

<file path=xl/ctrlProps/ctrlProp152.xml><?xml version="1.0" encoding="utf-8"?>
<formControlPr xmlns="http://schemas.microsoft.com/office/spreadsheetml/2009/9/main" objectType="CheckBox" fmlaLink="B13" noThreeD="1"/>
</file>

<file path=xl/ctrlProps/ctrlProp153.xml><?xml version="1.0" encoding="utf-8"?>
<formControlPr xmlns="http://schemas.microsoft.com/office/spreadsheetml/2009/9/main" objectType="CheckBox" fmlaLink="B14" noThreeD="1"/>
</file>

<file path=xl/ctrlProps/ctrlProp154.xml><?xml version="1.0" encoding="utf-8"?>
<formControlPr xmlns="http://schemas.microsoft.com/office/spreadsheetml/2009/9/main" objectType="CheckBox" fmlaLink="B15" noThreeD="1"/>
</file>

<file path=xl/ctrlProps/ctrlProp155.xml><?xml version="1.0" encoding="utf-8"?>
<formControlPr xmlns="http://schemas.microsoft.com/office/spreadsheetml/2009/9/main" objectType="CheckBox" fmlaLink="B16" noThreeD="1"/>
</file>

<file path=xl/ctrlProps/ctrlProp156.xml><?xml version="1.0" encoding="utf-8"?>
<formControlPr xmlns="http://schemas.microsoft.com/office/spreadsheetml/2009/9/main" objectType="CheckBox" fmlaLink="B17" noThreeD="1"/>
</file>

<file path=xl/ctrlProps/ctrlProp157.xml><?xml version="1.0" encoding="utf-8"?>
<formControlPr xmlns="http://schemas.microsoft.com/office/spreadsheetml/2009/9/main" objectType="CheckBox" checked="Checked" fmlaLink="B5" noThreeD="1"/>
</file>

<file path=xl/ctrlProps/ctrlProp158.xml><?xml version="1.0" encoding="utf-8"?>
<formControlPr xmlns="http://schemas.microsoft.com/office/spreadsheetml/2009/9/main" objectType="CheckBox" fmlaLink="B6" noThreeD="1"/>
</file>

<file path=xl/ctrlProps/ctrlProp159.xml><?xml version="1.0" encoding="utf-8"?>
<formControlPr xmlns="http://schemas.microsoft.com/office/spreadsheetml/2009/9/main" objectType="CheckBox" fmlaLink="B7" noThreeD="1"/>
</file>

<file path=xl/ctrlProps/ctrlProp160.xml><?xml version="1.0" encoding="utf-8"?>
<formControlPr xmlns="http://schemas.microsoft.com/office/spreadsheetml/2009/9/main" objectType="CheckBox" fmlaLink="B8" noThreeD="1"/>
</file>

<file path=xl/ctrlProps/ctrlProp161.xml><?xml version="1.0" encoding="utf-8"?>
<formControlPr xmlns="http://schemas.microsoft.com/office/spreadsheetml/2009/9/main" objectType="CheckBox" fmlaLink="B9" noThreeD="1"/>
</file>

<file path=xl/ctrlProps/ctrlProp162.xml><?xml version="1.0" encoding="utf-8"?>
<formControlPr xmlns="http://schemas.microsoft.com/office/spreadsheetml/2009/9/main" objectType="CheckBox" fmlaLink="B10" noThreeD="1"/>
</file>

<file path=xl/ctrlProps/ctrlProp163.xml><?xml version="1.0" encoding="utf-8"?>
<formControlPr xmlns="http://schemas.microsoft.com/office/spreadsheetml/2009/9/main" objectType="CheckBox" fmlaLink="B11" noThreeD="1"/>
</file>

<file path=xl/ctrlProps/ctrlProp164.xml><?xml version="1.0" encoding="utf-8"?>
<formControlPr xmlns="http://schemas.microsoft.com/office/spreadsheetml/2009/9/main" objectType="CheckBox" checked="Checked" fmlaLink="B12" noThreeD="1"/>
</file>

<file path=xl/ctrlProps/ctrlProp165.xml><?xml version="1.0" encoding="utf-8"?>
<formControlPr xmlns="http://schemas.microsoft.com/office/spreadsheetml/2009/9/main" objectType="CheckBox" fmlaLink="B13" noThreeD="1"/>
</file>

<file path=xl/ctrlProps/ctrlProp166.xml><?xml version="1.0" encoding="utf-8"?>
<formControlPr xmlns="http://schemas.microsoft.com/office/spreadsheetml/2009/9/main" objectType="CheckBox" fmlaLink="B14" noThreeD="1"/>
</file>

<file path=xl/ctrlProps/ctrlProp167.xml><?xml version="1.0" encoding="utf-8"?>
<formControlPr xmlns="http://schemas.microsoft.com/office/spreadsheetml/2009/9/main" objectType="CheckBox" fmlaLink="B15" noThreeD="1"/>
</file>

<file path=xl/ctrlProps/ctrlProp168.xml><?xml version="1.0" encoding="utf-8"?>
<formControlPr xmlns="http://schemas.microsoft.com/office/spreadsheetml/2009/9/main" objectType="CheckBox" fmlaLink="B16" noThreeD="1"/>
</file>

<file path=xl/ctrlProps/ctrlProp169.xml><?xml version="1.0" encoding="utf-8"?>
<formControlPr xmlns="http://schemas.microsoft.com/office/spreadsheetml/2009/9/main" objectType="CheckBox" fmlaLink="B17" noThreeD="1"/>
</file>

<file path=xl/ctrlProps/ctrlProp170.xml><?xml version="1.0" encoding="utf-8"?>
<formControlPr xmlns="http://schemas.microsoft.com/office/spreadsheetml/2009/9/main" objectType="CheckBox" fmlaLink="B5" noThreeD="1"/>
</file>

<file path=xl/ctrlProps/ctrlProp171.xml><?xml version="1.0" encoding="utf-8"?>
<formControlPr xmlns="http://schemas.microsoft.com/office/spreadsheetml/2009/9/main" objectType="CheckBox" fmlaLink="B6" noThreeD="1"/>
</file>

<file path=xl/ctrlProps/ctrlProp172.xml><?xml version="1.0" encoding="utf-8"?>
<formControlPr xmlns="http://schemas.microsoft.com/office/spreadsheetml/2009/9/main" objectType="CheckBox" fmlaLink="B7" noThreeD="1"/>
</file>

<file path=xl/ctrlProps/ctrlProp173.xml><?xml version="1.0" encoding="utf-8"?>
<formControlPr xmlns="http://schemas.microsoft.com/office/spreadsheetml/2009/9/main" objectType="CheckBox" checked="Checked" fmlaLink="B8" noThreeD="1"/>
</file>

<file path=xl/ctrlProps/ctrlProp174.xml><?xml version="1.0" encoding="utf-8"?>
<formControlPr xmlns="http://schemas.microsoft.com/office/spreadsheetml/2009/9/main" objectType="CheckBox" fmlaLink="B9" noThreeD="1"/>
</file>

<file path=xl/ctrlProps/ctrlProp175.xml><?xml version="1.0" encoding="utf-8"?>
<formControlPr xmlns="http://schemas.microsoft.com/office/spreadsheetml/2009/9/main" objectType="CheckBox" fmlaLink="B10" noThreeD="1"/>
</file>

<file path=xl/ctrlProps/ctrlProp176.xml><?xml version="1.0" encoding="utf-8"?>
<formControlPr xmlns="http://schemas.microsoft.com/office/spreadsheetml/2009/9/main" objectType="CheckBox" fmlaLink="B11" noThreeD="1"/>
</file>

<file path=xl/ctrlProps/ctrlProp177.xml><?xml version="1.0" encoding="utf-8"?>
<formControlPr xmlns="http://schemas.microsoft.com/office/spreadsheetml/2009/9/main" objectType="CheckBox" fmlaLink="B12" noThreeD="1"/>
</file>

<file path=xl/ctrlProps/ctrlProp178.xml><?xml version="1.0" encoding="utf-8"?>
<formControlPr xmlns="http://schemas.microsoft.com/office/spreadsheetml/2009/9/main" objectType="CheckBox" checked="Checked" fmlaLink="B13" noThreeD="1"/>
</file>

<file path=xl/ctrlProps/ctrlProp179.xml><?xml version="1.0" encoding="utf-8"?>
<formControlPr xmlns="http://schemas.microsoft.com/office/spreadsheetml/2009/9/main" objectType="CheckBox" fmlaLink="B14" noThreeD="1"/>
</file>

<file path=xl/ctrlProps/ctrlProp180.xml><?xml version="1.0" encoding="utf-8"?>
<formControlPr xmlns="http://schemas.microsoft.com/office/spreadsheetml/2009/9/main" objectType="CheckBox" fmlaLink="B15" noThreeD="1"/>
</file>

<file path=xl/ctrlProps/ctrlProp181.xml><?xml version="1.0" encoding="utf-8"?>
<formControlPr xmlns="http://schemas.microsoft.com/office/spreadsheetml/2009/9/main" objectType="CheckBox" fmlaLink="B16" noThreeD="1"/>
</file>

<file path=xl/ctrlProps/ctrlProp182.xml><?xml version="1.0" encoding="utf-8"?>
<formControlPr xmlns="http://schemas.microsoft.com/office/spreadsheetml/2009/9/main" objectType="CheckBox" fmlaLink="B17" noThreeD="1"/>
</file>

<file path=xl/ctrlProps/ctrlProp183.xml><?xml version="1.0" encoding="utf-8"?>
<formControlPr xmlns="http://schemas.microsoft.com/office/spreadsheetml/2009/9/main" objectType="CheckBox" checked="Checked" fmlaLink="B5" noThreeD="1"/>
</file>

<file path=xl/ctrlProps/ctrlProp184.xml><?xml version="1.0" encoding="utf-8"?>
<formControlPr xmlns="http://schemas.microsoft.com/office/spreadsheetml/2009/9/main" objectType="CheckBox" fmlaLink="B6" noThreeD="1"/>
</file>

<file path=xl/ctrlProps/ctrlProp185.xml><?xml version="1.0" encoding="utf-8"?>
<formControlPr xmlns="http://schemas.microsoft.com/office/spreadsheetml/2009/9/main" objectType="CheckBox" fmlaLink="B7" noThreeD="1"/>
</file>

<file path=xl/ctrlProps/ctrlProp186.xml><?xml version="1.0" encoding="utf-8"?>
<formControlPr xmlns="http://schemas.microsoft.com/office/spreadsheetml/2009/9/main" objectType="CheckBox" checked="Checked" fmlaLink="B8" noThreeD="1"/>
</file>

<file path=xl/ctrlProps/ctrlProp187.xml><?xml version="1.0" encoding="utf-8"?>
<formControlPr xmlns="http://schemas.microsoft.com/office/spreadsheetml/2009/9/main" objectType="CheckBox" fmlaLink="B9" noThreeD="1"/>
</file>

<file path=xl/ctrlProps/ctrlProp188.xml><?xml version="1.0" encoding="utf-8"?>
<formControlPr xmlns="http://schemas.microsoft.com/office/spreadsheetml/2009/9/main" objectType="CheckBox" fmlaLink="B10" noThreeD="1"/>
</file>

<file path=xl/ctrlProps/ctrlProp189.xml><?xml version="1.0" encoding="utf-8"?>
<formControlPr xmlns="http://schemas.microsoft.com/office/spreadsheetml/2009/9/main" objectType="CheckBox" fmlaLink="B11" noThreeD="1"/>
</file>

<file path=xl/ctrlProps/ctrlProp190.xml><?xml version="1.0" encoding="utf-8"?>
<formControlPr xmlns="http://schemas.microsoft.com/office/spreadsheetml/2009/9/main" objectType="CheckBox" fmlaLink="B12" noThreeD="1"/>
</file>

<file path=xl/ctrlProps/ctrlProp191.xml><?xml version="1.0" encoding="utf-8"?>
<formControlPr xmlns="http://schemas.microsoft.com/office/spreadsheetml/2009/9/main" objectType="CheckBox" fmlaLink="B13" noThreeD="1"/>
</file>

<file path=xl/ctrlProps/ctrlProp192.xml><?xml version="1.0" encoding="utf-8"?>
<formControlPr xmlns="http://schemas.microsoft.com/office/spreadsheetml/2009/9/main" objectType="CheckBox" checked="Checked" fmlaLink="B14" noThreeD="1"/>
</file>

<file path=xl/ctrlProps/ctrlProp193.xml><?xml version="1.0" encoding="utf-8"?>
<formControlPr xmlns="http://schemas.microsoft.com/office/spreadsheetml/2009/9/main" objectType="CheckBox" fmlaLink="B15" noThreeD="1"/>
</file>

<file path=xl/ctrlProps/ctrlProp194.xml><?xml version="1.0" encoding="utf-8"?>
<formControlPr xmlns="http://schemas.microsoft.com/office/spreadsheetml/2009/9/main" objectType="CheckBox" fmlaLink="B16" noThreeD="1"/>
</file>

<file path=xl/ctrlProps/ctrlProp195.xml><?xml version="1.0" encoding="utf-8"?>
<formControlPr xmlns="http://schemas.microsoft.com/office/spreadsheetml/2009/9/main" objectType="CheckBox" fmlaLink="B17" noThreeD="1"/>
</file>

<file path=xl/ctrlProps/ctrlProp196.xml><?xml version="1.0" encoding="utf-8"?>
<formControlPr xmlns="http://schemas.microsoft.com/office/spreadsheetml/2009/9/main" objectType="CheckBox" checked="Checked" fmlaLink="B5" noThreeD="1"/>
</file>

<file path=xl/ctrlProps/ctrlProp197.xml><?xml version="1.0" encoding="utf-8"?>
<formControlPr xmlns="http://schemas.microsoft.com/office/spreadsheetml/2009/9/main" objectType="CheckBox" fmlaLink="B6" noThreeD="1"/>
</file>

<file path=xl/ctrlProps/ctrlProp198.xml><?xml version="1.0" encoding="utf-8"?>
<formControlPr xmlns="http://schemas.microsoft.com/office/spreadsheetml/2009/9/main" objectType="CheckBox" fmlaLink="B7" noThreeD="1"/>
</file>

<file path=xl/ctrlProps/ctrlProp199.xml><?xml version="1.0" encoding="utf-8"?>
<formControlPr xmlns="http://schemas.microsoft.com/office/spreadsheetml/2009/9/main" objectType="CheckBox" fmlaLink="B8" noThreeD="1"/>
</file>

<file path=xl/ctrlProps/ctrlProp200.xml><?xml version="1.0" encoding="utf-8"?>
<formControlPr xmlns="http://schemas.microsoft.com/office/spreadsheetml/2009/9/main" objectType="CheckBox" fmlaLink="B9" noThreeD="1"/>
</file>

<file path=xl/ctrlProps/ctrlProp201.xml><?xml version="1.0" encoding="utf-8"?>
<formControlPr xmlns="http://schemas.microsoft.com/office/spreadsheetml/2009/9/main" objectType="CheckBox" fmlaLink="B10" noThreeD="1"/>
</file>

<file path=xl/ctrlProps/ctrlProp202.xml><?xml version="1.0" encoding="utf-8"?>
<formControlPr xmlns="http://schemas.microsoft.com/office/spreadsheetml/2009/9/main" objectType="CheckBox" fmlaLink="B11" noThreeD="1"/>
</file>

<file path=xl/ctrlProps/ctrlProp203.xml><?xml version="1.0" encoding="utf-8"?>
<formControlPr xmlns="http://schemas.microsoft.com/office/spreadsheetml/2009/9/main" objectType="CheckBox" checked="Checked" fmlaLink="B12" noThreeD="1"/>
</file>

<file path=xl/ctrlProps/ctrlProp204.xml><?xml version="1.0" encoding="utf-8"?>
<formControlPr xmlns="http://schemas.microsoft.com/office/spreadsheetml/2009/9/main" objectType="CheckBox" fmlaLink="B13" noThreeD="1"/>
</file>

<file path=xl/ctrlProps/ctrlProp205.xml><?xml version="1.0" encoding="utf-8"?>
<formControlPr xmlns="http://schemas.microsoft.com/office/spreadsheetml/2009/9/main" objectType="CheckBox" fmlaLink="B14" noThreeD="1"/>
</file>

<file path=xl/ctrlProps/ctrlProp206.xml><?xml version="1.0" encoding="utf-8"?>
<formControlPr xmlns="http://schemas.microsoft.com/office/spreadsheetml/2009/9/main" objectType="CheckBox" fmlaLink="B15" noThreeD="1"/>
</file>

<file path=xl/ctrlProps/ctrlProp207.xml><?xml version="1.0" encoding="utf-8"?>
<formControlPr xmlns="http://schemas.microsoft.com/office/spreadsheetml/2009/9/main" objectType="CheckBox" fmlaLink="B16" noThreeD="1"/>
</file>

<file path=xl/ctrlProps/ctrlProp208.xml><?xml version="1.0" encoding="utf-8"?>
<formControlPr xmlns="http://schemas.microsoft.com/office/spreadsheetml/2009/9/main" objectType="CheckBox" fmlaLink="B17" noThreeD="1"/>
</file>

<file path=xl/ctrlProps/ctrlProp209.xml><?xml version="1.0" encoding="utf-8"?>
<formControlPr xmlns="http://schemas.microsoft.com/office/spreadsheetml/2009/9/main" objectType="CheckBox" checked="Checked" fmlaLink="B5" noThreeD="1"/>
</file>

<file path=xl/ctrlProps/ctrlProp210.xml><?xml version="1.0" encoding="utf-8"?>
<formControlPr xmlns="http://schemas.microsoft.com/office/spreadsheetml/2009/9/main" objectType="CheckBox" fmlaLink="B6" noThreeD="1"/>
</file>

<file path=xl/ctrlProps/ctrlProp211.xml><?xml version="1.0" encoding="utf-8"?>
<formControlPr xmlns="http://schemas.microsoft.com/office/spreadsheetml/2009/9/main" objectType="CheckBox" checked="Checked" fmlaLink="B7" noThreeD="1"/>
</file>

<file path=xl/ctrlProps/ctrlProp212.xml><?xml version="1.0" encoding="utf-8"?>
<formControlPr xmlns="http://schemas.microsoft.com/office/spreadsheetml/2009/9/main" objectType="CheckBox" fmlaLink="B8" noThreeD="1"/>
</file>

<file path=xl/ctrlProps/ctrlProp213.xml><?xml version="1.0" encoding="utf-8"?>
<formControlPr xmlns="http://schemas.microsoft.com/office/spreadsheetml/2009/9/main" objectType="CheckBox" fmlaLink="B9" noThreeD="1"/>
</file>

<file path=xl/ctrlProps/ctrlProp214.xml><?xml version="1.0" encoding="utf-8"?>
<formControlPr xmlns="http://schemas.microsoft.com/office/spreadsheetml/2009/9/main" objectType="CheckBox" fmlaLink="B10" noThreeD="1"/>
</file>

<file path=xl/ctrlProps/ctrlProp215.xml><?xml version="1.0" encoding="utf-8"?>
<formControlPr xmlns="http://schemas.microsoft.com/office/spreadsheetml/2009/9/main" objectType="CheckBox" fmlaLink="B11" noThreeD="1"/>
</file>

<file path=xl/ctrlProps/ctrlProp216.xml><?xml version="1.0" encoding="utf-8"?>
<formControlPr xmlns="http://schemas.microsoft.com/office/spreadsheetml/2009/9/main" objectType="CheckBox" fmlaLink="B12" noThreeD="1"/>
</file>

<file path=xl/ctrlProps/ctrlProp217.xml><?xml version="1.0" encoding="utf-8"?>
<formControlPr xmlns="http://schemas.microsoft.com/office/spreadsheetml/2009/9/main" objectType="CheckBox" fmlaLink="B13" noThreeD="1"/>
</file>

<file path=xl/ctrlProps/ctrlProp218.xml><?xml version="1.0" encoding="utf-8"?>
<formControlPr xmlns="http://schemas.microsoft.com/office/spreadsheetml/2009/9/main" objectType="CheckBox" fmlaLink="B14" noThreeD="1"/>
</file>

<file path=xl/ctrlProps/ctrlProp219.xml><?xml version="1.0" encoding="utf-8"?>
<formControlPr xmlns="http://schemas.microsoft.com/office/spreadsheetml/2009/9/main" objectType="CheckBox" checked="Checked" fmlaLink="B15" noThreeD="1"/>
</file>

<file path=xl/ctrlProps/ctrlProp220.xml><?xml version="1.0" encoding="utf-8"?>
<formControlPr xmlns="http://schemas.microsoft.com/office/spreadsheetml/2009/9/main" objectType="CheckBox" fmlaLink="B16" noThreeD="1"/>
</file>

<file path=xl/ctrlProps/ctrlProp221.xml><?xml version="1.0" encoding="utf-8"?>
<formControlPr xmlns="http://schemas.microsoft.com/office/spreadsheetml/2009/9/main" objectType="CheckBox" fmlaLink="B17" noThreeD="1"/>
</file>

<file path=xl/ctrlProps/ctrlProp222.xml><?xml version="1.0" encoding="utf-8"?>
<formControlPr xmlns="http://schemas.microsoft.com/office/spreadsheetml/2009/9/main" objectType="CheckBox" checked="Checked" fmlaLink="B5" noThreeD="1"/>
</file>

<file path=xl/ctrlProps/ctrlProp223.xml><?xml version="1.0" encoding="utf-8"?>
<formControlPr xmlns="http://schemas.microsoft.com/office/spreadsheetml/2009/9/main" objectType="CheckBox" fmlaLink="B6" noThreeD="1"/>
</file>

<file path=xl/ctrlProps/ctrlProp224.xml><?xml version="1.0" encoding="utf-8"?>
<formControlPr xmlns="http://schemas.microsoft.com/office/spreadsheetml/2009/9/main" objectType="CheckBox" fmlaLink="B7" noThreeD="1"/>
</file>

<file path=xl/ctrlProps/ctrlProp225.xml><?xml version="1.0" encoding="utf-8"?>
<formControlPr xmlns="http://schemas.microsoft.com/office/spreadsheetml/2009/9/main" objectType="CheckBox" fmlaLink="B8" noThreeD="1"/>
</file>

<file path=xl/ctrlProps/ctrlProp226.xml><?xml version="1.0" encoding="utf-8"?>
<formControlPr xmlns="http://schemas.microsoft.com/office/spreadsheetml/2009/9/main" objectType="CheckBox" fmlaLink="B9" noThreeD="1"/>
</file>

<file path=xl/ctrlProps/ctrlProp227.xml><?xml version="1.0" encoding="utf-8"?>
<formControlPr xmlns="http://schemas.microsoft.com/office/spreadsheetml/2009/9/main" objectType="CheckBox" fmlaLink="B10" noThreeD="1"/>
</file>

<file path=xl/ctrlProps/ctrlProp228.xml><?xml version="1.0" encoding="utf-8"?>
<formControlPr xmlns="http://schemas.microsoft.com/office/spreadsheetml/2009/9/main" objectType="CheckBox" checked="Checked" fmlaLink="B11" noThreeD="1"/>
</file>

<file path=xl/ctrlProps/ctrlProp229.xml><?xml version="1.0" encoding="utf-8"?>
<formControlPr xmlns="http://schemas.microsoft.com/office/spreadsheetml/2009/9/main" objectType="CheckBox" fmlaLink="B12" noThreeD="1"/>
</file>

<file path=xl/ctrlProps/ctrlProp230.xml><?xml version="1.0" encoding="utf-8"?>
<formControlPr xmlns="http://schemas.microsoft.com/office/spreadsheetml/2009/9/main" objectType="CheckBox" fmlaLink="B13" noThreeD="1"/>
</file>

<file path=xl/ctrlProps/ctrlProp231.xml><?xml version="1.0" encoding="utf-8"?>
<formControlPr xmlns="http://schemas.microsoft.com/office/spreadsheetml/2009/9/main" objectType="CheckBox" fmlaLink="B14" noThreeD="1"/>
</file>

<file path=xl/ctrlProps/ctrlProp232.xml><?xml version="1.0" encoding="utf-8"?>
<formControlPr xmlns="http://schemas.microsoft.com/office/spreadsheetml/2009/9/main" objectType="CheckBox" fmlaLink="B15" noThreeD="1"/>
</file>

<file path=xl/ctrlProps/ctrlProp233.xml><?xml version="1.0" encoding="utf-8"?>
<formControlPr xmlns="http://schemas.microsoft.com/office/spreadsheetml/2009/9/main" objectType="CheckBox" fmlaLink="B16" noThreeD="1"/>
</file>

<file path=xl/ctrlProps/ctrlProp234.xml><?xml version="1.0" encoding="utf-8"?>
<formControlPr xmlns="http://schemas.microsoft.com/office/spreadsheetml/2009/9/main" objectType="CheckBox" fmlaLink="B17" noThreeD="1"/>
</file>

<file path=xl/ctrlProps/ctrlProp235.xml><?xml version="1.0" encoding="utf-8"?>
<formControlPr xmlns="http://schemas.microsoft.com/office/spreadsheetml/2009/9/main" objectType="CheckBox" checked="Checked" fmlaLink="B5" noThreeD="1"/>
</file>

<file path=xl/ctrlProps/ctrlProp236.xml><?xml version="1.0" encoding="utf-8"?>
<formControlPr xmlns="http://schemas.microsoft.com/office/spreadsheetml/2009/9/main" objectType="CheckBox" fmlaLink="B6" noThreeD="1"/>
</file>

<file path=xl/ctrlProps/ctrlProp237.xml><?xml version="1.0" encoding="utf-8"?>
<formControlPr xmlns="http://schemas.microsoft.com/office/spreadsheetml/2009/9/main" objectType="CheckBox" checked="Checked" fmlaLink="B7" noThreeD="1"/>
</file>

<file path=xl/ctrlProps/ctrlProp238.xml><?xml version="1.0" encoding="utf-8"?>
<formControlPr xmlns="http://schemas.microsoft.com/office/spreadsheetml/2009/9/main" objectType="CheckBox" fmlaLink="B8" noThreeD="1"/>
</file>

<file path=xl/ctrlProps/ctrlProp239.xml><?xml version="1.0" encoding="utf-8"?>
<formControlPr xmlns="http://schemas.microsoft.com/office/spreadsheetml/2009/9/main" objectType="CheckBox" fmlaLink="B9" noThreeD="1"/>
</file>

<file path=xl/ctrlProps/ctrlProp240.xml><?xml version="1.0" encoding="utf-8"?>
<formControlPr xmlns="http://schemas.microsoft.com/office/spreadsheetml/2009/9/main" objectType="CheckBox" fmlaLink="B10" noThreeD="1"/>
</file>

<file path=xl/ctrlProps/ctrlProp241.xml><?xml version="1.0" encoding="utf-8"?>
<formControlPr xmlns="http://schemas.microsoft.com/office/spreadsheetml/2009/9/main" objectType="CheckBox" fmlaLink="B11" noThreeD="1"/>
</file>

<file path=xl/ctrlProps/ctrlProp242.xml><?xml version="1.0" encoding="utf-8"?>
<formControlPr xmlns="http://schemas.microsoft.com/office/spreadsheetml/2009/9/main" objectType="CheckBox" fmlaLink="B12" noThreeD="1"/>
</file>

<file path=xl/ctrlProps/ctrlProp243.xml><?xml version="1.0" encoding="utf-8"?>
<formControlPr xmlns="http://schemas.microsoft.com/office/spreadsheetml/2009/9/main" objectType="CheckBox" checked="Checked" fmlaLink="B13" noThreeD="1"/>
</file>

<file path=xl/ctrlProps/ctrlProp244.xml><?xml version="1.0" encoding="utf-8"?>
<formControlPr xmlns="http://schemas.microsoft.com/office/spreadsheetml/2009/9/main" objectType="CheckBox" fmlaLink="B14" noThreeD="1"/>
</file>

<file path=xl/ctrlProps/ctrlProp245.xml><?xml version="1.0" encoding="utf-8"?>
<formControlPr xmlns="http://schemas.microsoft.com/office/spreadsheetml/2009/9/main" objectType="CheckBox" fmlaLink="B15" noThreeD="1"/>
</file>

<file path=xl/ctrlProps/ctrlProp246.xml><?xml version="1.0" encoding="utf-8"?>
<formControlPr xmlns="http://schemas.microsoft.com/office/spreadsheetml/2009/9/main" objectType="CheckBox" fmlaLink="B16" noThreeD="1"/>
</file>

<file path=xl/ctrlProps/ctrlProp247.xml><?xml version="1.0" encoding="utf-8"?>
<formControlPr xmlns="http://schemas.microsoft.com/office/spreadsheetml/2009/9/main" objectType="CheckBox" fmlaLink="B17" noThreeD="1"/>
</file>

<file path=xl/ctrlProps/ctrlProp248.xml><?xml version="1.0" encoding="utf-8"?>
<formControlPr xmlns="http://schemas.microsoft.com/office/spreadsheetml/2009/9/main" objectType="CheckBox" checked="Checked" fmlaLink="B5" noThreeD="1"/>
</file>

<file path=xl/ctrlProps/ctrlProp249.xml><?xml version="1.0" encoding="utf-8"?>
<formControlPr xmlns="http://schemas.microsoft.com/office/spreadsheetml/2009/9/main" objectType="CheckBox" fmlaLink="B6" noThreeD="1"/>
</file>

<file path=xl/ctrlProps/ctrlProp250.xml><?xml version="1.0" encoding="utf-8"?>
<formControlPr xmlns="http://schemas.microsoft.com/office/spreadsheetml/2009/9/main" objectType="CheckBox" fmlaLink="B7" noThreeD="1"/>
</file>

<file path=xl/ctrlProps/ctrlProp251.xml><?xml version="1.0" encoding="utf-8"?>
<formControlPr xmlns="http://schemas.microsoft.com/office/spreadsheetml/2009/9/main" objectType="CheckBox" fmlaLink="B8" noThreeD="1"/>
</file>

<file path=xl/ctrlProps/ctrlProp252.xml><?xml version="1.0" encoding="utf-8"?>
<formControlPr xmlns="http://schemas.microsoft.com/office/spreadsheetml/2009/9/main" objectType="CheckBox" fmlaLink="B9" noThreeD="1"/>
</file>

<file path=xl/ctrlProps/ctrlProp253.xml><?xml version="1.0" encoding="utf-8"?>
<formControlPr xmlns="http://schemas.microsoft.com/office/spreadsheetml/2009/9/main" objectType="CheckBox" fmlaLink="B10" noThreeD="1"/>
</file>

<file path=xl/ctrlProps/ctrlProp254.xml><?xml version="1.0" encoding="utf-8"?>
<formControlPr xmlns="http://schemas.microsoft.com/office/spreadsheetml/2009/9/main" objectType="CheckBox" fmlaLink="B11" noThreeD="1"/>
</file>

<file path=xl/ctrlProps/ctrlProp255.xml><?xml version="1.0" encoding="utf-8"?>
<formControlPr xmlns="http://schemas.microsoft.com/office/spreadsheetml/2009/9/main" objectType="CheckBox" fmlaLink="B12" noThreeD="1"/>
</file>

<file path=xl/ctrlProps/ctrlProp256.xml><?xml version="1.0" encoding="utf-8"?>
<formControlPr xmlns="http://schemas.microsoft.com/office/spreadsheetml/2009/9/main" objectType="CheckBox" fmlaLink="B13" noThreeD="1"/>
</file>

<file path=xl/ctrlProps/ctrlProp257.xml><?xml version="1.0" encoding="utf-8"?>
<formControlPr xmlns="http://schemas.microsoft.com/office/spreadsheetml/2009/9/main" objectType="CheckBox" checked="Checked" fmlaLink="B14" noThreeD="1"/>
</file>

<file path=xl/ctrlProps/ctrlProp258.xml><?xml version="1.0" encoding="utf-8"?>
<formControlPr xmlns="http://schemas.microsoft.com/office/spreadsheetml/2009/9/main" objectType="CheckBox" fmlaLink="B15" noThreeD="1"/>
</file>

<file path=xl/ctrlProps/ctrlProp259.xml><?xml version="1.0" encoding="utf-8"?>
<formControlPr xmlns="http://schemas.microsoft.com/office/spreadsheetml/2009/9/main" objectType="CheckBox" fmlaLink="B16" noThreeD="1"/>
</file>

<file path=xl/ctrlProps/ctrlProp260.xml><?xml version="1.0" encoding="utf-8"?>
<formControlPr xmlns="http://schemas.microsoft.com/office/spreadsheetml/2009/9/main" objectType="CheckBox" fmlaLink="B17" noThreeD="1"/>
</file>

<file path=xl/ctrlProps/ctrlProp261.xml><?xml version="1.0" encoding="utf-8"?>
<formControlPr xmlns="http://schemas.microsoft.com/office/spreadsheetml/2009/9/main" objectType="CheckBox" checked="Checked" fmlaLink="B5" noThreeD="1"/>
</file>

<file path=xl/ctrlProps/ctrlProp262.xml><?xml version="1.0" encoding="utf-8"?>
<formControlPr xmlns="http://schemas.microsoft.com/office/spreadsheetml/2009/9/main" objectType="CheckBox" fmlaLink="B6" noThreeD="1"/>
</file>

<file path=xl/ctrlProps/ctrlProp263.xml><?xml version="1.0" encoding="utf-8"?>
<formControlPr xmlns="http://schemas.microsoft.com/office/spreadsheetml/2009/9/main" objectType="CheckBox" fmlaLink="B7" noThreeD="1"/>
</file>

<file path=xl/ctrlProps/ctrlProp264.xml><?xml version="1.0" encoding="utf-8"?>
<formControlPr xmlns="http://schemas.microsoft.com/office/spreadsheetml/2009/9/main" objectType="CheckBox" fmlaLink="B8" noThreeD="1"/>
</file>

<file path=xl/ctrlProps/ctrlProp265.xml><?xml version="1.0" encoding="utf-8"?>
<formControlPr xmlns="http://schemas.microsoft.com/office/spreadsheetml/2009/9/main" objectType="CheckBox" fmlaLink="B9" noThreeD="1"/>
</file>

<file path=xl/ctrlProps/ctrlProp266.xml><?xml version="1.0" encoding="utf-8"?>
<formControlPr xmlns="http://schemas.microsoft.com/office/spreadsheetml/2009/9/main" objectType="CheckBox" fmlaLink="B10" noThreeD="1"/>
</file>

<file path=xl/ctrlProps/ctrlProp267.xml><?xml version="1.0" encoding="utf-8"?>
<formControlPr xmlns="http://schemas.microsoft.com/office/spreadsheetml/2009/9/main" objectType="CheckBox" fmlaLink="B11" noThreeD="1"/>
</file>

<file path=xl/ctrlProps/ctrlProp268.xml><?xml version="1.0" encoding="utf-8"?>
<formControlPr xmlns="http://schemas.microsoft.com/office/spreadsheetml/2009/9/main" objectType="CheckBox" fmlaLink="B12" noThreeD="1"/>
</file>

<file path=xl/ctrlProps/ctrlProp269.xml><?xml version="1.0" encoding="utf-8"?>
<formControlPr xmlns="http://schemas.microsoft.com/office/spreadsheetml/2009/9/main" objectType="CheckBox" fmlaLink="B13" noThreeD="1"/>
</file>

<file path=xl/ctrlProps/ctrlProp270.xml><?xml version="1.0" encoding="utf-8"?>
<formControlPr xmlns="http://schemas.microsoft.com/office/spreadsheetml/2009/9/main" objectType="CheckBox" fmlaLink="B14" noThreeD="1"/>
</file>

<file path=xl/ctrlProps/ctrlProp271.xml><?xml version="1.0" encoding="utf-8"?>
<formControlPr xmlns="http://schemas.microsoft.com/office/spreadsheetml/2009/9/main" objectType="CheckBox" fmlaLink="B15" noThreeD="1"/>
</file>

<file path=xl/ctrlProps/ctrlProp272.xml><?xml version="1.0" encoding="utf-8"?>
<formControlPr xmlns="http://schemas.microsoft.com/office/spreadsheetml/2009/9/main" objectType="CheckBox" checked="Checked" fmlaLink="B16" noThreeD="1"/>
</file>

<file path=xl/ctrlProps/ctrlProp273.xml><?xml version="1.0" encoding="utf-8"?>
<formControlPr xmlns="http://schemas.microsoft.com/office/spreadsheetml/2009/9/main" objectType="CheckBox" fmlaLink="B17" noThreeD="1"/>
</file>

<file path=xl/ctrlProps/ctrlProp274.xml><?xml version="1.0" encoding="utf-8"?>
<formControlPr xmlns="http://schemas.microsoft.com/office/spreadsheetml/2009/9/main" objectType="CheckBox" fmlaLink="B5" noThreeD="1"/>
</file>

<file path=xl/ctrlProps/ctrlProp275.xml><?xml version="1.0" encoding="utf-8"?>
<formControlPr xmlns="http://schemas.microsoft.com/office/spreadsheetml/2009/9/main" objectType="CheckBox" checked="Checked" fmlaLink="B6" noThreeD="1"/>
</file>

<file path=xl/ctrlProps/ctrlProp276.xml><?xml version="1.0" encoding="utf-8"?>
<formControlPr xmlns="http://schemas.microsoft.com/office/spreadsheetml/2009/9/main" objectType="CheckBox" checked="Checked" fmlaLink="B7" noThreeD="1"/>
</file>

<file path=xl/ctrlProps/ctrlProp277.xml><?xml version="1.0" encoding="utf-8"?>
<formControlPr xmlns="http://schemas.microsoft.com/office/spreadsheetml/2009/9/main" objectType="CheckBox" fmlaLink="B8" noThreeD="1"/>
</file>

<file path=xl/ctrlProps/ctrlProp278.xml><?xml version="1.0" encoding="utf-8"?>
<formControlPr xmlns="http://schemas.microsoft.com/office/spreadsheetml/2009/9/main" objectType="CheckBox" fmlaLink="B9" noThreeD="1"/>
</file>

<file path=xl/ctrlProps/ctrlProp279.xml><?xml version="1.0" encoding="utf-8"?>
<formControlPr xmlns="http://schemas.microsoft.com/office/spreadsheetml/2009/9/main" objectType="CheckBox" fmlaLink="B10" noThreeD="1"/>
</file>

<file path=xl/ctrlProps/ctrlProp280.xml><?xml version="1.0" encoding="utf-8"?>
<formControlPr xmlns="http://schemas.microsoft.com/office/spreadsheetml/2009/9/main" objectType="CheckBox" checked="Checked" fmlaLink="B11" noThreeD="1"/>
</file>

<file path=xl/ctrlProps/ctrlProp281.xml><?xml version="1.0" encoding="utf-8"?>
<formControlPr xmlns="http://schemas.microsoft.com/office/spreadsheetml/2009/9/main" objectType="CheckBox" fmlaLink="B12" noThreeD="1"/>
</file>

<file path=xl/ctrlProps/ctrlProp282.xml><?xml version="1.0" encoding="utf-8"?>
<formControlPr xmlns="http://schemas.microsoft.com/office/spreadsheetml/2009/9/main" objectType="CheckBox" fmlaLink="B13" noThreeD="1"/>
</file>

<file path=xl/ctrlProps/ctrlProp283.xml><?xml version="1.0" encoding="utf-8"?>
<formControlPr xmlns="http://schemas.microsoft.com/office/spreadsheetml/2009/9/main" objectType="CheckBox" fmlaLink="B14" noThreeD="1"/>
</file>

<file path=xl/ctrlProps/ctrlProp284.xml><?xml version="1.0" encoding="utf-8"?>
<formControlPr xmlns="http://schemas.microsoft.com/office/spreadsheetml/2009/9/main" objectType="CheckBox" fmlaLink="B15" noThreeD="1"/>
</file>

<file path=xl/ctrlProps/ctrlProp285.xml><?xml version="1.0" encoding="utf-8"?>
<formControlPr xmlns="http://schemas.microsoft.com/office/spreadsheetml/2009/9/main" objectType="CheckBox" fmlaLink="B16" noThreeD="1"/>
</file>

<file path=xl/ctrlProps/ctrlProp286.xml><?xml version="1.0" encoding="utf-8"?>
<formControlPr xmlns="http://schemas.microsoft.com/office/spreadsheetml/2009/9/main" objectType="CheckBox" fmlaLink="B17" noThreeD="1"/>
</file>

<file path=xl/ctrlProps/ctrlProp287.xml><?xml version="1.0" encoding="utf-8"?>
<formControlPr xmlns="http://schemas.microsoft.com/office/spreadsheetml/2009/9/main" objectType="CheckBox" fmlaLink="B5" noThreeD="1"/>
</file>

<file path=xl/ctrlProps/ctrlProp288.xml><?xml version="1.0" encoding="utf-8"?>
<formControlPr xmlns="http://schemas.microsoft.com/office/spreadsheetml/2009/9/main" objectType="CheckBox" fmlaLink="B6" noThreeD="1"/>
</file>

<file path=xl/ctrlProps/ctrlProp289.xml><?xml version="1.0" encoding="utf-8"?>
<formControlPr xmlns="http://schemas.microsoft.com/office/spreadsheetml/2009/9/main" objectType="CheckBox" checked="Checked" fmlaLink="B7" noThreeD="1"/>
</file>

<file path=xl/ctrlProps/ctrlProp290.xml><?xml version="1.0" encoding="utf-8"?>
<formControlPr xmlns="http://schemas.microsoft.com/office/spreadsheetml/2009/9/main" objectType="CheckBox" fmlaLink="B8" noThreeD="1"/>
</file>

<file path=xl/ctrlProps/ctrlProp291.xml><?xml version="1.0" encoding="utf-8"?>
<formControlPr xmlns="http://schemas.microsoft.com/office/spreadsheetml/2009/9/main" objectType="CheckBox" fmlaLink="B9" noThreeD="1"/>
</file>

<file path=xl/ctrlProps/ctrlProp292.xml><?xml version="1.0" encoding="utf-8"?>
<formControlPr xmlns="http://schemas.microsoft.com/office/spreadsheetml/2009/9/main" objectType="CheckBox" checked="Checked" fmlaLink="B10" noThreeD="1"/>
</file>

<file path=xl/ctrlProps/ctrlProp293.xml><?xml version="1.0" encoding="utf-8"?>
<formControlPr xmlns="http://schemas.microsoft.com/office/spreadsheetml/2009/9/main" objectType="CheckBox" fmlaLink="B11" noThreeD="1"/>
</file>

<file path=xl/ctrlProps/ctrlProp294.xml><?xml version="1.0" encoding="utf-8"?>
<formControlPr xmlns="http://schemas.microsoft.com/office/spreadsheetml/2009/9/main" objectType="CheckBox" fmlaLink="B12" noThreeD="1"/>
</file>

<file path=xl/ctrlProps/ctrlProp295.xml><?xml version="1.0" encoding="utf-8"?>
<formControlPr xmlns="http://schemas.microsoft.com/office/spreadsheetml/2009/9/main" objectType="CheckBox" fmlaLink="B13" noThreeD="1"/>
</file>

<file path=xl/ctrlProps/ctrlProp296.xml><?xml version="1.0" encoding="utf-8"?>
<formControlPr xmlns="http://schemas.microsoft.com/office/spreadsheetml/2009/9/main" objectType="CheckBox" fmlaLink="B14" noThreeD="1"/>
</file>

<file path=xl/ctrlProps/ctrlProp297.xml><?xml version="1.0" encoding="utf-8"?>
<formControlPr xmlns="http://schemas.microsoft.com/office/spreadsheetml/2009/9/main" objectType="CheckBox" fmlaLink="B15" noThreeD="1"/>
</file>

<file path=xl/ctrlProps/ctrlProp298.xml><?xml version="1.0" encoding="utf-8"?>
<formControlPr xmlns="http://schemas.microsoft.com/office/spreadsheetml/2009/9/main" objectType="CheckBox" fmlaLink="B16" noThreeD="1"/>
</file>

<file path=xl/ctrlProps/ctrlProp299.xml><?xml version="1.0" encoding="utf-8"?>
<formControlPr xmlns="http://schemas.microsoft.com/office/spreadsheetml/2009/9/main" objectType="CheckBox" fmlaLink="B17" noThreeD="1"/>
</file>

<file path=xl/ctrlProps/ctrlProp300.xml><?xml version="1.0" encoding="utf-8"?>
<formControlPr xmlns="http://schemas.microsoft.com/office/spreadsheetml/2009/9/main" objectType="CheckBox" fmlaLink="B5" noThreeD="1"/>
</file>

<file path=xl/ctrlProps/ctrlProp301.xml><?xml version="1.0" encoding="utf-8"?>
<formControlPr xmlns="http://schemas.microsoft.com/office/spreadsheetml/2009/9/main" objectType="CheckBox" fmlaLink="B6" noThreeD="1"/>
</file>

<file path=xl/ctrlProps/ctrlProp302.xml><?xml version="1.0" encoding="utf-8"?>
<formControlPr xmlns="http://schemas.microsoft.com/office/spreadsheetml/2009/9/main" objectType="CheckBox" fmlaLink="B7" noThreeD="1"/>
</file>

<file path=xl/ctrlProps/ctrlProp303.xml><?xml version="1.0" encoding="utf-8"?>
<formControlPr xmlns="http://schemas.microsoft.com/office/spreadsheetml/2009/9/main" objectType="CheckBox" checked="Checked" fmlaLink="B8" noThreeD="1"/>
</file>

<file path=xl/ctrlProps/ctrlProp304.xml><?xml version="1.0" encoding="utf-8"?>
<formControlPr xmlns="http://schemas.microsoft.com/office/spreadsheetml/2009/9/main" objectType="CheckBox" fmlaLink="B9" noThreeD="1"/>
</file>

<file path=xl/ctrlProps/ctrlProp305.xml><?xml version="1.0" encoding="utf-8"?>
<formControlPr xmlns="http://schemas.microsoft.com/office/spreadsheetml/2009/9/main" objectType="CheckBox" fmlaLink="B10" noThreeD="1"/>
</file>

<file path=xl/ctrlProps/ctrlProp306.xml><?xml version="1.0" encoding="utf-8"?>
<formControlPr xmlns="http://schemas.microsoft.com/office/spreadsheetml/2009/9/main" objectType="CheckBox" fmlaLink="B11" noThreeD="1"/>
</file>

<file path=xl/ctrlProps/ctrlProp307.xml><?xml version="1.0" encoding="utf-8"?>
<formControlPr xmlns="http://schemas.microsoft.com/office/spreadsheetml/2009/9/main" objectType="CheckBox" fmlaLink="B12" noThreeD="1"/>
</file>

<file path=xl/ctrlProps/ctrlProp308.xml><?xml version="1.0" encoding="utf-8"?>
<formControlPr xmlns="http://schemas.microsoft.com/office/spreadsheetml/2009/9/main" objectType="CheckBox" fmlaLink="B13" noThreeD="1"/>
</file>

<file path=xl/ctrlProps/ctrlProp309.xml><?xml version="1.0" encoding="utf-8"?>
<formControlPr xmlns="http://schemas.microsoft.com/office/spreadsheetml/2009/9/main" objectType="CheckBox" fmlaLink="B14" noThreeD="1"/>
</file>

<file path=xl/ctrlProps/ctrlProp310.xml><?xml version="1.0" encoding="utf-8"?>
<formControlPr xmlns="http://schemas.microsoft.com/office/spreadsheetml/2009/9/main" objectType="CheckBox" fmlaLink="B15" noThreeD="1"/>
</file>

<file path=xl/ctrlProps/ctrlProp311.xml><?xml version="1.0" encoding="utf-8"?>
<formControlPr xmlns="http://schemas.microsoft.com/office/spreadsheetml/2009/9/main" objectType="CheckBox" checked="Checked" fmlaLink="B16" noThreeD="1"/>
</file>

<file path=xl/ctrlProps/ctrlProp312.xml><?xml version="1.0" encoding="utf-8"?>
<formControlPr xmlns="http://schemas.microsoft.com/office/spreadsheetml/2009/9/main" objectType="CheckBox" fmlaLink="B17" noThreeD="1"/>
</file>

<file path=xl/ctrlProps/ctrlProp313.xml><?xml version="1.0" encoding="utf-8"?>
<formControlPr xmlns="http://schemas.microsoft.com/office/spreadsheetml/2009/9/main" objectType="CheckBox" checked="Checked" fmlaLink="B5" noThreeD="1"/>
</file>

<file path=xl/ctrlProps/ctrlProp314.xml><?xml version="1.0" encoding="utf-8"?>
<formControlPr xmlns="http://schemas.microsoft.com/office/spreadsheetml/2009/9/main" objectType="CheckBox" fmlaLink="B6" noThreeD="1"/>
</file>

<file path=xl/ctrlProps/ctrlProp315.xml><?xml version="1.0" encoding="utf-8"?>
<formControlPr xmlns="http://schemas.microsoft.com/office/spreadsheetml/2009/9/main" objectType="CheckBox" fmlaLink="B7" noThreeD="1"/>
</file>

<file path=xl/ctrlProps/ctrlProp316.xml><?xml version="1.0" encoding="utf-8"?>
<formControlPr xmlns="http://schemas.microsoft.com/office/spreadsheetml/2009/9/main" objectType="CheckBox" fmlaLink="B8" noThreeD="1"/>
</file>

<file path=xl/ctrlProps/ctrlProp317.xml><?xml version="1.0" encoding="utf-8"?>
<formControlPr xmlns="http://schemas.microsoft.com/office/spreadsheetml/2009/9/main" objectType="CheckBox" fmlaLink="B9" noThreeD="1"/>
</file>

<file path=xl/ctrlProps/ctrlProp318.xml><?xml version="1.0" encoding="utf-8"?>
<formControlPr xmlns="http://schemas.microsoft.com/office/spreadsheetml/2009/9/main" objectType="CheckBox" fmlaLink="B10" noThreeD="1"/>
</file>

<file path=xl/ctrlProps/ctrlProp319.xml><?xml version="1.0" encoding="utf-8"?>
<formControlPr xmlns="http://schemas.microsoft.com/office/spreadsheetml/2009/9/main" objectType="CheckBox" fmlaLink="B11" noThreeD="1"/>
</file>

<file path=xl/ctrlProps/ctrlProp320.xml><?xml version="1.0" encoding="utf-8"?>
<formControlPr xmlns="http://schemas.microsoft.com/office/spreadsheetml/2009/9/main" objectType="CheckBox" fmlaLink="B12" noThreeD="1"/>
</file>

<file path=xl/ctrlProps/ctrlProp321.xml><?xml version="1.0" encoding="utf-8"?>
<formControlPr xmlns="http://schemas.microsoft.com/office/spreadsheetml/2009/9/main" objectType="CheckBox" checked="Checked" fmlaLink="B13" noThreeD="1"/>
</file>

<file path=xl/ctrlProps/ctrlProp322.xml><?xml version="1.0" encoding="utf-8"?>
<formControlPr xmlns="http://schemas.microsoft.com/office/spreadsheetml/2009/9/main" objectType="CheckBox" fmlaLink="B14" noThreeD="1"/>
</file>

<file path=xl/ctrlProps/ctrlProp323.xml><?xml version="1.0" encoding="utf-8"?>
<formControlPr xmlns="http://schemas.microsoft.com/office/spreadsheetml/2009/9/main" objectType="CheckBox" fmlaLink="B15" noThreeD="1"/>
</file>

<file path=xl/ctrlProps/ctrlProp324.xml><?xml version="1.0" encoding="utf-8"?>
<formControlPr xmlns="http://schemas.microsoft.com/office/spreadsheetml/2009/9/main" objectType="CheckBox" fmlaLink="B16" noThreeD="1"/>
</file>

<file path=xl/ctrlProps/ctrlProp325.xml><?xml version="1.0" encoding="utf-8"?>
<formControlPr xmlns="http://schemas.microsoft.com/office/spreadsheetml/2009/9/main" objectType="CheckBox" fmlaLink="B17"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79873" name="Check Box 1" hidden="1">
              <a:extLst>
                <a:ext uri="{63B3BB69-23CF-44E3-9099-C40C66FF867C}">
                  <a14:compatExt spid="_x0000_s79873"/>
                </a:ext>
                <a:ext uri="{FF2B5EF4-FFF2-40B4-BE49-F238E27FC236}">
                  <a16:creationId xmlns:a16="http://schemas.microsoft.com/office/drawing/2014/main" id="{00000000-0008-0000-0200-000001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79874" name="Check Box 2" hidden="1">
              <a:extLst>
                <a:ext uri="{63B3BB69-23CF-44E3-9099-C40C66FF867C}">
                  <a14:compatExt spid="_x0000_s79874"/>
                </a:ext>
                <a:ext uri="{FF2B5EF4-FFF2-40B4-BE49-F238E27FC236}">
                  <a16:creationId xmlns:a16="http://schemas.microsoft.com/office/drawing/2014/main" id="{00000000-0008-0000-0200-000002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79875" name="Check Box 3" hidden="1">
              <a:extLst>
                <a:ext uri="{63B3BB69-23CF-44E3-9099-C40C66FF867C}">
                  <a14:compatExt spid="_x0000_s79875"/>
                </a:ext>
                <a:ext uri="{FF2B5EF4-FFF2-40B4-BE49-F238E27FC236}">
                  <a16:creationId xmlns:a16="http://schemas.microsoft.com/office/drawing/2014/main" id="{00000000-0008-0000-0200-000003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79876" name="Check Box 4" hidden="1">
              <a:extLst>
                <a:ext uri="{63B3BB69-23CF-44E3-9099-C40C66FF867C}">
                  <a14:compatExt spid="_x0000_s79876"/>
                </a:ext>
                <a:ext uri="{FF2B5EF4-FFF2-40B4-BE49-F238E27FC236}">
                  <a16:creationId xmlns:a16="http://schemas.microsoft.com/office/drawing/2014/main" id="{00000000-0008-0000-0200-000004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79877" name="Check Box 5" hidden="1">
              <a:extLst>
                <a:ext uri="{63B3BB69-23CF-44E3-9099-C40C66FF867C}">
                  <a14:compatExt spid="_x0000_s79877"/>
                </a:ext>
                <a:ext uri="{FF2B5EF4-FFF2-40B4-BE49-F238E27FC236}">
                  <a16:creationId xmlns:a16="http://schemas.microsoft.com/office/drawing/2014/main" id="{00000000-0008-0000-0200-000005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79878" name="Check Box 6" hidden="1">
              <a:extLst>
                <a:ext uri="{63B3BB69-23CF-44E3-9099-C40C66FF867C}">
                  <a14:compatExt spid="_x0000_s79878"/>
                </a:ext>
                <a:ext uri="{FF2B5EF4-FFF2-40B4-BE49-F238E27FC236}">
                  <a16:creationId xmlns:a16="http://schemas.microsoft.com/office/drawing/2014/main" id="{00000000-0008-0000-0200-000006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79879" name="Check Box 7" hidden="1">
              <a:extLst>
                <a:ext uri="{63B3BB69-23CF-44E3-9099-C40C66FF867C}">
                  <a14:compatExt spid="_x0000_s79879"/>
                </a:ext>
                <a:ext uri="{FF2B5EF4-FFF2-40B4-BE49-F238E27FC236}">
                  <a16:creationId xmlns:a16="http://schemas.microsoft.com/office/drawing/2014/main" id="{00000000-0008-0000-0200-000007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79880" name="Check Box 8" hidden="1">
              <a:extLst>
                <a:ext uri="{63B3BB69-23CF-44E3-9099-C40C66FF867C}">
                  <a14:compatExt spid="_x0000_s79880"/>
                </a:ext>
                <a:ext uri="{FF2B5EF4-FFF2-40B4-BE49-F238E27FC236}">
                  <a16:creationId xmlns:a16="http://schemas.microsoft.com/office/drawing/2014/main" id="{00000000-0008-0000-0200-000008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79881" name="Check Box 9" hidden="1">
              <a:extLst>
                <a:ext uri="{63B3BB69-23CF-44E3-9099-C40C66FF867C}">
                  <a14:compatExt spid="_x0000_s79881"/>
                </a:ext>
                <a:ext uri="{FF2B5EF4-FFF2-40B4-BE49-F238E27FC236}">
                  <a16:creationId xmlns:a16="http://schemas.microsoft.com/office/drawing/2014/main" id="{00000000-0008-0000-0200-000009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79882" name="Check Box 10" hidden="1">
              <a:extLst>
                <a:ext uri="{63B3BB69-23CF-44E3-9099-C40C66FF867C}">
                  <a14:compatExt spid="_x0000_s79882"/>
                </a:ext>
                <a:ext uri="{FF2B5EF4-FFF2-40B4-BE49-F238E27FC236}">
                  <a16:creationId xmlns:a16="http://schemas.microsoft.com/office/drawing/2014/main" id="{00000000-0008-0000-0200-00000A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79883" name="Check Box 11" hidden="1">
              <a:extLst>
                <a:ext uri="{63B3BB69-23CF-44E3-9099-C40C66FF867C}">
                  <a14:compatExt spid="_x0000_s79883"/>
                </a:ext>
                <a:ext uri="{FF2B5EF4-FFF2-40B4-BE49-F238E27FC236}">
                  <a16:creationId xmlns:a16="http://schemas.microsoft.com/office/drawing/2014/main" id="{00000000-0008-0000-0200-00000B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79884" name="Check Box 12" hidden="1">
              <a:extLst>
                <a:ext uri="{63B3BB69-23CF-44E3-9099-C40C66FF867C}">
                  <a14:compatExt spid="_x0000_s79884"/>
                </a:ext>
                <a:ext uri="{FF2B5EF4-FFF2-40B4-BE49-F238E27FC236}">
                  <a16:creationId xmlns:a16="http://schemas.microsoft.com/office/drawing/2014/main" id="{00000000-0008-0000-0200-00000C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79885" name="Check Box 13" hidden="1">
              <a:extLst>
                <a:ext uri="{63B3BB69-23CF-44E3-9099-C40C66FF867C}">
                  <a14:compatExt spid="_x0000_s79885"/>
                </a:ext>
                <a:ext uri="{FF2B5EF4-FFF2-40B4-BE49-F238E27FC236}">
                  <a16:creationId xmlns:a16="http://schemas.microsoft.com/office/drawing/2014/main" id="{00000000-0008-0000-0200-00000D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87393" name="Check Box 1" hidden="1">
              <a:extLst>
                <a:ext uri="{63B3BB69-23CF-44E3-9099-C40C66FF867C}">
                  <a14:compatExt spid="_x0000_s187393"/>
                </a:ext>
                <a:ext uri="{FF2B5EF4-FFF2-40B4-BE49-F238E27FC236}">
                  <a16:creationId xmlns:a16="http://schemas.microsoft.com/office/drawing/2014/main" id="{00000000-0008-0000-0300-000001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87394" name="Check Box 2" hidden="1">
              <a:extLst>
                <a:ext uri="{63B3BB69-23CF-44E3-9099-C40C66FF867C}">
                  <a14:compatExt spid="_x0000_s187394"/>
                </a:ext>
                <a:ext uri="{FF2B5EF4-FFF2-40B4-BE49-F238E27FC236}">
                  <a16:creationId xmlns:a16="http://schemas.microsoft.com/office/drawing/2014/main" id="{00000000-0008-0000-0300-000002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87395" name="Check Box 3" hidden="1">
              <a:extLst>
                <a:ext uri="{63B3BB69-23CF-44E3-9099-C40C66FF867C}">
                  <a14:compatExt spid="_x0000_s187395"/>
                </a:ext>
                <a:ext uri="{FF2B5EF4-FFF2-40B4-BE49-F238E27FC236}">
                  <a16:creationId xmlns:a16="http://schemas.microsoft.com/office/drawing/2014/main" id="{00000000-0008-0000-0300-000003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87396" name="Check Box 4" hidden="1">
              <a:extLst>
                <a:ext uri="{63B3BB69-23CF-44E3-9099-C40C66FF867C}">
                  <a14:compatExt spid="_x0000_s187396"/>
                </a:ext>
                <a:ext uri="{FF2B5EF4-FFF2-40B4-BE49-F238E27FC236}">
                  <a16:creationId xmlns:a16="http://schemas.microsoft.com/office/drawing/2014/main" id="{00000000-0008-0000-0300-000004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87397" name="Check Box 5" hidden="1">
              <a:extLst>
                <a:ext uri="{63B3BB69-23CF-44E3-9099-C40C66FF867C}">
                  <a14:compatExt spid="_x0000_s187397"/>
                </a:ext>
                <a:ext uri="{FF2B5EF4-FFF2-40B4-BE49-F238E27FC236}">
                  <a16:creationId xmlns:a16="http://schemas.microsoft.com/office/drawing/2014/main" id="{00000000-0008-0000-0300-000005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87398" name="Check Box 6" hidden="1">
              <a:extLst>
                <a:ext uri="{63B3BB69-23CF-44E3-9099-C40C66FF867C}">
                  <a14:compatExt spid="_x0000_s187398"/>
                </a:ext>
                <a:ext uri="{FF2B5EF4-FFF2-40B4-BE49-F238E27FC236}">
                  <a16:creationId xmlns:a16="http://schemas.microsoft.com/office/drawing/2014/main" id="{00000000-0008-0000-0300-000006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87399" name="Check Box 7" hidden="1">
              <a:extLst>
                <a:ext uri="{63B3BB69-23CF-44E3-9099-C40C66FF867C}">
                  <a14:compatExt spid="_x0000_s187399"/>
                </a:ext>
                <a:ext uri="{FF2B5EF4-FFF2-40B4-BE49-F238E27FC236}">
                  <a16:creationId xmlns:a16="http://schemas.microsoft.com/office/drawing/2014/main" id="{00000000-0008-0000-0300-000007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87400" name="Check Box 8" hidden="1">
              <a:extLst>
                <a:ext uri="{63B3BB69-23CF-44E3-9099-C40C66FF867C}">
                  <a14:compatExt spid="_x0000_s187400"/>
                </a:ext>
                <a:ext uri="{FF2B5EF4-FFF2-40B4-BE49-F238E27FC236}">
                  <a16:creationId xmlns:a16="http://schemas.microsoft.com/office/drawing/2014/main" id="{00000000-0008-0000-0300-000008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87401" name="Check Box 9" hidden="1">
              <a:extLst>
                <a:ext uri="{63B3BB69-23CF-44E3-9099-C40C66FF867C}">
                  <a14:compatExt spid="_x0000_s187401"/>
                </a:ext>
                <a:ext uri="{FF2B5EF4-FFF2-40B4-BE49-F238E27FC236}">
                  <a16:creationId xmlns:a16="http://schemas.microsoft.com/office/drawing/2014/main" id="{00000000-0008-0000-0300-000009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87402" name="Check Box 10" hidden="1">
              <a:extLst>
                <a:ext uri="{63B3BB69-23CF-44E3-9099-C40C66FF867C}">
                  <a14:compatExt spid="_x0000_s187402"/>
                </a:ext>
                <a:ext uri="{FF2B5EF4-FFF2-40B4-BE49-F238E27FC236}">
                  <a16:creationId xmlns:a16="http://schemas.microsoft.com/office/drawing/2014/main" id="{00000000-0008-0000-0300-00000A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87403" name="Check Box 11" hidden="1">
              <a:extLst>
                <a:ext uri="{63B3BB69-23CF-44E3-9099-C40C66FF867C}">
                  <a14:compatExt spid="_x0000_s187403"/>
                </a:ext>
                <a:ext uri="{FF2B5EF4-FFF2-40B4-BE49-F238E27FC236}">
                  <a16:creationId xmlns:a16="http://schemas.microsoft.com/office/drawing/2014/main" id="{00000000-0008-0000-0300-00000B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87404" name="Check Box 12" hidden="1">
              <a:extLst>
                <a:ext uri="{63B3BB69-23CF-44E3-9099-C40C66FF867C}">
                  <a14:compatExt spid="_x0000_s187404"/>
                </a:ext>
                <a:ext uri="{FF2B5EF4-FFF2-40B4-BE49-F238E27FC236}">
                  <a16:creationId xmlns:a16="http://schemas.microsoft.com/office/drawing/2014/main" id="{00000000-0008-0000-0300-00000C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87405" name="Check Box 13" hidden="1">
              <a:extLst>
                <a:ext uri="{63B3BB69-23CF-44E3-9099-C40C66FF867C}">
                  <a14:compatExt spid="_x0000_s187405"/>
                </a:ext>
                <a:ext uri="{FF2B5EF4-FFF2-40B4-BE49-F238E27FC236}">
                  <a16:creationId xmlns:a16="http://schemas.microsoft.com/office/drawing/2014/main" id="{00000000-0008-0000-0300-00000D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25953" name="Check Box 1" hidden="1">
              <a:extLst>
                <a:ext uri="{63B3BB69-23CF-44E3-9099-C40C66FF867C}">
                  <a14:compatExt spid="_x0000_s125953"/>
                </a:ext>
                <a:ext uri="{FF2B5EF4-FFF2-40B4-BE49-F238E27FC236}">
                  <a16:creationId xmlns:a16="http://schemas.microsoft.com/office/drawing/2014/main" id="{00000000-0008-0000-0400-000001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25954" name="Check Box 2" hidden="1">
              <a:extLst>
                <a:ext uri="{63B3BB69-23CF-44E3-9099-C40C66FF867C}">
                  <a14:compatExt spid="_x0000_s125954"/>
                </a:ext>
                <a:ext uri="{FF2B5EF4-FFF2-40B4-BE49-F238E27FC236}">
                  <a16:creationId xmlns:a16="http://schemas.microsoft.com/office/drawing/2014/main" id="{00000000-0008-0000-0400-000002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25955" name="Check Box 3" hidden="1">
              <a:extLst>
                <a:ext uri="{63B3BB69-23CF-44E3-9099-C40C66FF867C}">
                  <a14:compatExt spid="_x0000_s125955"/>
                </a:ext>
                <a:ext uri="{FF2B5EF4-FFF2-40B4-BE49-F238E27FC236}">
                  <a16:creationId xmlns:a16="http://schemas.microsoft.com/office/drawing/2014/main" id="{00000000-0008-0000-0400-000003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25956" name="Check Box 4" hidden="1">
              <a:extLst>
                <a:ext uri="{63B3BB69-23CF-44E3-9099-C40C66FF867C}">
                  <a14:compatExt spid="_x0000_s125956"/>
                </a:ext>
                <a:ext uri="{FF2B5EF4-FFF2-40B4-BE49-F238E27FC236}">
                  <a16:creationId xmlns:a16="http://schemas.microsoft.com/office/drawing/2014/main" id="{00000000-0008-0000-0400-000004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25957" name="Check Box 5" hidden="1">
              <a:extLst>
                <a:ext uri="{63B3BB69-23CF-44E3-9099-C40C66FF867C}">
                  <a14:compatExt spid="_x0000_s125957"/>
                </a:ext>
                <a:ext uri="{FF2B5EF4-FFF2-40B4-BE49-F238E27FC236}">
                  <a16:creationId xmlns:a16="http://schemas.microsoft.com/office/drawing/2014/main" id="{00000000-0008-0000-0400-000005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25958" name="Check Box 6" hidden="1">
              <a:extLst>
                <a:ext uri="{63B3BB69-23CF-44E3-9099-C40C66FF867C}">
                  <a14:compatExt spid="_x0000_s125958"/>
                </a:ext>
                <a:ext uri="{FF2B5EF4-FFF2-40B4-BE49-F238E27FC236}">
                  <a16:creationId xmlns:a16="http://schemas.microsoft.com/office/drawing/2014/main" id="{00000000-0008-0000-0400-000006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25959" name="Check Box 7" hidden="1">
              <a:extLst>
                <a:ext uri="{63B3BB69-23CF-44E3-9099-C40C66FF867C}">
                  <a14:compatExt spid="_x0000_s125959"/>
                </a:ext>
                <a:ext uri="{FF2B5EF4-FFF2-40B4-BE49-F238E27FC236}">
                  <a16:creationId xmlns:a16="http://schemas.microsoft.com/office/drawing/2014/main" id="{00000000-0008-0000-0400-000007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25960" name="Check Box 8" hidden="1">
              <a:extLst>
                <a:ext uri="{63B3BB69-23CF-44E3-9099-C40C66FF867C}">
                  <a14:compatExt spid="_x0000_s125960"/>
                </a:ext>
                <a:ext uri="{FF2B5EF4-FFF2-40B4-BE49-F238E27FC236}">
                  <a16:creationId xmlns:a16="http://schemas.microsoft.com/office/drawing/2014/main" id="{00000000-0008-0000-0400-000008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25961" name="Check Box 9" hidden="1">
              <a:extLst>
                <a:ext uri="{63B3BB69-23CF-44E3-9099-C40C66FF867C}">
                  <a14:compatExt spid="_x0000_s125961"/>
                </a:ext>
                <a:ext uri="{FF2B5EF4-FFF2-40B4-BE49-F238E27FC236}">
                  <a16:creationId xmlns:a16="http://schemas.microsoft.com/office/drawing/2014/main" id="{00000000-0008-0000-0400-000009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25962" name="Check Box 10" hidden="1">
              <a:extLst>
                <a:ext uri="{63B3BB69-23CF-44E3-9099-C40C66FF867C}">
                  <a14:compatExt spid="_x0000_s125962"/>
                </a:ext>
                <a:ext uri="{FF2B5EF4-FFF2-40B4-BE49-F238E27FC236}">
                  <a16:creationId xmlns:a16="http://schemas.microsoft.com/office/drawing/2014/main" id="{00000000-0008-0000-0400-00000A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25963" name="Check Box 11" hidden="1">
              <a:extLst>
                <a:ext uri="{63B3BB69-23CF-44E3-9099-C40C66FF867C}">
                  <a14:compatExt spid="_x0000_s125963"/>
                </a:ext>
                <a:ext uri="{FF2B5EF4-FFF2-40B4-BE49-F238E27FC236}">
                  <a16:creationId xmlns:a16="http://schemas.microsoft.com/office/drawing/2014/main" id="{00000000-0008-0000-0400-00000B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25964" name="Check Box 12" hidden="1">
              <a:extLst>
                <a:ext uri="{63B3BB69-23CF-44E3-9099-C40C66FF867C}">
                  <a14:compatExt spid="_x0000_s125964"/>
                </a:ext>
                <a:ext uri="{FF2B5EF4-FFF2-40B4-BE49-F238E27FC236}">
                  <a16:creationId xmlns:a16="http://schemas.microsoft.com/office/drawing/2014/main" id="{00000000-0008-0000-0400-00000C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25965" name="Check Box 13" hidden="1">
              <a:extLst>
                <a:ext uri="{63B3BB69-23CF-44E3-9099-C40C66FF867C}">
                  <a14:compatExt spid="_x0000_s125965"/>
                </a:ext>
                <a:ext uri="{FF2B5EF4-FFF2-40B4-BE49-F238E27FC236}">
                  <a16:creationId xmlns:a16="http://schemas.microsoft.com/office/drawing/2014/main" id="{00000000-0008-0000-0400-00000D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83297" name="Check Box 1" hidden="1">
              <a:extLst>
                <a:ext uri="{63B3BB69-23CF-44E3-9099-C40C66FF867C}">
                  <a14:compatExt spid="_x0000_s183297"/>
                </a:ext>
                <a:ext uri="{FF2B5EF4-FFF2-40B4-BE49-F238E27FC236}">
                  <a16:creationId xmlns:a16="http://schemas.microsoft.com/office/drawing/2014/main" id="{00000000-0008-0000-0500-000001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83298" name="Check Box 2" hidden="1">
              <a:extLst>
                <a:ext uri="{63B3BB69-23CF-44E3-9099-C40C66FF867C}">
                  <a14:compatExt spid="_x0000_s183298"/>
                </a:ext>
                <a:ext uri="{FF2B5EF4-FFF2-40B4-BE49-F238E27FC236}">
                  <a16:creationId xmlns:a16="http://schemas.microsoft.com/office/drawing/2014/main" id="{00000000-0008-0000-0500-000002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83299" name="Check Box 3" hidden="1">
              <a:extLst>
                <a:ext uri="{63B3BB69-23CF-44E3-9099-C40C66FF867C}">
                  <a14:compatExt spid="_x0000_s183299"/>
                </a:ext>
                <a:ext uri="{FF2B5EF4-FFF2-40B4-BE49-F238E27FC236}">
                  <a16:creationId xmlns:a16="http://schemas.microsoft.com/office/drawing/2014/main" id="{00000000-0008-0000-0500-000003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83300" name="Check Box 4" hidden="1">
              <a:extLst>
                <a:ext uri="{63B3BB69-23CF-44E3-9099-C40C66FF867C}">
                  <a14:compatExt spid="_x0000_s183300"/>
                </a:ext>
                <a:ext uri="{FF2B5EF4-FFF2-40B4-BE49-F238E27FC236}">
                  <a16:creationId xmlns:a16="http://schemas.microsoft.com/office/drawing/2014/main" id="{00000000-0008-0000-0500-000004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83301" name="Check Box 5" hidden="1">
              <a:extLst>
                <a:ext uri="{63B3BB69-23CF-44E3-9099-C40C66FF867C}">
                  <a14:compatExt spid="_x0000_s183301"/>
                </a:ext>
                <a:ext uri="{FF2B5EF4-FFF2-40B4-BE49-F238E27FC236}">
                  <a16:creationId xmlns:a16="http://schemas.microsoft.com/office/drawing/2014/main" id="{00000000-0008-0000-0500-000005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83302" name="Check Box 6" hidden="1">
              <a:extLst>
                <a:ext uri="{63B3BB69-23CF-44E3-9099-C40C66FF867C}">
                  <a14:compatExt spid="_x0000_s183302"/>
                </a:ext>
                <a:ext uri="{FF2B5EF4-FFF2-40B4-BE49-F238E27FC236}">
                  <a16:creationId xmlns:a16="http://schemas.microsoft.com/office/drawing/2014/main" id="{00000000-0008-0000-0500-000006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83303" name="Check Box 7" hidden="1">
              <a:extLst>
                <a:ext uri="{63B3BB69-23CF-44E3-9099-C40C66FF867C}">
                  <a14:compatExt spid="_x0000_s183303"/>
                </a:ext>
                <a:ext uri="{FF2B5EF4-FFF2-40B4-BE49-F238E27FC236}">
                  <a16:creationId xmlns:a16="http://schemas.microsoft.com/office/drawing/2014/main" id="{00000000-0008-0000-0500-000007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83304" name="Check Box 8" hidden="1">
              <a:extLst>
                <a:ext uri="{63B3BB69-23CF-44E3-9099-C40C66FF867C}">
                  <a14:compatExt spid="_x0000_s183304"/>
                </a:ext>
                <a:ext uri="{FF2B5EF4-FFF2-40B4-BE49-F238E27FC236}">
                  <a16:creationId xmlns:a16="http://schemas.microsoft.com/office/drawing/2014/main" id="{00000000-0008-0000-0500-000008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83305" name="Check Box 9" hidden="1">
              <a:extLst>
                <a:ext uri="{63B3BB69-23CF-44E3-9099-C40C66FF867C}">
                  <a14:compatExt spid="_x0000_s183305"/>
                </a:ext>
                <a:ext uri="{FF2B5EF4-FFF2-40B4-BE49-F238E27FC236}">
                  <a16:creationId xmlns:a16="http://schemas.microsoft.com/office/drawing/2014/main" id="{00000000-0008-0000-0500-000009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83306" name="Check Box 10" hidden="1">
              <a:extLst>
                <a:ext uri="{63B3BB69-23CF-44E3-9099-C40C66FF867C}">
                  <a14:compatExt spid="_x0000_s183306"/>
                </a:ext>
                <a:ext uri="{FF2B5EF4-FFF2-40B4-BE49-F238E27FC236}">
                  <a16:creationId xmlns:a16="http://schemas.microsoft.com/office/drawing/2014/main" id="{00000000-0008-0000-0500-00000A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83307" name="Check Box 11" hidden="1">
              <a:extLst>
                <a:ext uri="{63B3BB69-23CF-44E3-9099-C40C66FF867C}">
                  <a14:compatExt spid="_x0000_s183307"/>
                </a:ext>
                <a:ext uri="{FF2B5EF4-FFF2-40B4-BE49-F238E27FC236}">
                  <a16:creationId xmlns:a16="http://schemas.microsoft.com/office/drawing/2014/main" id="{00000000-0008-0000-0500-00000B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83308" name="Check Box 12" hidden="1">
              <a:extLst>
                <a:ext uri="{63B3BB69-23CF-44E3-9099-C40C66FF867C}">
                  <a14:compatExt spid="_x0000_s183308"/>
                </a:ext>
                <a:ext uri="{FF2B5EF4-FFF2-40B4-BE49-F238E27FC236}">
                  <a16:creationId xmlns:a16="http://schemas.microsoft.com/office/drawing/2014/main" id="{00000000-0008-0000-0500-00000C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83309" name="Check Box 13" hidden="1">
              <a:extLst>
                <a:ext uri="{63B3BB69-23CF-44E3-9099-C40C66FF867C}">
                  <a14:compatExt spid="_x0000_s183309"/>
                </a:ext>
                <a:ext uri="{FF2B5EF4-FFF2-40B4-BE49-F238E27FC236}">
                  <a16:creationId xmlns:a16="http://schemas.microsoft.com/office/drawing/2014/main" id="{00000000-0008-0000-0500-00000D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24929" name="Check Box 1" hidden="1">
              <a:extLst>
                <a:ext uri="{63B3BB69-23CF-44E3-9099-C40C66FF867C}">
                  <a14:compatExt spid="_x0000_s124929"/>
                </a:ext>
                <a:ext uri="{FF2B5EF4-FFF2-40B4-BE49-F238E27FC236}">
                  <a16:creationId xmlns:a16="http://schemas.microsoft.com/office/drawing/2014/main" id="{00000000-0008-0000-0600-000001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24930" name="Check Box 2" hidden="1">
              <a:extLst>
                <a:ext uri="{63B3BB69-23CF-44E3-9099-C40C66FF867C}">
                  <a14:compatExt spid="_x0000_s124930"/>
                </a:ext>
                <a:ext uri="{FF2B5EF4-FFF2-40B4-BE49-F238E27FC236}">
                  <a16:creationId xmlns:a16="http://schemas.microsoft.com/office/drawing/2014/main" id="{00000000-0008-0000-0600-000002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24931" name="Check Box 3" hidden="1">
              <a:extLst>
                <a:ext uri="{63B3BB69-23CF-44E3-9099-C40C66FF867C}">
                  <a14:compatExt spid="_x0000_s124931"/>
                </a:ext>
                <a:ext uri="{FF2B5EF4-FFF2-40B4-BE49-F238E27FC236}">
                  <a16:creationId xmlns:a16="http://schemas.microsoft.com/office/drawing/2014/main" id="{00000000-0008-0000-0600-000003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24932" name="Check Box 4" hidden="1">
              <a:extLst>
                <a:ext uri="{63B3BB69-23CF-44E3-9099-C40C66FF867C}">
                  <a14:compatExt spid="_x0000_s124932"/>
                </a:ext>
                <a:ext uri="{FF2B5EF4-FFF2-40B4-BE49-F238E27FC236}">
                  <a16:creationId xmlns:a16="http://schemas.microsoft.com/office/drawing/2014/main" id="{00000000-0008-0000-0600-000004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24933" name="Check Box 5" hidden="1">
              <a:extLst>
                <a:ext uri="{63B3BB69-23CF-44E3-9099-C40C66FF867C}">
                  <a14:compatExt spid="_x0000_s124933"/>
                </a:ext>
                <a:ext uri="{FF2B5EF4-FFF2-40B4-BE49-F238E27FC236}">
                  <a16:creationId xmlns:a16="http://schemas.microsoft.com/office/drawing/2014/main" id="{00000000-0008-0000-0600-000005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24934" name="Check Box 6" hidden="1">
              <a:extLst>
                <a:ext uri="{63B3BB69-23CF-44E3-9099-C40C66FF867C}">
                  <a14:compatExt spid="_x0000_s124934"/>
                </a:ext>
                <a:ext uri="{FF2B5EF4-FFF2-40B4-BE49-F238E27FC236}">
                  <a16:creationId xmlns:a16="http://schemas.microsoft.com/office/drawing/2014/main" id="{00000000-0008-0000-0600-000006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24935" name="Check Box 7" hidden="1">
              <a:extLst>
                <a:ext uri="{63B3BB69-23CF-44E3-9099-C40C66FF867C}">
                  <a14:compatExt spid="_x0000_s124935"/>
                </a:ext>
                <a:ext uri="{FF2B5EF4-FFF2-40B4-BE49-F238E27FC236}">
                  <a16:creationId xmlns:a16="http://schemas.microsoft.com/office/drawing/2014/main" id="{00000000-0008-0000-0600-000007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24936" name="Check Box 8" hidden="1">
              <a:extLst>
                <a:ext uri="{63B3BB69-23CF-44E3-9099-C40C66FF867C}">
                  <a14:compatExt spid="_x0000_s124936"/>
                </a:ext>
                <a:ext uri="{FF2B5EF4-FFF2-40B4-BE49-F238E27FC236}">
                  <a16:creationId xmlns:a16="http://schemas.microsoft.com/office/drawing/2014/main" id="{00000000-0008-0000-0600-000008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24937" name="Check Box 9" hidden="1">
              <a:extLst>
                <a:ext uri="{63B3BB69-23CF-44E3-9099-C40C66FF867C}">
                  <a14:compatExt spid="_x0000_s124937"/>
                </a:ext>
                <a:ext uri="{FF2B5EF4-FFF2-40B4-BE49-F238E27FC236}">
                  <a16:creationId xmlns:a16="http://schemas.microsoft.com/office/drawing/2014/main" id="{00000000-0008-0000-0600-000009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24938" name="Check Box 10" hidden="1">
              <a:extLst>
                <a:ext uri="{63B3BB69-23CF-44E3-9099-C40C66FF867C}">
                  <a14:compatExt spid="_x0000_s124938"/>
                </a:ext>
                <a:ext uri="{FF2B5EF4-FFF2-40B4-BE49-F238E27FC236}">
                  <a16:creationId xmlns:a16="http://schemas.microsoft.com/office/drawing/2014/main" id="{00000000-0008-0000-0600-00000A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24939" name="Check Box 11" hidden="1">
              <a:extLst>
                <a:ext uri="{63B3BB69-23CF-44E3-9099-C40C66FF867C}">
                  <a14:compatExt spid="_x0000_s124939"/>
                </a:ext>
                <a:ext uri="{FF2B5EF4-FFF2-40B4-BE49-F238E27FC236}">
                  <a16:creationId xmlns:a16="http://schemas.microsoft.com/office/drawing/2014/main" id="{00000000-0008-0000-0600-00000B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24940" name="Check Box 12" hidden="1">
              <a:extLst>
                <a:ext uri="{63B3BB69-23CF-44E3-9099-C40C66FF867C}">
                  <a14:compatExt spid="_x0000_s124940"/>
                </a:ext>
                <a:ext uri="{FF2B5EF4-FFF2-40B4-BE49-F238E27FC236}">
                  <a16:creationId xmlns:a16="http://schemas.microsoft.com/office/drawing/2014/main" id="{00000000-0008-0000-0600-00000C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24941" name="Check Box 13" hidden="1">
              <a:extLst>
                <a:ext uri="{63B3BB69-23CF-44E3-9099-C40C66FF867C}">
                  <a14:compatExt spid="_x0000_s124941"/>
                </a:ext>
                <a:ext uri="{FF2B5EF4-FFF2-40B4-BE49-F238E27FC236}">
                  <a16:creationId xmlns:a16="http://schemas.microsoft.com/office/drawing/2014/main" id="{00000000-0008-0000-0600-00000D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59745" name="Check Box 1" hidden="1">
              <a:extLst>
                <a:ext uri="{63B3BB69-23CF-44E3-9099-C40C66FF867C}">
                  <a14:compatExt spid="_x0000_s159745"/>
                </a:ext>
                <a:ext uri="{FF2B5EF4-FFF2-40B4-BE49-F238E27FC236}">
                  <a16:creationId xmlns:a16="http://schemas.microsoft.com/office/drawing/2014/main" id="{00000000-0008-0000-0700-000001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59746" name="Check Box 2" hidden="1">
              <a:extLst>
                <a:ext uri="{63B3BB69-23CF-44E3-9099-C40C66FF867C}">
                  <a14:compatExt spid="_x0000_s159746"/>
                </a:ext>
                <a:ext uri="{FF2B5EF4-FFF2-40B4-BE49-F238E27FC236}">
                  <a16:creationId xmlns:a16="http://schemas.microsoft.com/office/drawing/2014/main" id="{00000000-0008-0000-0700-000002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59747" name="Check Box 3" hidden="1">
              <a:extLst>
                <a:ext uri="{63B3BB69-23CF-44E3-9099-C40C66FF867C}">
                  <a14:compatExt spid="_x0000_s159747"/>
                </a:ext>
                <a:ext uri="{FF2B5EF4-FFF2-40B4-BE49-F238E27FC236}">
                  <a16:creationId xmlns:a16="http://schemas.microsoft.com/office/drawing/2014/main" id="{00000000-0008-0000-0700-000003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59748" name="Check Box 4" hidden="1">
              <a:extLst>
                <a:ext uri="{63B3BB69-23CF-44E3-9099-C40C66FF867C}">
                  <a14:compatExt spid="_x0000_s159748"/>
                </a:ext>
                <a:ext uri="{FF2B5EF4-FFF2-40B4-BE49-F238E27FC236}">
                  <a16:creationId xmlns:a16="http://schemas.microsoft.com/office/drawing/2014/main" id="{00000000-0008-0000-0700-000004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59749" name="Check Box 5" hidden="1">
              <a:extLst>
                <a:ext uri="{63B3BB69-23CF-44E3-9099-C40C66FF867C}">
                  <a14:compatExt spid="_x0000_s159749"/>
                </a:ext>
                <a:ext uri="{FF2B5EF4-FFF2-40B4-BE49-F238E27FC236}">
                  <a16:creationId xmlns:a16="http://schemas.microsoft.com/office/drawing/2014/main" id="{00000000-0008-0000-0700-000005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59750" name="Check Box 6" hidden="1">
              <a:extLst>
                <a:ext uri="{63B3BB69-23CF-44E3-9099-C40C66FF867C}">
                  <a14:compatExt spid="_x0000_s159750"/>
                </a:ext>
                <a:ext uri="{FF2B5EF4-FFF2-40B4-BE49-F238E27FC236}">
                  <a16:creationId xmlns:a16="http://schemas.microsoft.com/office/drawing/2014/main" id="{00000000-0008-0000-0700-000006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59751" name="Check Box 7" hidden="1">
              <a:extLst>
                <a:ext uri="{63B3BB69-23CF-44E3-9099-C40C66FF867C}">
                  <a14:compatExt spid="_x0000_s159751"/>
                </a:ext>
                <a:ext uri="{FF2B5EF4-FFF2-40B4-BE49-F238E27FC236}">
                  <a16:creationId xmlns:a16="http://schemas.microsoft.com/office/drawing/2014/main" id="{00000000-0008-0000-0700-000007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59752" name="Check Box 8" hidden="1">
              <a:extLst>
                <a:ext uri="{63B3BB69-23CF-44E3-9099-C40C66FF867C}">
                  <a14:compatExt spid="_x0000_s159752"/>
                </a:ext>
                <a:ext uri="{FF2B5EF4-FFF2-40B4-BE49-F238E27FC236}">
                  <a16:creationId xmlns:a16="http://schemas.microsoft.com/office/drawing/2014/main" id="{00000000-0008-0000-0700-000008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59753" name="Check Box 9" hidden="1">
              <a:extLst>
                <a:ext uri="{63B3BB69-23CF-44E3-9099-C40C66FF867C}">
                  <a14:compatExt spid="_x0000_s159753"/>
                </a:ext>
                <a:ext uri="{FF2B5EF4-FFF2-40B4-BE49-F238E27FC236}">
                  <a16:creationId xmlns:a16="http://schemas.microsoft.com/office/drawing/2014/main" id="{00000000-0008-0000-0700-000009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59754" name="Check Box 10" hidden="1">
              <a:extLst>
                <a:ext uri="{63B3BB69-23CF-44E3-9099-C40C66FF867C}">
                  <a14:compatExt spid="_x0000_s159754"/>
                </a:ext>
                <a:ext uri="{FF2B5EF4-FFF2-40B4-BE49-F238E27FC236}">
                  <a16:creationId xmlns:a16="http://schemas.microsoft.com/office/drawing/2014/main" id="{00000000-0008-0000-0700-00000A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59755" name="Check Box 11" hidden="1">
              <a:extLst>
                <a:ext uri="{63B3BB69-23CF-44E3-9099-C40C66FF867C}">
                  <a14:compatExt spid="_x0000_s159755"/>
                </a:ext>
                <a:ext uri="{FF2B5EF4-FFF2-40B4-BE49-F238E27FC236}">
                  <a16:creationId xmlns:a16="http://schemas.microsoft.com/office/drawing/2014/main" id="{00000000-0008-0000-0700-00000B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59756" name="Check Box 12" hidden="1">
              <a:extLst>
                <a:ext uri="{63B3BB69-23CF-44E3-9099-C40C66FF867C}">
                  <a14:compatExt spid="_x0000_s159756"/>
                </a:ext>
                <a:ext uri="{FF2B5EF4-FFF2-40B4-BE49-F238E27FC236}">
                  <a16:creationId xmlns:a16="http://schemas.microsoft.com/office/drawing/2014/main" id="{00000000-0008-0000-0700-00000C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59757" name="Check Box 13" hidden="1">
              <a:extLst>
                <a:ext uri="{63B3BB69-23CF-44E3-9099-C40C66FF867C}">
                  <a14:compatExt spid="_x0000_s159757"/>
                </a:ext>
                <a:ext uri="{FF2B5EF4-FFF2-40B4-BE49-F238E27FC236}">
                  <a16:creationId xmlns:a16="http://schemas.microsoft.com/office/drawing/2014/main" id="{00000000-0008-0000-0700-00000D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86369" name="Check Box 1" hidden="1">
              <a:extLst>
                <a:ext uri="{63B3BB69-23CF-44E3-9099-C40C66FF867C}">
                  <a14:compatExt spid="_x0000_s186369"/>
                </a:ext>
                <a:ext uri="{FF2B5EF4-FFF2-40B4-BE49-F238E27FC236}">
                  <a16:creationId xmlns:a16="http://schemas.microsoft.com/office/drawing/2014/main" id="{00000000-0008-0000-0800-000001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86370" name="Check Box 2" hidden="1">
              <a:extLst>
                <a:ext uri="{63B3BB69-23CF-44E3-9099-C40C66FF867C}">
                  <a14:compatExt spid="_x0000_s186370"/>
                </a:ext>
                <a:ext uri="{FF2B5EF4-FFF2-40B4-BE49-F238E27FC236}">
                  <a16:creationId xmlns:a16="http://schemas.microsoft.com/office/drawing/2014/main" id="{00000000-0008-0000-0800-000002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86371" name="Check Box 3" hidden="1">
              <a:extLst>
                <a:ext uri="{63B3BB69-23CF-44E3-9099-C40C66FF867C}">
                  <a14:compatExt spid="_x0000_s186371"/>
                </a:ext>
                <a:ext uri="{FF2B5EF4-FFF2-40B4-BE49-F238E27FC236}">
                  <a16:creationId xmlns:a16="http://schemas.microsoft.com/office/drawing/2014/main" id="{00000000-0008-0000-0800-000003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86372" name="Check Box 4" hidden="1">
              <a:extLst>
                <a:ext uri="{63B3BB69-23CF-44E3-9099-C40C66FF867C}">
                  <a14:compatExt spid="_x0000_s186372"/>
                </a:ext>
                <a:ext uri="{FF2B5EF4-FFF2-40B4-BE49-F238E27FC236}">
                  <a16:creationId xmlns:a16="http://schemas.microsoft.com/office/drawing/2014/main" id="{00000000-0008-0000-0800-000004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86373" name="Check Box 5" hidden="1">
              <a:extLst>
                <a:ext uri="{63B3BB69-23CF-44E3-9099-C40C66FF867C}">
                  <a14:compatExt spid="_x0000_s186373"/>
                </a:ext>
                <a:ext uri="{FF2B5EF4-FFF2-40B4-BE49-F238E27FC236}">
                  <a16:creationId xmlns:a16="http://schemas.microsoft.com/office/drawing/2014/main" id="{00000000-0008-0000-0800-000005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86374" name="Check Box 6" hidden="1">
              <a:extLst>
                <a:ext uri="{63B3BB69-23CF-44E3-9099-C40C66FF867C}">
                  <a14:compatExt spid="_x0000_s186374"/>
                </a:ext>
                <a:ext uri="{FF2B5EF4-FFF2-40B4-BE49-F238E27FC236}">
                  <a16:creationId xmlns:a16="http://schemas.microsoft.com/office/drawing/2014/main" id="{00000000-0008-0000-0800-000006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86375" name="Check Box 7" hidden="1">
              <a:extLst>
                <a:ext uri="{63B3BB69-23CF-44E3-9099-C40C66FF867C}">
                  <a14:compatExt spid="_x0000_s186375"/>
                </a:ext>
                <a:ext uri="{FF2B5EF4-FFF2-40B4-BE49-F238E27FC236}">
                  <a16:creationId xmlns:a16="http://schemas.microsoft.com/office/drawing/2014/main" id="{00000000-0008-0000-0800-000007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86376" name="Check Box 8" hidden="1">
              <a:extLst>
                <a:ext uri="{63B3BB69-23CF-44E3-9099-C40C66FF867C}">
                  <a14:compatExt spid="_x0000_s186376"/>
                </a:ext>
                <a:ext uri="{FF2B5EF4-FFF2-40B4-BE49-F238E27FC236}">
                  <a16:creationId xmlns:a16="http://schemas.microsoft.com/office/drawing/2014/main" id="{00000000-0008-0000-0800-000008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86377" name="Check Box 9" hidden="1">
              <a:extLst>
                <a:ext uri="{63B3BB69-23CF-44E3-9099-C40C66FF867C}">
                  <a14:compatExt spid="_x0000_s186377"/>
                </a:ext>
                <a:ext uri="{FF2B5EF4-FFF2-40B4-BE49-F238E27FC236}">
                  <a16:creationId xmlns:a16="http://schemas.microsoft.com/office/drawing/2014/main" id="{00000000-0008-0000-0800-000009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86378" name="Check Box 10" hidden="1">
              <a:extLst>
                <a:ext uri="{63B3BB69-23CF-44E3-9099-C40C66FF867C}">
                  <a14:compatExt spid="_x0000_s186378"/>
                </a:ext>
                <a:ext uri="{FF2B5EF4-FFF2-40B4-BE49-F238E27FC236}">
                  <a16:creationId xmlns:a16="http://schemas.microsoft.com/office/drawing/2014/main" id="{00000000-0008-0000-0800-00000A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86379" name="Check Box 11" hidden="1">
              <a:extLst>
                <a:ext uri="{63B3BB69-23CF-44E3-9099-C40C66FF867C}">
                  <a14:compatExt spid="_x0000_s186379"/>
                </a:ext>
                <a:ext uri="{FF2B5EF4-FFF2-40B4-BE49-F238E27FC236}">
                  <a16:creationId xmlns:a16="http://schemas.microsoft.com/office/drawing/2014/main" id="{00000000-0008-0000-0800-00000B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86380" name="Check Box 12" hidden="1">
              <a:extLst>
                <a:ext uri="{63B3BB69-23CF-44E3-9099-C40C66FF867C}">
                  <a14:compatExt spid="_x0000_s186380"/>
                </a:ext>
                <a:ext uri="{FF2B5EF4-FFF2-40B4-BE49-F238E27FC236}">
                  <a16:creationId xmlns:a16="http://schemas.microsoft.com/office/drawing/2014/main" id="{00000000-0008-0000-0800-00000C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86381" name="Check Box 13" hidden="1">
              <a:extLst>
                <a:ext uri="{63B3BB69-23CF-44E3-9099-C40C66FF867C}">
                  <a14:compatExt spid="_x0000_s186381"/>
                </a:ext>
                <a:ext uri="{FF2B5EF4-FFF2-40B4-BE49-F238E27FC236}">
                  <a16:creationId xmlns:a16="http://schemas.microsoft.com/office/drawing/2014/main" id="{00000000-0008-0000-0800-00000D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83969" name="Check Box 1" hidden="1">
              <a:extLst>
                <a:ext uri="{63B3BB69-23CF-44E3-9099-C40C66FF867C}">
                  <a14:compatExt spid="_x0000_s83969"/>
                </a:ext>
                <a:ext uri="{FF2B5EF4-FFF2-40B4-BE49-F238E27FC236}">
                  <a16:creationId xmlns:a16="http://schemas.microsoft.com/office/drawing/2014/main" id="{00000000-0008-0000-0900-000001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83970" name="Check Box 2" hidden="1">
              <a:extLst>
                <a:ext uri="{63B3BB69-23CF-44E3-9099-C40C66FF867C}">
                  <a14:compatExt spid="_x0000_s83970"/>
                </a:ext>
                <a:ext uri="{FF2B5EF4-FFF2-40B4-BE49-F238E27FC236}">
                  <a16:creationId xmlns:a16="http://schemas.microsoft.com/office/drawing/2014/main" id="{00000000-0008-0000-0900-000002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83971" name="Check Box 3" hidden="1">
              <a:extLst>
                <a:ext uri="{63B3BB69-23CF-44E3-9099-C40C66FF867C}">
                  <a14:compatExt spid="_x0000_s83971"/>
                </a:ext>
                <a:ext uri="{FF2B5EF4-FFF2-40B4-BE49-F238E27FC236}">
                  <a16:creationId xmlns:a16="http://schemas.microsoft.com/office/drawing/2014/main" id="{00000000-0008-0000-0900-000003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83972" name="Check Box 4" hidden="1">
              <a:extLst>
                <a:ext uri="{63B3BB69-23CF-44E3-9099-C40C66FF867C}">
                  <a14:compatExt spid="_x0000_s83972"/>
                </a:ext>
                <a:ext uri="{FF2B5EF4-FFF2-40B4-BE49-F238E27FC236}">
                  <a16:creationId xmlns:a16="http://schemas.microsoft.com/office/drawing/2014/main" id="{00000000-0008-0000-0900-000004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83973" name="Check Box 5" hidden="1">
              <a:extLst>
                <a:ext uri="{63B3BB69-23CF-44E3-9099-C40C66FF867C}">
                  <a14:compatExt spid="_x0000_s83973"/>
                </a:ext>
                <a:ext uri="{FF2B5EF4-FFF2-40B4-BE49-F238E27FC236}">
                  <a16:creationId xmlns:a16="http://schemas.microsoft.com/office/drawing/2014/main" id="{00000000-0008-0000-0900-000005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83974" name="Check Box 6" hidden="1">
              <a:extLst>
                <a:ext uri="{63B3BB69-23CF-44E3-9099-C40C66FF867C}">
                  <a14:compatExt spid="_x0000_s83974"/>
                </a:ext>
                <a:ext uri="{FF2B5EF4-FFF2-40B4-BE49-F238E27FC236}">
                  <a16:creationId xmlns:a16="http://schemas.microsoft.com/office/drawing/2014/main" id="{00000000-0008-0000-0900-000006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83975" name="Check Box 7" hidden="1">
              <a:extLst>
                <a:ext uri="{63B3BB69-23CF-44E3-9099-C40C66FF867C}">
                  <a14:compatExt spid="_x0000_s83975"/>
                </a:ext>
                <a:ext uri="{FF2B5EF4-FFF2-40B4-BE49-F238E27FC236}">
                  <a16:creationId xmlns:a16="http://schemas.microsoft.com/office/drawing/2014/main" id="{00000000-0008-0000-0900-000007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83976" name="Check Box 8" hidden="1">
              <a:extLst>
                <a:ext uri="{63B3BB69-23CF-44E3-9099-C40C66FF867C}">
                  <a14:compatExt spid="_x0000_s83976"/>
                </a:ext>
                <a:ext uri="{FF2B5EF4-FFF2-40B4-BE49-F238E27FC236}">
                  <a16:creationId xmlns:a16="http://schemas.microsoft.com/office/drawing/2014/main" id="{00000000-0008-0000-0900-000008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83977" name="Check Box 9" hidden="1">
              <a:extLst>
                <a:ext uri="{63B3BB69-23CF-44E3-9099-C40C66FF867C}">
                  <a14:compatExt spid="_x0000_s83977"/>
                </a:ext>
                <a:ext uri="{FF2B5EF4-FFF2-40B4-BE49-F238E27FC236}">
                  <a16:creationId xmlns:a16="http://schemas.microsoft.com/office/drawing/2014/main" id="{00000000-0008-0000-0900-000009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83978" name="Check Box 10" hidden="1">
              <a:extLst>
                <a:ext uri="{63B3BB69-23CF-44E3-9099-C40C66FF867C}">
                  <a14:compatExt spid="_x0000_s83978"/>
                </a:ext>
                <a:ext uri="{FF2B5EF4-FFF2-40B4-BE49-F238E27FC236}">
                  <a16:creationId xmlns:a16="http://schemas.microsoft.com/office/drawing/2014/main" id="{00000000-0008-0000-0900-00000A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83979" name="Check Box 11" hidden="1">
              <a:extLst>
                <a:ext uri="{63B3BB69-23CF-44E3-9099-C40C66FF867C}">
                  <a14:compatExt spid="_x0000_s83979"/>
                </a:ext>
                <a:ext uri="{FF2B5EF4-FFF2-40B4-BE49-F238E27FC236}">
                  <a16:creationId xmlns:a16="http://schemas.microsoft.com/office/drawing/2014/main" id="{00000000-0008-0000-0900-00000B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83980" name="Check Box 12" hidden="1">
              <a:extLst>
                <a:ext uri="{63B3BB69-23CF-44E3-9099-C40C66FF867C}">
                  <a14:compatExt spid="_x0000_s83980"/>
                </a:ext>
                <a:ext uri="{FF2B5EF4-FFF2-40B4-BE49-F238E27FC236}">
                  <a16:creationId xmlns:a16="http://schemas.microsoft.com/office/drawing/2014/main" id="{00000000-0008-0000-0900-00000C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83981" name="Check Box 13" hidden="1">
              <a:extLst>
                <a:ext uri="{63B3BB69-23CF-44E3-9099-C40C66FF867C}">
                  <a14:compatExt spid="_x0000_s83981"/>
                </a:ext>
                <a:ext uri="{FF2B5EF4-FFF2-40B4-BE49-F238E27FC236}">
                  <a16:creationId xmlns:a16="http://schemas.microsoft.com/office/drawing/2014/main" id="{00000000-0008-0000-0900-00000D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84993" name="Check Box 1" hidden="1">
              <a:extLst>
                <a:ext uri="{63B3BB69-23CF-44E3-9099-C40C66FF867C}">
                  <a14:compatExt spid="_x0000_s84993"/>
                </a:ext>
                <a:ext uri="{FF2B5EF4-FFF2-40B4-BE49-F238E27FC236}">
                  <a16:creationId xmlns:a16="http://schemas.microsoft.com/office/drawing/2014/main" id="{00000000-0008-0000-0A00-000001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84994" name="Check Box 2" hidden="1">
              <a:extLst>
                <a:ext uri="{63B3BB69-23CF-44E3-9099-C40C66FF867C}">
                  <a14:compatExt spid="_x0000_s84994"/>
                </a:ext>
                <a:ext uri="{FF2B5EF4-FFF2-40B4-BE49-F238E27FC236}">
                  <a16:creationId xmlns:a16="http://schemas.microsoft.com/office/drawing/2014/main" id="{00000000-0008-0000-0A00-000002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84995" name="Check Box 3" hidden="1">
              <a:extLst>
                <a:ext uri="{63B3BB69-23CF-44E3-9099-C40C66FF867C}">
                  <a14:compatExt spid="_x0000_s84995"/>
                </a:ext>
                <a:ext uri="{FF2B5EF4-FFF2-40B4-BE49-F238E27FC236}">
                  <a16:creationId xmlns:a16="http://schemas.microsoft.com/office/drawing/2014/main" id="{00000000-0008-0000-0A00-000003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84996" name="Check Box 4" hidden="1">
              <a:extLst>
                <a:ext uri="{63B3BB69-23CF-44E3-9099-C40C66FF867C}">
                  <a14:compatExt spid="_x0000_s84996"/>
                </a:ext>
                <a:ext uri="{FF2B5EF4-FFF2-40B4-BE49-F238E27FC236}">
                  <a16:creationId xmlns:a16="http://schemas.microsoft.com/office/drawing/2014/main" id="{00000000-0008-0000-0A00-000004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84997" name="Check Box 5" hidden="1">
              <a:extLst>
                <a:ext uri="{63B3BB69-23CF-44E3-9099-C40C66FF867C}">
                  <a14:compatExt spid="_x0000_s84997"/>
                </a:ext>
                <a:ext uri="{FF2B5EF4-FFF2-40B4-BE49-F238E27FC236}">
                  <a16:creationId xmlns:a16="http://schemas.microsoft.com/office/drawing/2014/main" id="{00000000-0008-0000-0A00-000005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84998" name="Check Box 6" hidden="1">
              <a:extLst>
                <a:ext uri="{63B3BB69-23CF-44E3-9099-C40C66FF867C}">
                  <a14:compatExt spid="_x0000_s84998"/>
                </a:ext>
                <a:ext uri="{FF2B5EF4-FFF2-40B4-BE49-F238E27FC236}">
                  <a16:creationId xmlns:a16="http://schemas.microsoft.com/office/drawing/2014/main" id="{00000000-0008-0000-0A00-000006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84999" name="Check Box 7" hidden="1">
              <a:extLst>
                <a:ext uri="{63B3BB69-23CF-44E3-9099-C40C66FF867C}">
                  <a14:compatExt spid="_x0000_s84999"/>
                </a:ext>
                <a:ext uri="{FF2B5EF4-FFF2-40B4-BE49-F238E27FC236}">
                  <a16:creationId xmlns:a16="http://schemas.microsoft.com/office/drawing/2014/main" id="{00000000-0008-0000-0A00-000007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85000" name="Check Box 8" hidden="1">
              <a:extLst>
                <a:ext uri="{63B3BB69-23CF-44E3-9099-C40C66FF867C}">
                  <a14:compatExt spid="_x0000_s85000"/>
                </a:ext>
                <a:ext uri="{FF2B5EF4-FFF2-40B4-BE49-F238E27FC236}">
                  <a16:creationId xmlns:a16="http://schemas.microsoft.com/office/drawing/2014/main" id="{00000000-0008-0000-0A00-000008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85001" name="Check Box 9" hidden="1">
              <a:extLst>
                <a:ext uri="{63B3BB69-23CF-44E3-9099-C40C66FF867C}">
                  <a14:compatExt spid="_x0000_s85001"/>
                </a:ext>
                <a:ext uri="{FF2B5EF4-FFF2-40B4-BE49-F238E27FC236}">
                  <a16:creationId xmlns:a16="http://schemas.microsoft.com/office/drawing/2014/main" id="{00000000-0008-0000-0A00-000009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85002" name="Check Box 10" hidden="1">
              <a:extLst>
                <a:ext uri="{63B3BB69-23CF-44E3-9099-C40C66FF867C}">
                  <a14:compatExt spid="_x0000_s85002"/>
                </a:ext>
                <a:ext uri="{FF2B5EF4-FFF2-40B4-BE49-F238E27FC236}">
                  <a16:creationId xmlns:a16="http://schemas.microsoft.com/office/drawing/2014/main" id="{00000000-0008-0000-0A00-00000A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85003" name="Check Box 11" hidden="1">
              <a:extLst>
                <a:ext uri="{63B3BB69-23CF-44E3-9099-C40C66FF867C}">
                  <a14:compatExt spid="_x0000_s85003"/>
                </a:ext>
                <a:ext uri="{FF2B5EF4-FFF2-40B4-BE49-F238E27FC236}">
                  <a16:creationId xmlns:a16="http://schemas.microsoft.com/office/drawing/2014/main" id="{00000000-0008-0000-0A00-00000B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85004" name="Check Box 12" hidden="1">
              <a:extLst>
                <a:ext uri="{63B3BB69-23CF-44E3-9099-C40C66FF867C}">
                  <a14:compatExt spid="_x0000_s85004"/>
                </a:ext>
                <a:ext uri="{FF2B5EF4-FFF2-40B4-BE49-F238E27FC236}">
                  <a16:creationId xmlns:a16="http://schemas.microsoft.com/office/drawing/2014/main" id="{00000000-0008-0000-0A00-00000C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85005" name="Check Box 13" hidden="1">
              <a:extLst>
                <a:ext uri="{63B3BB69-23CF-44E3-9099-C40C66FF867C}">
                  <a14:compatExt spid="_x0000_s85005"/>
                </a:ext>
                <a:ext uri="{FF2B5EF4-FFF2-40B4-BE49-F238E27FC236}">
                  <a16:creationId xmlns:a16="http://schemas.microsoft.com/office/drawing/2014/main" id="{00000000-0008-0000-0A00-00000D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90113" name="Check Box 1" hidden="1">
              <a:extLst>
                <a:ext uri="{63B3BB69-23CF-44E3-9099-C40C66FF867C}">
                  <a14:compatExt spid="_x0000_s90113"/>
                </a:ext>
                <a:ext uri="{FF2B5EF4-FFF2-40B4-BE49-F238E27FC236}">
                  <a16:creationId xmlns:a16="http://schemas.microsoft.com/office/drawing/2014/main" id="{00000000-0008-0000-0B00-000001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90114" name="Check Box 2" hidden="1">
              <a:extLst>
                <a:ext uri="{63B3BB69-23CF-44E3-9099-C40C66FF867C}">
                  <a14:compatExt spid="_x0000_s90114"/>
                </a:ext>
                <a:ext uri="{FF2B5EF4-FFF2-40B4-BE49-F238E27FC236}">
                  <a16:creationId xmlns:a16="http://schemas.microsoft.com/office/drawing/2014/main" id="{00000000-0008-0000-0B00-000002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90115" name="Check Box 3" hidden="1">
              <a:extLst>
                <a:ext uri="{63B3BB69-23CF-44E3-9099-C40C66FF867C}">
                  <a14:compatExt spid="_x0000_s90115"/>
                </a:ext>
                <a:ext uri="{FF2B5EF4-FFF2-40B4-BE49-F238E27FC236}">
                  <a16:creationId xmlns:a16="http://schemas.microsoft.com/office/drawing/2014/main" id="{00000000-0008-0000-0B00-000003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90116" name="Check Box 4" hidden="1">
              <a:extLst>
                <a:ext uri="{63B3BB69-23CF-44E3-9099-C40C66FF867C}">
                  <a14:compatExt spid="_x0000_s90116"/>
                </a:ext>
                <a:ext uri="{FF2B5EF4-FFF2-40B4-BE49-F238E27FC236}">
                  <a16:creationId xmlns:a16="http://schemas.microsoft.com/office/drawing/2014/main" id="{00000000-0008-0000-0B00-000004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90117" name="Check Box 5" hidden="1">
              <a:extLst>
                <a:ext uri="{63B3BB69-23CF-44E3-9099-C40C66FF867C}">
                  <a14:compatExt spid="_x0000_s90117"/>
                </a:ext>
                <a:ext uri="{FF2B5EF4-FFF2-40B4-BE49-F238E27FC236}">
                  <a16:creationId xmlns:a16="http://schemas.microsoft.com/office/drawing/2014/main" id="{00000000-0008-0000-0B00-000005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90118" name="Check Box 6" hidden="1">
              <a:extLst>
                <a:ext uri="{63B3BB69-23CF-44E3-9099-C40C66FF867C}">
                  <a14:compatExt spid="_x0000_s90118"/>
                </a:ext>
                <a:ext uri="{FF2B5EF4-FFF2-40B4-BE49-F238E27FC236}">
                  <a16:creationId xmlns:a16="http://schemas.microsoft.com/office/drawing/2014/main" id="{00000000-0008-0000-0B00-000006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90119" name="Check Box 7" hidden="1">
              <a:extLst>
                <a:ext uri="{63B3BB69-23CF-44E3-9099-C40C66FF867C}">
                  <a14:compatExt spid="_x0000_s90119"/>
                </a:ext>
                <a:ext uri="{FF2B5EF4-FFF2-40B4-BE49-F238E27FC236}">
                  <a16:creationId xmlns:a16="http://schemas.microsoft.com/office/drawing/2014/main" id="{00000000-0008-0000-0B00-000007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90120" name="Check Box 8" hidden="1">
              <a:extLst>
                <a:ext uri="{63B3BB69-23CF-44E3-9099-C40C66FF867C}">
                  <a14:compatExt spid="_x0000_s90120"/>
                </a:ext>
                <a:ext uri="{FF2B5EF4-FFF2-40B4-BE49-F238E27FC236}">
                  <a16:creationId xmlns:a16="http://schemas.microsoft.com/office/drawing/2014/main" id="{00000000-0008-0000-0B00-000008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90121" name="Check Box 9" hidden="1">
              <a:extLst>
                <a:ext uri="{63B3BB69-23CF-44E3-9099-C40C66FF867C}">
                  <a14:compatExt spid="_x0000_s90121"/>
                </a:ext>
                <a:ext uri="{FF2B5EF4-FFF2-40B4-BE49-F238E27FC236}">
                  <a16:creationId xmlns:a16="http://schemas.microsoft.com/office/drawing/2014/main" id="{00000000-0008-0000-0B00-000009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90122" name="Check Box 10" hidden="1">
              <a:extLst>
                <a:ext uri="{63B3BB69-23CF-44E3-9099-C40C66FF867C}">
                  <a14:compatExt spid="_x0000_s90122"/>
                </a:ext>
                <a:ext uri="{FF2B5EF4-FFF2-40B4-BE49-F238E27FC236}">
                  <a16:creationId xmlns:a16="http://schemas.microsoft.com/office/drawing/2014/main" id="{00000000-0008-0000-0B00-00000A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90123" name="Check Box 11" hidden="1">
              <a:extLst>
                <a:ext uri="{63B3BB69-23CF-44E3-9099-C40C66FF867C}">
                  <a14:compatExt spid="_x0000_s90123"/>
                </a:ext>
                <a:ext uri="{FF2B5EF4-FFF2-40B4-BE49-F238E27FC236}">
                  <a16:creationId xmlns:a16="http://schemas.microsoft.com/office/drawing/2014/main" id="{00000000-0008-0000-0B00-00000B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90124" name="Check Box 12" hidden="1">
              <a:extLst>
                <a:ext uri="{63B3BB69-23CF-44E3-9099-C40C66FF867C}">
                  <a14:compatExt spid="_x0000_s90124"/>
                </a:ext>
                <a:ext uri="{FF2B5EF4-FFF2-40B4-BE49-F238E27FC236}">
                  <a16:creationId xmlns:a16="http://schemas.microsoft.com/office/drawing/2014/main" id="{00000000-0008-0000-0B00-00000C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90125" name="Check Box 13" hidden="1">
              <a:extLst>
                <a:ext uri="{63B3BB69-23CF-44E3-9099-C40C66FF867C}">
                  <a14:compatExt spid="_x0000_s90125"/>
                </a:ext>
                <a:ext uri="{FF2B5EF4-FFF2-40B4-BE49-F238E27FC236}">
                  <a16:creationId xmlns:a16="http://schemas.microsoft.com/office/drawing/2014/main" id="{00000000-0008-0000-0B00-00000D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05473" name="Check Box 1" hidden="1">
              <a:extLst>
                <a:ext uri="{63B3BB69-23CF-44E3-9099-C40C66FF867C}">
                  <a14:compatExt spid="_x0000_s105473"/>
                </a:ext>
                <a:ext uri="{FF2B5EF4-FFF2-40B4-BE49-F238E27FC236}">
                  <a16:creationId xmlns:a16="http://schemas.microsoft.com/office/drawing/2014/main" id="{00000000-0008-0000-0C00-000001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05474" name="Check Box 2" hidden="1">
              <a:extLst>
                <a:ext uri="{63B3BB69-23CF-44E3-9099-C40C66FF867C}">
                  <a14:compatExt spid="_x0000_s105474"/>
                </a:ext>
                <a:ext uri="{FF2B5EF4-FFF2-40B4-BE49-F238E27FC236}">
                  <a16:creationId xmlns:a16="http://schemas.microsoft.com/office/drawing/2014/main" id="{00000000-0008-0000-0C00-000002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05475" name="Check Box 3" hidden="1">
              <a:extLst>
                <a:ext uri="{63B3BB69-23CF-44E3-9099-C40C66FF867C}">
                  <a14:compatExt spid="_x0000_s105475"/>
                </a:ext>
                <a:ext uri="{FF2B5EF4-FFF2-40B4-BE49-F238E27FC236}">
                  <a16:creationId xmlns:a16="http://schemas.microsoft.com/office/drawing/2014/main" id="{00000000-0008-0000-0C00-000003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05476" name="Check Box 4" hidden="1">
              <a:extLst>
                <a:ext uri="{63B3BB69-23CF-44E3-9099-C40C66FF867C}">
                  <a14:compatExt spid="_x0000_s105476"/>
                </a:ext>
                <a:ext uri="{FF2B5EF4-FFF2-40B4-BE49-F238E27FC236}">
                  <a16:creationId xmlns:a16="http://schemas.microsoft.com/office/drawing/2014/main" id="{00000000-0008-0000-0C00-000004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05477" name="Check Box 5" hidden="1">
              <a:extLst>
                <a:ext uri="{63B3BB69-23CF-44E3-9099-C40C66FF867C}">
                  <a14:compatExt spid="_x0000_s105477"/>
                </a:ext>
                <a:ext uri="{FF2B5EF4-FFF2-40B4-BE49-F238E27FC236}">
                  <a16:creationId xmlns:a16="http://schemas.microsoft.com/office/drawing/2014/main" id="{00000000-0008-0000-0C00-000005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05478" name="Check Box 6" hidden="1">
              <a:extLst>
                <a:ext uri="{63B3BB69-23CF-44E3-9099-C40C66FF867C}">
                  <a14:compatExt spid="_x0000_s105478"/>
                </a:ext>
                <a:ext uri="{FF2B5EF4-FFF2-40B4-BE49-F238E27FC236}">
                  <a16:creationId xmlns:a16="http://schemas.microsoft.com/office/drawing/2014/main" id="{00000000-0008-0000-0C00-000006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05479" name="Check Box 7" hidden="1">
              <a:extLst>
                <a:ext uri="{63B3BB69-23CF-44E3-9099-C40C66FF867C}">
                  <a14:compatExt spid="_x0000_s105479"/>
                </a:ext>
                <a:ext uri="{FF2B5EF4-FFF2-40B4-BE49-F238E27FC236}">
                  <a16:creationId xmlns:a16="http://schemas.microsoft.com/office/drawing/2014/main" id="{00000000-0008-0000-0C00-000007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05480" name="Check Box 8" hidden="1">
              <a:extLst>
                <a:ext uri="{63B3BB69-23CF-44E3-9099-C40C66FF867C}">
                  <a14:compatExt spid="_x0000_s105480"/>
                </a:ext>
                <a:ext uri="{FF2B5EF4-FFF2-40B4-BE49-F238E27FC236}">
                  <a16:creationId xmlns:a16="http://schemas.microsoft.com/office/drawing/2014/main" id="{00000000-0008-0000-0C00-000008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05481" name="Check Box 9" hidden="1">
              <a:extLst>
                <a:ext uri="{63B3BB69-23CF-44E3-9099-C40C66FF867C}">
                  <a14:compatExt spid="_x0000_s105481"/>
                </a:ext>
                <a:ext uri="{FF2B5EF4-FFF2-40B4-BE49-F238E27FC236}">
                  <a16:creationId xmlns:a16="http://schemas.microsoft.com/office/drawing/2014/main" id="{00000000-0008-0000-0C00-000009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05482" name="Check Box 10" hidden="1">
              <a:extLst>
                <a:ext uri="{63B3BB69-23CF-44E3-9099-C40C66FF867C}">
                  <a14:compatExt spid="_x0000_s105482"/>
                </a:ext>
                <a:ext uri="{FF2B5EF4-FFF2-40B4-BE49-F238E27FC236}">
                  <a16:creationId xmlns:a16="http://schemas.microsoft.com/office/drawing/2014/main" id="{00000000-0008-0000-0C00-00000A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05483" name="Check Box 11" hidden="1">
              <a:extLst>
                <a:ext uri="{63B3BB69-23CF-44E3-9099-C40C66FF867C}">
                  <a14:compatExt spid="_x0000_s105483"/>
                </a:ext>
                <a:ext uri="{FF2B5EF4-FFF2-40B4-BE49-F238E27FC236}">
                  <a16:creationId xmlns:a16="http://schemas.microsoft.com/office/drawing/2014/main" id="{00000000-0008-0000-0C00-00000B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05484" name="Check Box 12" hidden="1">
              <a:extLst>
                <a:ext uri="{63B3BB69-23CF-44E3-9099-C40C66FF867C}">
                  <a14:compatExt spid="_x0000_s105484"/>
                </a:ext>
                <a:ext uri="{FF2B5EF4-FFF2-40B4-BE49-F238E27FC236}">
                  <a16:creationId xmlns:a16="http://schemas.microsoft.com/office/drawing/2014/main" id="{00000000-0008-0000-0C00-00000C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05485" name="Check Box 13" hidden="1">
              <a:extLst>
                <a:ext uri="{63B3BB69-23CF-44E3-9099-C40C66FF867C}">
                  <a14:compatExt spid="_x0000_s105485"/>
                </a:ext>
                <a:ext uri="{FF2B5EF4-FFF2-40B4-BE49-F238E27FC236}">
                  <a16:creationId xmlns:a16="http://schemas.microsoft.com/office/drawing/2014/main" id="{00000000-0008-0000-0C00-00000D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1617" name="Check Box 1" hidden="1">
              <a:extLst>
                <a:ext uri="{63B3BB69-23CF-44E3-9099-C40C66FF867C}">
                  <a14:compatExt spid="_x0000_s111617"/>
                </a:ext>
                <a:ext uri="{FF2B5EF4-FFF2-40B4-BE49-F238E27FC236}">
                  <a16:creationId xmlns:a16="http://schemas.microsoft.com/office/drawing/2014/main" id="{00000000-0008-0000-0D00-000001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1618" name="Check Box 2" hidden="1">
              <a:extLst>
                <a:ext uri="{63B3BB69-23CF-44E3-9099-C40C66FF867C}">
                  <a14:compatExt spid="_x0000_s111618"/>
                </a:ext>
                <a:ext uri="{FF2B5EF4-FFF2-40B4-BE49-F238E27FC236}">
                  <a16:creationId xmlns:a16="http://schemas.microsoft.com/office/drawing/2014/main" id="{00000000-0008-0000-0D00-000002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1619" name="Check Box 3" hidden="1">
              <a:extLst>
                <a:ext uri="{63B3BB69-23CF-44E3-9099-C40C66FF867C}">
                  <a14:compatExt spid="_x0000_s111619"/>
                </a:ext>
                <a:ext uri="{FF2B5EF4-FFF2-40B4-BE49-F238E27FC236}">
                  <a16:creationId xmlns:a16="http://schemas.microsoft.com/office/drawing/2014/main" id="{00000000-0008-0000-0D00-000003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1620" name="Check Box 4" hidden="1">
              <a:extLst>
                <a:ext uri="{63B3BB69-23CF-44E3-9099-C40C66FF867C}">
                  <a14:compatExt spid="_x0000_s111620"/>
                </a:ext>
                <a:ext uri="{FF2B5EF4-FFF2-40B4-BE49-F238E27FC236}">
                  <a16:creationId xmlns:a16="http://schemas.microsoft.com/office/drawing/2014/main" id="{00000000-0008-0000-0D00-000004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1621" name="Check Box 5" hidden="1">
              <a:extLst>
                <a:ext uri="{63B3BB69-23CF-44E3-9099-C40C66FF867C}">
                  <a14:compatExt spid="_x0000_s111621"/>
                </a:ext>
                <a:ext uri="{FF2B5EF4-FFF2-40B4-BE49-F238E27FC236}">
                  <a16:creationId xmlns:a16="http://schemas.microsoft.com/office/drawing/2014/main" id="{00000000-0008-0000-0D00-000005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1622" name="Check Box 6" hidden="1">
              <a:extLst>
                <a:ext uri="{63B3BB69-23CF-44E3-9099-C40C66FF867C}">
                  <a14:compatExt spid="_x0000_s111622"/>
                </a:ext>
                <a:ext uri="{FF2B5EF4-FFF2-40B4-BE49-F238E27FC236}">
                  <a16:creationId xmlns:a16="http://schemas.microsoft.com/office/drawing/2014/main" id="{00000000-0008-0000-0D00-000006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1623" name="Check Box 7" hidden="1">
              <a:extLst>
                <a:ext uri="{63B3BB69-23CF-44E3-9099-C40C66FF867C}">
                  <a14:compatExt spid="_x0000_s111623"/>
                </a:ext>
                <a:ext uri="{FF2B5EF4-FFF2-40B4-BE49-F238E27FC236}">
                  <a16:creationId xmlns:a16="http://schemas.microsoft.com/office/drawing/2014/main" id="{00000000-0008-0000-0D00-000007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1624" name="Check Box 8" hidden="1">
              <a:extLst>
                <a:ext uri="{63B3BB69-23CF-44E3-9099-C40C66FF867C}">
                  <a14:compatExt spid="_x0000_s111624"/>
                </a:ext>
                <a:ext uri="{FF2B5EF4-FFF2-40B4-BE49-F238E27FC236}">
                  <a16:creationId xmlns:a16="http://schemas.microsoft.com/office/drawing/2014/main" id="{00000000-0008-0000-0D00-000008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1625" name="Check Box 9" hidden="1">
              <a:extLst>
                <a:ext uri="{63B3BB69-23CF-44E3-9099-C40C66FF867C}">
                  <a14:compatExt spid="_x0000_s111625"/>
                </a:ext>
                <a:ext uri="{FF2B5EF4-FFF2-40B4-BE49-F238E27FC236}">
                  <a16:creationId xmlns:a16="http://schemas.microsoft.com/office/drawing/2014/main" id="{00000000-0008-0000-0D00-000009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1626" name="Check Box 10" hidden="1">
              <a:extLst>
                <a:ext uri="{63B3BB69-23CF-44E3-9099-C40C66FF867C}">
                  <a14:compatExt spid="_x0000_s111626"/>
                </a:ext>
                <a:ext uri="{FF2B5EF4-FFF2-40B4-BE49-F238E27FC236}">
                  <a16:creationId xmlns:a16="http://schemas.microsoft.com/office/drawing/2014/main" id="{00000000-0008-0000-0D00-00000A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1627" name="Check Box 11" hidden="1">
              <a:extLst>
                <a:ext uri="{63B3BB69-23CF-44E3-9099-C40C66FF867C}">
                  <a14:compatExt spid="_x0000_s111627"/>
                </a:ext>
                <a:ext uri="{FF2B5EF4-FFF2-40B4-BE49-F238E27FC236}">
                  <a16:creationId xmlns:a16="http://schemas.microsoft.com/office/drawing/2014/main" id="{00000000-0008-0000-0D00-00000B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1628" name="Check Box 12" hidden="1">
              <a:extLst>
                <a:ext uri="{63B3BB69-23CF-44E3-9099-C40C66FF867C}">
                  <a14:compatExt spid="_x0000_s111628"/>
                </a:ext>
                <a:ext uri="{FF2B5EF4-FFF2-40B4-BE49-F238E27FC236}">
                  <a16:creationId xmlns:a16="http://schemas.microsoft.com/office/drawing/2014/main" id="{00000000-0008-0000-0D00-00000C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1629" name="Check Box 13" hidden="1">
              <a:extLst>
                <a:ext uri="{63B3BB69-23CF-44E3-9099-C40C66FF867C}">
                  <a14:compatExt spid="_x0000_s111629"/>
                </a:ext>
                <a:ext uri="{FF2B5EF4-FFF2-40B4-BE49-F238E27FC236}">
                  <a16:creationId xmlns:a16="http://schemas.microsoft.com/office/drawing/2014/main" id="{00000000-0008-0000-0D00-00000D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2641" name="Check Box 1" hidden="1">
              <a:extLst>
                <a:ext uri="{63B3BB69-23CF-44E3-9099-C40C66FF867C}">
                  <a14:compatExt spid="_x0000_s112641"/>
                </a:ext>
                <a:ext uri="{FF2B5EF4-FFF2-40B4-BE49-F238E27FC236}">
                  <a16:creationId xmlns:a16="http://schemas.microsoft.com/office/drawing/2014/main" id="{00000000-0008-0000-0E00-000001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2642" name="Check Box 2" hidden="1">
              <a:extLst>
                <a:ext uri="{63B3BB69-23CF-44E3-9099-C40C66FF867C}">
                  <a14:compatExt spid="_x0000_s112642"/>
                </a:ext>
                <a:ext uri="{FF2B5EF4-FFF2-40B4-BE49-F238E27FC236}">
                  <a16:creationId xmlns:a16="http://schemas.microsoft.com/office/drawing/2014/main" id="{00000000-0008-0000-0E00-000002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2643" name="Check Box 3" hidden="1">
              <a:extLst>
                <a:ext uri="{63B3BB69-23CF-44E3-9099-C40C66FF867C}">
                  <a14:compatExt spid="_x0000_s112643"/>
                </a:ext>
                <a:ext uri="{FF2B5EF4-FFF2-40B4-BE49-F238E27FC236}">
                  <a16:creationId xmlns:a16="http://schemas.microsoft.com/office/drawing/2014/main" id="{00000000-0008-0000-0E00-000003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2644" name="Check Box 4" hidden="1">
              <a:extLst>
                <a:ext uri="{63B3BB69-23CF-44E3-9099-C40C66FF867C}">
                  <a14:compatExt spid="_x0000_s112644"/>
                </a:ext>
                <a:ext uri="{FF2B5EF4-FFF2-40B4-BE49-F238E27FC236}">
                  <a16:creationId xmlns:a16="http://schemas.microsoft.com/office/drawing/2014/main" id="{00000000-0008-0000-0E00-000004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2645" name="Check Box 5" hidden="1">
              <a:extLst>
                <a:ext uri="{63B3BB69-23CF-44E3-9099-C40C66FF867C}">
                  <a14:compatExt spid="_x0000_s112645"/>
                </a:ext>
                <a:ext uri="{FF2B5EF4-FFF2-40B4-BE49-F238E27FC236}">
                  <a16:creationId xmlns:a16="http://schemas.microsoft.com/office/drawing/2014/main" id="{00000000-0008-0000-0E00-000005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2646" name="Check Box 6" hidden="1">
              <a:extLst>
                <a:ext uri="{63B3BB69-23CF-44E3-9099-C40C66FF867C}">
                  <a14:compatExt spid="_x0000_s112646"/>
                </a:ext>
                <a:ext uri="{FF2B5EF4-FFF2-40B4-BE49-F238E27FC236}">
                  <a16:creationId xmlns:a16="http://schemas.microsoft.com/office/drawing/2014/main" id="{00000000-0008-0000-0E00-000006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2647" name="Check Box 7" hidden="1">
              <a:extLst>
                <a:ext uri="{63B3BB69-23CF-44E3-9099-C40C66FF867C}">
                  <a14:compatExt spid="_x0000_s112647"/>
                </a:ext>
                <a:ext uri="{FF2B5EF4-FFF2-40B4-BE49-F238E27FC236}">
                  <a16:creationId xmlns:a16="http://schemas.microsoft.com/office/drawing/2014/main" id="{00000000-0008-0000-0E00-000007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2648" name="Check Box 8" hidden="1">
              <a:extLst>
                <a:ext uri="{63B3BB69-23CF-44E3-9099-C40C66FF867C}">
                  <a14:compatExt spid="_x0000_s112648"/>
                </a:ext>
                <a:ext uri="{FF2B5EF4-FFF2-40B4-BE49-F238E27FC236}">
                  <a16:creationId xmlns:a16="http://schemas.microsoft.com/office/drawing/2014/main" id="{00000000-0008-0000-0E00-000008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2649" name="Check Box 9" hidden="1">
              <a:extLst>
                <a:ext uri="{63B3BB69-23CF-44E3-9099-C40C66FF867C}">
                  <a14:compatExt spid="_x0000_s112649"/>
                </a:ext>
                <a:ext uri="{FF2B5EF4-FFF2-40B4-BE49-F238E27FC236}">
                  <a16:creationId xmlns:a16="http://schemas.microsoft.com/office/drawing/2014/main" id="{00000000-0008-0000-0E00-000009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2650" name="Check Box 10" hidden="1">
              <a:extLst>
                <a:ext uri="{63B3BB69-23CF-44E3-9099-C40C66FF867C}">
                  <a14:compatExt spid="_x0000_s112650"/>
                </a:ext>
                <a:ext uri="{FF2B5EF4-FFF2-40B4-BE49-F238E27FC236}">
                  <a16:creationId xmlns:a16="http://schemas.microsoft.com/office/drawing/2014/main" id="{00000000-0008-0000-0E00-00000A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2651" name="Check Box 11" hidden="1">
              <a:extLst>
                <a:ext uri="{63B3BB69-23CF-44E3-9099-C40C66FF867C}">
                  <a14:compatExt spid="_x0000_s112651"/>
                </a:ext>
                <a:ext uri="{FF2B5EF4-FFF2-40B4-BE49-F238E27FC236}">
                  <a16:creationId xmlns:a16="http://schemas.microsoft.com/office/drawing/2014/main" id="{00000000-0008-0000-0E00-00000B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2652" name="Check Box 12" hidden="1">
              <a:extLst>
                <a:ext uri="{63B3BB69-23CF-44E3-9099-C40C66FF867C}">
                  <a14:compatExt spid="_x0000_s112652"/>
                </a:ext>
                <a:ext uri="{FF2B5EF4-FFF2-40B4-BE49-F238E27FC236}">
                  <a16:creationId xmlns:a16="http://schemas.microsoft.com/office/drawing/2014/main" id="{00000000-0008-0000-0E00-00000C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2653" name="Check Box 13" hidden="1">
              <a:extLst>
                <a:ext uri="{63B3BB69-23CF-44E3-9099-C40C66FF867C}">
                  <a14:compatExt spid="_x0000_s112653"/>
                </a:ext>
                <a:ext uri="{FF2B5EF4-FFF2-40B4-BE49-F238E27FC236}">
                  <a16:creationId xmlns:a16="http://schemas.microsoft.com/office/drawing/2014/main" id="{00000000-0008-0000-0E00-00000D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4689" name="Check Box 1" hidden="1">
              <a:extLst>
                <a:ext uri="{63B3BB69-23CF-44E3-9099-C40C66FF867C}">
                  <a14:compatExt spid="_x0000_s114689"/>
                </a:ext>
                <a:ext uri="{FF2B5EF4-FFF2-40B4-BE49-F238E27FC236}">
                  <a16:creationId xmlns:a16="http://schemas.microsoft.com/office/drawing/2014/main" id="{00000000-0008-0000-0F00-000001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4690" name="Check Box 2" hidden="1">
              <a:extLst>
                <a:ext uri="{63B3BB69-23CF-44E3-9099-C40C66FF867C}">
                  <a14:compatExt spid="_x0000_s114690"/>
                </a:ext>
                <a:ext uri="{FF2B5EF4-FFF2-40B4-BE49-F238E27FC236}">
                  <a16:creationId xmlns:a16="http://schemas.microsoft.com/office/drawing/2014/main" id="{00000000-0008-0000-0F00-000002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4691" name="Check Box 3" hidden="1">
              <a:extLst>
                <a:ext uri="{63B3BB69-23CF-44E3-9099-C40C66FF867C}">
                  <a14:compatExt spid="_x0000_s114691"/>
                </a:ext>
                <a:ext uri="{FF2B5EF4-FFF2-40B4-BE49-F238E27FC236}">
                  <a16:creationId xmlns:a16="http://schemas.microsoft.com/office/drawing/2014/main" id="{00000000-0008-0000-0F00-000003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4692" name="Check Box 4" hidden="1">
              <a:extLst>
                <a:ext uri="{63B3BB69-23CF-44E3-9099-C40C66FF867C}">
                  <a14:compatExt spid="_x0000_s114692"/>
                </a:ext>
                <a:ext uri="{FF2B5EF4-FFF2-40B4-BE49-F238E27FC236}">
                  <a16:creationId xmlns:a16="http://schemas.microsoft.com/office/drawing/2014/main" id="{00000000-0008-0000-0F00-000004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4693" name="Check Box 5" hidden="1">
              <a:extLst>
                <a:ext uri="{63B3BB69-23CF-44E3-9099-C40C66FF867C}">
                  <a14:compatExt spid="_x0000_s114693"/>
                </a:ext>
                <a:ext uri="{FF2B5EF4-FFF2-40B4-BE49-F238E27FC236}">
                  <a16:creationId xmlns:a16="http://schemas.microsoft.com/office/drawing/2014/main" id="{00000000-0008-0000-0F00-000005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4694" name="Check Box 6" hidden="1">
              <a:extLst>
                <a:ext uri="{63B3BB69-23CF-44E3-9099-C40C66FF867C}">
                  <a14:compatExt spid="_x0000_s114694"/>
                </a:ext>
                <a:ext uri="{FF2B5EF4-FFF2-40B4-BE49-F238E27FC236}">
                  <a16:creationId xmlns:a16="http://schemas.microsoft.com/office/drawing/2014/main" id="{00000000-0008-0000-0F00-000006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4695" name="Check Box 7" hidden="1">
              <a:extLst>
                <a:ext uri="{63B3BB69-23CF-44E3-9099-C40C66FF867C}">
                  <a14:compatExt spid="_x0000_s114695"/>
                </a:ext>
                <a:ext uri="{FF2B5EF4-FFF2-40B4-BE49-F238E27FC236}">
                  <a16:creationId xmlns:a16="http://schemas.microsoft.com/office/drawing/2014/main" id="{00000000-0008-0000-0F00-000007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4696" name="Check Box 8" hidden="1">
              <a:extLst>
                <a:ext uri="{63B3BB69-23CF-44E3-9099-C40C66FF867C}">
                  <a14:compatExt spid="_x0000_s114696"/>
                </a:ext>
                <a:ext uri="{FF2B5EF4-FFF2-40B4-BE49-F238E27FC236}">
                  <a16:creationId xmlns:a16="http://schemas.microsoft.com/office/drawing/2014/main" id="{00000000-0008-0000-0F00-000008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4697" name="Check Box 9" hidden="1">
              <a:extLst>
                <a:ext uri="{63B3BB69-23CF-44E3-9099-C40C66FF867C}">
                  <a14:compatExt spid="_x0000_s114697"/>
                </a:ext>
                <a:ext uri="{FF2B5EF4-FFF2-40B4-BE49-F238E27FC236}">
                  <a16:creationId xmlns:a16="http://schemas.microsoft.com/office/drawing/2014/main" id="{00000000-0008-0000-0F00-000009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4698" name="Check Box 10" hidden="1">
              <a:extLst>
                <a:ext uri="{63B3BB69-23CF-44E3-9099-C40C66FF867C}">
                  <a14:compatExt spid="_x0000_s114698"/>
                </a:ext>
                <a:ext uri="{FF2B5EF4-FFF2-40B4-BE49-F238E27FC236}">
                  <a16:creationId xmlns:a16="http://schemas.microsoft.com/office/drawing/2014/main" id="{00000000-0008-0000-0F00-00000A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4699" name="Check Box 11" hidden="1">
              <a:extLst>
                <a:ext uri="{63B3BB69-23CF-44E3-9099-C40C66FF867C}">
                  <a14:compatExt spid="_x0000_s114699"/>
                </a:ext>
                <a:ext uri="{FF2B5EF4-FFF2-40B4-BE49-F238E27FC236}">
                  <a16:creationId xmlns:a16="http://schemas.microsoft.com/office/drawing/2014/main" id="{00000000-0008-0000-0F00-00000B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4700" name="Check Box 12" hidden="1">
              <a:extLst>
                <a:ext uri="{63B3BB69-23CF-44E3-9099-C40C66FF867C}">
                  <a14:compatExt spid="_x0000_s114700"/>
                </a:ext>
                <a:ext uri="{FF2B5EF4-FFF2-40B4-BE49-F238E27FC236}">
                  <a16:creationId xmlns:a16="http://schemas.microsoft.com/office/drawing/2014/main" id="{00000000-0008-0000-0F00-00000C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4701" name="Check Box 13" hidden="1">
              <a:extLst>
                <a:ext uri="{63B3BB69-23CF-44E3-9099-C40C66FF867C}">
                  <a14:compatExt spid="_x0000_s114701"/>
                </a:ext>
                <a:ext uri="{FF2B5EF4-FFF2-40B4-BE49-F238E27FC236}">
                  <a16:creationId xmlns:a16="http://schemas.microsoft.com/office/drawing/2014/main" id="{00000000-0008-0000-0F00-00000D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22881" name="Check Box 1" hidden="1">
              <a:extLst>
                <a:ext uri="{63B3BB69-23CF-44E3-9099-C40C66FF867C}">
                  <a14:compatExt spid="_x0000_s122881"/>
                </a:ext>
                <a:ext uri="{FF2B5EF4-FFF2-40B4-BE49-F238E27FC236}">
                  <a16:creationId xmlns:a16="http://schemas.microsoft.com/office/drawing/2014/main" id="{00000000-0008-0000-1000-000001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22882" name="Check Box 2" hidden="1">
              <a:extLst>
                <a:ext uri="{63B3BB69-23CF-44E3-9099-C40C66FF867C}">
                  <a14:compatExt spid="_x0000_s122882"/>
                </a:ext>
                <a:ext uri="{FF2B5EF4-FFF2-40B4-BE49-F238E27FC236}">
                  <a16:creationId xmlns:a16="http://schemas.microsoft.com/office/drawing/2014/main" id="{00000000-0008-0000-1000-000002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22883" name="Check Box 3" hidden="1">
              <a:extLst>
                <a:ext uri="{63B3BB69-23CF-44E3-9099-C40C66FF867C}">
                  <a14:compatExt spid="_x0000_s122883"/>
                </a:ext>
                <a:ext uri="{FF2B5EF4-FFF2-40B4-BE49-F238E27FC236}">
                  <a16:creationId xmlns:a16="http://schemas.microsoft.com/office/drawing/2014/main" id="{00000000-0008-0000-1000-000003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22884" name="Check Box 4" hidden="1">
              <a:extLst>
                <a:ext uri="{63B3BB69-23CF-44E3-9099-C40C66FF867C}">
                  <a14:compatExt spid="_x0000_s122884"/>
                </a:ext>
                <a:ext uri="{FF2B5EF4-FFF2-40B4-BE49-F238E27FC236}">
                  <a16:creationId xmlns:a16="http://schemas.microsoft.com/office/drawing/2014/main" id="{00000000-0008-0000-1000-000004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22885" name="Check Box 5" hidden="1">
              <a:extLst>
                <a:ext uri="{63B3BB69-23CF-44E3-9099-C40C66FF867C}">
                  <a14:compatExt spid="_x0000_s122885"/>
                </a:ext>
                <a:ext uri="{FF2B5EF4-FFF2-40B4-BE49-F238E27FC236}">
                  <a16:creationId xmlns:a16="http://schemas.microsoft.com/office/drawing/2014/main" id="{00000000-0008-0000-1000-000005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22886" name="Check Box 6" hidden="1">
              <a:extLst>
                <a:ext uri="{63B3BB69-23CF-44E3-9099-C40C66FF867C}">
                  <a14:compatExt spid="_x0000_s122886"/>
                </a:ext>
                <a:ext uri="{FF2B5EF4-FFF2-40B4-BE49-F238E27FC236}">
                  <a16:creationId xmlns:a16="http://schemas.microsoft.com/office/drawing/2014/main" id="{00000000-0008-0000-1000-000006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22887" name="Check Box 7" hidden="1">
              <a:extLst>
                <a:ext uri="{63B3BB69-23CF-44E3-9099-C40C66FF867C}">
                  <a14:compatExt spid="_x0000_s122887"/>
                </a:ext>
                <a:ext uri="{FF2B5EF4-FFF2-40B4-BE49-F238E27FC236}">
                  <a16:creationId xmlns:a16="http://schemas.microsoft.com/office/drawing/2014/main" id="{00000000-0008-0000-1000-000007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22888" name="Check Box 8" hidden="1">
              <a:extLst>
                <a:ext uri="{63B3BB69-23CF-44E3-9099-C40C66FF867C}">
                  <a14:compatExt spid="_x0000_s122888"/>
                </a:ext>
                <a:ext uri="{FF2B5EF4-FFF2-40B4-BE49-F238E27FC236}">
                  <a16:creationId xmlns:a16="http://schemas.microsoft.com/office/drawing/2014/main" id="{00000000-0008-0000-1000-000008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22889" name="Check Box 9" hidden="1">
              <a:extLst>
                <a:ext uri="{63B3BB69-23CF-44E3-9099-C40C66FF867C}">
                  <a14:compatExt spid="_x0000_s122889"/>
                </a:ext>
                <a:ext uri="{FF2B5EF4-FFF2-40B4-BE49-F238E27FC236}">
                  <a16:creationId xmlns:a16="http://schemas.microsoft.com/office/drawing/2014/main" id="{00000000-0008-0000-1000-000009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22890" name="Check Box 10" hidden="1">
              <a:extLst>
                <a:ext uri="{63B3BB69-23CF-44E3-9099-C40C66FF867C}">
                  <a14:compatExt spid="_x0000_s122890"/>
                </a:ext>
                <a:ext uri="{FF2B5EF4-FFF2-40B4-BE49-F238E27FC236}">
                  <a16:creationId xmlns:a16="http://schemas.microsoft.com/office/drawing/2014/main" id="{00000000-0008-0000-1000-00000A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22891" name="Check Box 11" hidden="1">
              <a:extLst>
                <a:ext uri="{63B3BB69-23CF-44E3-9099-C40C66FF867C}">
                  <a14:compatExt spid="_x0000_s122891"/>
                </a:ext>
                <a:ext uri="{FF2B5EF4-FFF2-40B4-BE49-F238E27FC236}">
                  <a16:creationId xmlns:a16="http://schemas.microsoft.com/office/drawing/2014/main" id="{00000000-0008-0000-1000-00000B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22892" name="Check Box 12" hidden="1">
              <a:extLst>
                <a:ext uri="{63B3BB69-23CF-44E3-9099-C40C66FF867C}">
                  <a14:compatExt spid="_x0000_s122892"/>
                </a:ext>
                <a:ext uri="{FF2B5EF4-FFF2-40B4-BE49-F238E27FC236}">
                  <a16:creationId xmlns:a16="http://schemas.microsoft.com/office/drawing/2014/main" id="{00000000-0008-0000-1000-00000C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22893" name="Check Box 13" hidden="1">
              <a:extLst>
                <a:ext uri="{63B3BB69-23CF-44E3-9099-C40C66FF867C}">
                  <a14:compatExt spid="_x0000_s122893"/>
                </a:ext>
                <a:ext uri="{FF2B5EF4-FFF2-40B4-BE49-F238E27FC236}">
                  <a16:creationId xmlns:a16="http://schemas.microsoft.com/office/drawing/2014/main" id="{00000000-0008-0000-1000-00000D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3665" name="Check Box 1" hidden="1">
              <a:extLst>
                <a:ext uri="{63B3BB69-23CF-44E3-9099-C40C66FF867C}">
                  <a14:compatExt spid="_x0000_s113665"/>
                </a:ext>
                <a:ext uri="{FF2B5EF4-FFF2-40B4-BE49-F238E27FC236}">
                  <a16:creationId xmlns:a16="http://schemas.microsoft.com/office/drawing/2014/main" id="{00000000-0008-0000-1100-000001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3666" name="Check Box 2" hidden="1">
              <a:extLst>
                <a:ext uri="{63B3BB69-23CF-44E3-9099-C40C66FF867C}">
                  <a14:compatExt spid="_x0000_s113666"/>
                </a:ext>
                <a:ext uri="{FF2B5EF4-FFF2-40B4-BE49-F238E27FC236}">
                  <a16:creationId xmlns:a16="http://schemas.microsoft.com/office/drawing/2014/main" id="{00000000-0008-0000-1100-000002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3667" name="Check Box 3" hidden="1">
              <a:extLst>
                <a:ext uri="{63B3BB69-23CF-44E3-9099-C40C66FF867C}">
                  <a14:compatExt spid="_x0000_s113667"/>
                </a:ext>
                <a:ext uri="{FF2B5EF4-FFF2-40B4-BE49-F238E27FC236}">
                  <a16:creationId xmlns:a16="http://schemas.microsoft.com/office/drawing/2014/main" id="{00000000-0008-0000-1100-000003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3668" name="Check Box 4" hidden="1">
              <a:extLst>
                <a:ext uri="{63B3BB69-23CF-44E3-9099-C40C66FF867C}">
                  <a14:compatExt spid="_x0000_s113668"/>
                </a:ext>
                <a:ext uri="{FF2B5EF4-FFF2-40B4-BE49-F238E27FC236}">
                  <a16:creationId xmlns:a16="http://schemas.microsoft.com/office/drawing/2014/main" id="{00000000-0008-0000-1100-000004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3669" name="Check Box 5" hidden="1">
              <a:extLst>
                <a:ext uri="{63B3BB69-23CF-44E3-9099-C40C66FF867C}">
                  <a14:compatExt spid="_x0000_s113669"/>
                </a:ext>
                <a:ext uri="{FF2B5EF4-FFF2-40B4-BE49-F238E27FC236}">
                  <a16:creationId xmlns:a16="http://schemas.microsoft.com/office/drawing/2014/main" id="{00000000-0008-0000-1100-000005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3670" name="Check Box 6" hidden="1">
              <a:extLst>
                <a:ext uri="{63B3BB69-23CF-44E3-9099-C40C66FF867C}">
                  <a14:compatExt spid="_x0000_s113670"/>
                </a:ext>
                <a:ext uri="{FF2B5EF4-FFF2-40B4-BE49-F238E27FC236}">
                  <a16:creationId xmlns:a16="http://schemas.microsoft.com/office/drawing/2014/main" id="{00000000-0008-0000-1100-000006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3671" name="Check Box 7" hidden="1">
              <a:extLst>
                <a:ext uri="{63B3BB69-23CF-44E3-9099-C40C66FF867C}">
                  <a14:compatExt spid="_x0000_s113671"/>
                </a:ext>
                <a:ext uri="{FF2B5EF4-FFF2-40B4-BE49-F238E27FC236}">
                  <a16:creationId xmlns:a16="http://schemas.microsoft.com/office/drawing/2014/main" id="{00000000-0008-0000-1100-000007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3672" name="Check Box 8" hidden="1">
              <a:extLst>
                <a:ext uri="{63B3BB69-23CF-44E3-9099-C40C66FF867C}">
                  <a14:compatExt spid="_x0000_s113672"/>
                </a:ext>
                <a:ext uri="{FF2B5EF4-FFF2-40B4-BE49-F238E27FC236}">
                  <a16:creationId xmlns:a16="http://schemas.microsoft.com/office/drawing/2014/main" id="{00000000-0008-0000-1100-000008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3673" name="Check Box 9" hidden="1">
              <a:extLst>
                <a:ext uri="{63B3BB69-23CF-44E3-9099-C40C66FF867C}">
                  <a14:compatExt spid="_x0000_s113673"/>
                </a:ext>
                <a:ext uri="{FF2B5EF4-FFF2-40B4-BE49-F238E27FC236}">
                  <a16:creationId xmlns:a16="http://schemas.microsoft.com/office/drawing/2014/main" id="{00000000-0008-0000-1100-000009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3674" name="Check Box 10" hidden="1">
              <a:extLst>
                <a:ext uri="{63B3BB69-23CF-44E3-9099-C40C66FF867C}">
                  <a14:compatExt spid="_x0000_s113674"/>
                </a:ext>
                <a:ext uri="{FF2B5EF4-FFF2-40B4-BE49-F238E27FC236}">
                  <a16:creationId xmlns:a16="http://schemas.microsoft.com/office/drawing/2014/main" id="{00000000-0008-0000-1100-00000A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3675" name="Check Box 11" hidden="1">
              <a:extLst>
                <a:ext uri="{63B3BB69-23CF-44E3-9099-C40C66FF867C}">
                  <a14:compatExt spid="_x0000_s113675"/>
                </a:ext>
                <a:ext uri="{FF2B5EF4-FFF2-40B4-BE49-F238E27FC236}">
                  <a16:creationId xmlns:a16="http://schemas.microsoft.com/office/drawing/2014/main" id="{00000000-0008-0000-1100-00000B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3676" name="Check Box 12" hidden="1">
              <a:extLst>
                <a:ext uri="{63B3BB69-23CF-44E3-9099-C40C66FF867C}">
                  <a14:compatExt spid="_x0000_s113676"/>
                </a:ext>
                <a:ext uri="{FF2B5EF4-FFF2-40B4-BE49-F238E27FC236}">
                  <a16:creationId xmlns:a16="http://schemas.microsoft.com/office/drawing/2014/main" id="{00000000-0008-0000-1100-00000C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3677" name="Check Box 13" hidden="1">
              <a:extLst>
                <a:ext uri="{63B3BB69-23CF-44E3-9099-C40C66FF867C}">
                  <a14:compatExt spid="_x0000_s113677"/>
                </a:ext>
                <a:ext uri="{FF2B5EF4-FFF2-40B4-BE49-F238E27FC236}">
                  <a16:creationId xmlns:a16="http://schemas.microsoft.com/office/drawing/2014/main" id="{00000000-0008-0000-1100-00000D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6737" name="Check Box 1" hidden="1">
              <a:extLst>
                <a:ext uri="{63B3BB69-23CF-44E3-9099-C40C66FF867C}">
                  <a14:compatExt spid="_x0000_s116737"/>
                </a:ext>
                <a:ext uri="{FF2B5EF4-FFF2-40B4-BE49-F238E27FC236}">
                  <a16:creationId xmlns:a16="http://schemas.microsoft.com/office/drawing/2014/main" id="{00000000-0008-0000-1200-000001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6738" name="Check Box 2" hidden="1">
              <a:extLst>
                <a:ext uri="{63B3BB69-23CF-44E3-9099-C40C66FF867C}">
                  <a14:compatExt spid="_x0000_s116738"/>
                </a:ext>
                <a:ext uri="{FF2B5EF4-FFF2-40B4-BE49-F238E27FC236}">
                  <a16:creationId xmlns:a16="http://schemas.microsoft.com/office/drawing/2014/main" id="{00000000-0008-0000-1200-000002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6739" name="Check Box 3" hidden="1">
              <a:extLst>
                <a:ext uri="{63B3BB69-23CF-44E3-9099-C40C66FF867C}">
                  <a14:compatExt spid="_x0000_s116739"/>
                </a:ext>
                <a:ext uri="{FF2B5EF4-FFF2-40B4-BE49-F238E27FC236}">
                  <a16:creationId xmlns:a16="http://schemas.microsoft.com/office/drawing/2014/main" id="{00000000-0008-0000-1200-000003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6740" name="Check Box 4" hidden="1">
              <a:extLst>
                <a:ext uri="{63B3BB69-23CF-44E3-9099-C40C66FF867C}">
                  <a14:compatExt spid="_x0000_s116740"/>
                </a:ext>
                <a:ext uri="{FF2B5EF4-FFF2-40B4-BE49-F238E27FC236}">
                  <a16:creationId xmlns:a16="http://schemas.microsoft.com/office/drawing/2014/main" id="{00000000-0008-0000-1200-000004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6741" name="Check Box 5" hidden="1">
              <a:extLst>
                <a:ext uri="{63B3BB69-23CF-44E3-9099-C40C66FF867C}">
                  <a14:compatExt spid="_x0000_s116741"/>
                </a:ext>
                <a:ext uri="{FF2B5EF4-FFF2-40B4-BE49-F238E27FC236}">
                  <a16:creationId xmlns:a16="http://schemas.microsoft.com/office/drawing/2014/main" id="{00000000-0008-0000-1200-000005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6742" name="Check Box 6" hidden="1">
              <a:extLst>
                <a:ext uri="{63B3BB69-23CF-44E3-9099-C40C66FF867C}">
                  <a14:compatExt spid="_x0000_s116742"/>
                </a:ext>
                <a:ext uri="{FF2B5EF4-FFF2-40B4-BE49-F238E27FC236}">
                  <a16:creationId xmlns:a16="http://schemas.microsoft.com/office/drawing/2014/main" id="{00000000-0008-0000-1200-000006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6743" name="Check Box 7" hidden="1">
              <a:extLst>
                <a:ext uri="{63B3BB69-23CF-44E3-9099-C40C66FF867C}">
                  <a14:compatExt spid="_x0000_s116743"/>
                </a:ext>
                <a:ext uri="{FF2B5EF4-FFF2-40B4-BE49-F238E27FC236}">
                  <a16:creationId xmlns:a16="http://schemas.microsoft.com/office/drawing/2014/main" id="{00000000-0008-0000-1200-000007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6744" name="Check Box 8" hidden="1">
              <a:extLst>
                <a:ext uri="{63B3BB69-23CF-44E3-9099-C40C66FF867C}">
                  <a14:compatExt spid="_x0000_s116744"/>
                </a:ext>
                <a:ext uri="{FF2B5EF4-FFF2-40B4-BE49-F238E27FC236}">
                  <a16:creationId xmlns:a16="http://schemas.microsoft.com/office/drawing/2014/main" id="{00000000-0008-0000-1200-000008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6745" name="Check Box 9" hidden="1">
              <a:extLst>
                <a:ext uri="{63B3BB69-23CF-44E3-9099-C40C66FF867C}">
                  <a14:compatExt spid="_x0000_s116745"/>
                </a:ext>
                <a:ext uri="{FF2B5EF4-FFF2-40B4-BE49-F238E27FC236}">
                  <a16:creationId xmlns:a16="http://schemas.microsoft.com/office/drawing/2014/main" id="{00000000-0008-0000-1200-000009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6746" name="Check Box 10" hidden="1">
              <a:extLst>
                <a:ext uri="{63B3BB69-23CF-44E3-9099-C40C66FF867C}">
                  <a14:compatExt spid="_x0000_s116746"/>
                </a:ext>
                <a:ext uri="{FF2B5EF4-FFF2-40B4-BE49-F238E27FC236}">
                  <a16:creationId xmlns:a16="http://schemas.microsoft.com/office/drawing/2014/main" id="{00000000-0008-0000-1200-00000A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6747" name="Check Box 11" hidden="1">
              <a:extLst>
                <a:ext uri="{63B3BB69-23CF-44E3-9099-C40C66FF867C}">
                  <a14:compatExt spid="_x0000_s116747"/>
                </a:ext>
                <a:ext uri="{FF2B5EF4-FFF2-40B4-BE49-F238E27FC236}">
                  <a16:creationId xmlns:a16="http://schemas.microsoft.com/office/drawing/2014/main" id="{00000000-0008-0000-1200-00000B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6748" name="Check Box 12" hidden="1">
              <a:extLst>
                <a:ext uri="{63B3BB69-23CF-44E3-9099-C40C66FF867C}">
                  <a14:compatExt spid="_x0000_s116748"/>
                </a:ext>
                <a:ext uri="{FF2B5EF4-FFF2-40B4-BE49-F238E27FC236}">
                  <a16:creationId xmlns:a16="http://schemas.microsoft.com/office/drawing/2014/main" id="{00000000-0008-0000-1200-00000C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6749" name="Check Box 13" hidden="1">
              <a:extLst>
                <a:ext uri="{63B3BB69-23CF-44E3-9099-C40C66FF867C}">
                  <a14:compatExt spid="_x0000_s116749"/>
                </a:ext>
                <a:ext uri="{FF2B5EF4-FFF2-40B4-BE49-F238E27FC236}">
                  <a16:creationId xmlns:a16="http://schemas.microsoft.com/office/drawing/2014/main" id="{00000000-0008-0000-1200-00000D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93185" name="Check Box 1" hidden="1">
              <a:extLst>
                <a:ext uri="{63B3BB69-23CF-44E3-9099-C40C66FF867C}">
                  <a14:compatExt spid="_x0000_s93185"/>
                </a:ext>
                <a:ext uri="{FF2B5EF4-FFF2-40B4-BE49-F238E27FC236}">
                  <a16:creationId xmlns:a16="http://schemas.microsoft.com/office/drawing/2014/main" id="{00000000-0008-0000-1300-000001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93186" name="Check Box 2" hidden="1">
              <a:extLst>
                <a:ext uri="{63B3BB69-23CF-44E3-9099-C40C66FF867C}">
                  <a14:compatExt spid="_x0000_s93186"/>
                </a:ext>
                <a:ext uri="{FF2B5EF4-FFF2-40B4-BE49-F238E27FC236}">
                  <a16:creationId xmlns:a16="http://schemas.microsoft.com/office/drawing/2014/main" id="{00000000-0008-0000-1300-000002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93187" name="Check Box 3" hidden="1">
              <a:extLst>
                <a:ext uri="{63B3BB69-23CF-44E3-9099-C40C66FF867C}">
                  <a14:compatExt spid="_x0000_s93187"/>
                </a:ext>
                <a:ext uri="{FF2B5EF4-FFF2-40B4-BE49-F238E27FC236}">
                  <a16:creationId xmlns:a16="http://schemas.microsoft.com/office/drawing/2014/main" id="{00000000-0008-0000-1300-000003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93188" name="Check Box 4" hidden="1">
              <a:extLst>
                <a:ext uri="{63B3BB69-23CF-44E3-9099-C40C66FF867C}">
                  <a14:compatExt spid="_x0000_s93188"/>
                </a:ext>
                <a:ext uri="{FF2B5EF4-FFF2-40B4-BE49-F238E27FC236}">
                  <a16:creationId xmlns:a16="http://schemas.microsoft.com/office/drawing/2014/main" id="{00000000-0008-0000-1300-000004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93189" name="Check Box 5" hidden="1">
              <a:extLst>
                <a:ext uri="{63B3BB69-23CF-44E3-9099-C40C66FF867C}">
                  <a14:compatExt spid="_x0000_s93189"/>
                </a:ext>
                <a:ext uri="{FF2B5EF4-FFF2-40B4-BE49-F238E27FC236}">
                  <a16:creationId xmlns:a16="http://schemas.microsoft.com/office/drawing/2014/main" id="{00000000-0008-0000-1300-000005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93190" name="Check Box 6" hidden="1">
              <a:extLst>
                <a:ext uri="{63B3BB69-23CF-44E3-9099-C40C66FF867C}">
                  <a14:compatExt spid="_x0000_s93190"/>
                </a:ext>
                <a:ext uri="{FF2B5EF4-FFF2-40B4-BE49-F238E27FC236}">
                  <a16:creationId xmlns:a16="http://schemas.microsoft.com/office/drawing/2014/main" id="{00000000-0008-0000-1300-000006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93191" name="Check Box 7" hidden="1">
              <a:extLst>
                <a:ext uri="{63B3BB69-23CF-44E3-9099-C40C66FF867C}">
                  <a14:compatExt spid="_x0000_s93191"/>
                </a:ext>
                <a:ext uri="{FF2B5EF4-FFF2-40B4-BE49-F238E27FC236}">
                  <a16:creationId xmlns:a16="http://schemas.microsoft.com/office/drawing/2014/main" id="{00000000-0008-0000-1300-000007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93192" name="Check Box 8" hidden="1">
              <a:extLst>
                <a:ext uri="{63B3BB69-23CF-44E3-9099-C40C66FF867C}">
                  <a14:compatExt spid="_x0000_s93192"/>
                </a:ext>
                <a:ext uri="{FF2B5EF4-FFF2-40B4-BE49-F238E27FC236}">
                  <a16:creationId xmlns:a16="http://schemas.microsoft.com/office/drawing/2014/main" id="{00000000-0008-0000-1300-000008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93193" name="Check Box 9" hidden="1">
              <a:extLst>
                <a:ext uri="{63B3BB69-23CF-44E3-9099-C40C66FF867C}">
                  <a14:compatExt spid="_x0000_s93193"/>
                </a:ext>
                <a:ext uri="{FF2B5EF4-FFF2-40B4-BE49-F238E27FC236}">
                  <a16:creationId xmlns:a16="http://schemas.microsoft.com/office/drawing/2014/main" id="{00000000-0008-0000-1300-000009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93194" name="Check Box 10" hidden="1">
              <a:extLst>
                <a:ext uri="{63B3BB69-23CF-44E3-9099-C40C66FF867C}">
                  <a14:compatExt spid="_x0000_s93194"/>
                </a:ext>
                <a:ext uri="{FF2B5EF4-FFF2-40B4-BE49-F238E27FC236}">
                  <a16:creationId xmlns:a16="http://schemas.microsoft.com/office/drawing/2014/main" id="{00000000-0008-0000-1300-00000A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93195" name="Check Box 11" hidden="1">
              <a:extLst>
                <a:ext uri="{63B3BB69-23CF-44E3-9099-C40C66FF867C}">
                  <a14:compatExt spid="_x0000_s93195"/>
                </a:ext>
                <a:ext uri="{FF2B5EF4-FFF2-40B4-BE49-F238E27FC236}">
                  <a16:creationId xmlns:a16="http://schemas.microsoft.com/office/drawing/2014/main" id="{00000000-0008-0000-1300-00000B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93196" name="Check Box 12" hidden="1">
              <a:extLst>
                <a:ext uri="{63B3BB69-23CF-44E3-9099-C40C66FF867C}">
                  <a14:compatExt spid="_x0000_s93196"/>
                </a:ext>
                <a:ext uri="{FF2B5EF4-FFF2-40B4-BE49-F238E27FC236}">
                  <a16:creationId xmlns:a16="http://schemas.microsoft.com/office/drawing/2014/main" id="{00000000-0008-0000-1300-00000C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93197" name="Check Box 13" hidden="1">
              <a:extLst>
                <a:ext uri="{63B3BB69-23CF-44E3-9099-C40C66FF867C}">
                  <a14:compatExt spid="_x0000_s93197"/>
                </a:ext>
                <a:ext uri="{FF2B5EF4-FFF2-40B4-BE49-F238E27FC236}">
                  <a16:creationId xmlns:a16="http://schemas.microsoft.com/office/drawing/2014/main" id="{00000000-0008-0000-1300-00000D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7761" name="Check Box 1" hidden="1">
              <a:extLst>
                <a:ext uri="{63B3BB69-23CF-44E3-9099-C40C66FF867C}">
                  <a14:compatExt spid="_x0000_s117761"/>
                </a:ext>
                <a:ext uri="{FF2B5EF4-FFF2-40B4-BE49-F238E27FC236}">
                  <a16:creationId xmlns:a16="http://schemas.microsoft.com/office/drawing/2014/main" id="{00000000-0008-0000-1400-000001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7762" name="Check Box 2" hidden="1">
              <a:extLst>
                <a:ext uri="{63B3BB69-23CF-44E3-9099-C40C66FF867C}">
                  <a14:compatExt spid="_x0000_s117762"/>
                </a:ext>
                <a:ext uri="{FF2B5EF4-FFF2-40B4-BE49-F238E27FC236}">
                  <a16:creationId xmlns:a16="http://schemas.microsoft.com/office/drawing/2014/main" id="{00000000-0008-0000-1400-000002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7763" name="Check Box 3" hidden="1">
              <a:extLst>
                <a:ext uri="{63B3BB69-23CF-44E3-9099-C40C66FF867C}">
                  <a14:compatExt spid="_x0000_s117763"/>
                </a:ext>
                <a:ext uri="{FF2B5EF4-FFF2-40B4-BE49-F238E27FC236}">
                  <a16:creationId xmlns:a16="http://schemas.microsoft.com/office/drawing/2014/main" id="{00000000-0008-0000-1400-000003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7764" name="Check Box 4" hidden="1">
              <a:extLst>
                <a:ext uri="{63B3BB69-23CF-44E3-9099-C40C66FF867C}">
                  <a14:compatExt spid="_x0000_s117764"/>
                </a:ext>
                <a:ext uri="{FF2B5EF4-FFF2-40B4-BE49-F238E27FC236}">
                  <a16:creationId xmlns:a16="http://schemas.microsoft.com/office/drawing/2014/main" id="{00000000-0008-0000-1400-000004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7765" name="Check Box 5" hidden="1">
              <a:extLst>
                <a:ext uri="{63B3BB69-23CF-44E3-9099-C40C66FF867C}">
                  <a14:compatExt spid="_x0000_s117765"/>
                </a:ext>
                <a:ext uri="{FF2B5EF4-FFF2-40B4-BE49-F238E27FC236}">
                  <a16:creationId xmlns:a16="http://schemas.microsoft.com/office/drawing/2014/main" id="{00000000-0008-0000-1400-000005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7766" name="Check Box 6" hidden="1">
              <a:extLst>
                <a:ext uri="{63B3BB69-23CF-44E3-9099-C40C66FF867C}">
                  <a14:compatExt spid="_x0000_s117766"/>
                </a:ext>
                <a:ext uri="{FF2B5EF4-FFF2-40B4-BE49-F238E27FC236}">
                  <a16:creationId xmlns:a16="http://schemas.microsoft.com/office/drawing/2014/main" id="{00000000-0008-0000-1400-000006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7767" name="Check Box 7" hidden="1">
              <a:extLst>
                <a:ext uri="{63B3BB69-23CF-44E3-9099-C40C66FF867C}">
                  <a14:compatExt spid="_x0000_s117767"/>
                </a:ext>
                <a:ext uri="{FF2B5EF4-FFF2-40B4-BE49-F238E27FC236}">
                  <a16:creationId xmlns:a16="http://schemas.microsoft.com/office/drawing/2014/main" id="{00000000-0008-0000-1400-000007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7768" name="Check Box 8" hidden="1">
              <a:extLst>
                <a:ext uri="{63B3BB69-23CF-44E3-9099-C40C66FF867C}">
                  <a14:compatExt spid="_x0000_s117768"/>
                </a:ext>
                <a:ext uri="{FF2B5EF4-FFF2-40B4-BE49-F238E27FC236}">
                  <a16:creationId xmlns:a16="http://schemas.microsoft.com/office/drawing/2014/main" id="{00000000-0008-0000-1400-000008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7769" name="Check Box 9" hidden="1">
              <a:extLst>
                <a:ext uri="{63B3BB69-23CF-44E3-9099-C40C66FF867C}">
                  <a14:compatExt spid="_x0000_s117769"/>
                </a:ext>
                <a:ext uri="{FF2B5EF4-FFF2-40B4-BE49-F238E27FC236}">
                  <a16:creationId xmlns:a16="http://schemas.microsoft.com/office/drawing/2014/main" id="{00000000-0008-0000-1400-000009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7770" name="Check Box 10" hidden="1">
              <a:extLst>
                <a:ext uri="{63B3BB69-23CF-44E3-9099-C40C66FF867C}">
                  <a14:compatExt spid="_x0000_s117770"/>
                </a:ext>
                <a:ext uri="{FF2B5EF4-FFF2-40B4-BE49-F238E27FC236}">
                  <a16:creationId xmlns:a16="http://schemas.microsoft.com/office/drawing/2014/main" id="{00000000-0008-0000-1400-00000A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7771" name="Check Box 11" hidden="1">
              <a:extLst>
                <a:ext uri="{63B3BB69-23CF-44E3-9099-C40C66FF867C}">
                  <a14:compatExt spid="_x0000_s117771"/>
                </a:ext>
                <a:ext uri="{FF2B5EF4-FFF2-40B4-BE49-F238E27FC236}">
                  <a16:creationId xmlns:a16="http://schemas.microsoft.com/office/drawing/2014/main" id="{00000000-0008-0000-1400-00000B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7772" name="Check Box 12" hidden="1">
              <a:extLst>
                <a:ext uri="{63B3BB69-23CF-44E3-9099-C40C66FF867C}">
                  <a14:compatExt spid="_x0000_s117772"/>
                </a:ext>
                <a:ext uri="{FF2B5EF4-FFF2-40B4-BE49-F238E27FC236}">
                  <a16:creationId xmlns:a16="http://schemas.microsoft.com/office/drawing/2014/main" id="{00000000-0008-0000-1400-00000C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7773" name="Check Box 13" hidden="1">
              <a:extLst>
                <a:ext uri="{63B3BB69-23CF-44E3-9099-C40C66FF867C}">
                  <a14:compatExt spid="_x0000_s117773"/>
                </a:ext>
                <a:ext uri="{FF2B5EF4-FFF2-40B4-BE49-F238E27FC236}">
                  <a16:creationId xmlns:a16="http://schemas.microsoft.com/office/drawing/2014/main" id="{00000000-0008-0000-1400-00000D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8785" name="Check Box 1" hidden="1">
              <a:extLst>
                <a:ext uri="{63B3BB69-23CF-44E3-9099-C40C66FF867C}">
                  <a14:compatExt spid="_x0000_s118785"/>
                </a:ext>
                <a:ext uri="{FF2B5EF4-FFF2-40B4-BE49-F238E27FC236}">
                  <a16:creationId xmlns:a16="http://schemas.microsoft.com/office/drawing/2014/main" id="{00000000-0008-0000-1500-000001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8786" name="Check Box 2" hidden="1">
              <a:extLst>
                <a:ext uri="{63B3BB69-23CF-44E3-9099-C40C66FF867C}">
                  <a14:compatExt spid="_x0000_s118786"/>
                </a:ext>
                <a:ext uri="{FF2B5EF4-FFF2-40B4-BE49-F238E27FC236}">
                  <a16:creationId xmlns:a16="http://schemas.microsoft.com/office/drawing/2014/main" id="{00000000-0008-0000-1500-000002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8787" name="Check Box 3" hidden="1">
              <a:extLst>
                <a:ext uri="{63B3BB69-23CF-44E3-9099-C40C66FF867C}">
                  <a14:compatExt spid="_x0000_s118787"/>
                </a:ext>
                <a:ext uri="{FF2B5EF4-FFF2-40B4-BE49-F238E27FC236}">
                  <a16:creationId xmlns:a16="http://schemas.microsoft.com/office/drawing/2014/main" id="{00000000-0008-0000-1500-000003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8788" name="Check Box 4" hidden="1">
              <a:extLst>
                <a:ext uri="{63B3BB69-23CF-44E3-9099-C40C66FF867C}">
                  <a14:compatExt spid="_x0000_s118788"/>
                </a:ext>
                <a:ext uri="{FF2B5EF4-FFF2-40B4-BE49-F238E27FC236}">
                  <a16:creationId xmlns:a16="http://schemas.microsoft.com/office/drawing/2014/main" id="{00000000-0008-0000-1500-000004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8789" name="Check Box 5" hidden="1">
              <a:extLst>
                <a:ext uri="{63B3BB69-23CF-44E3-9099-C40C66FF867C}">
                  <a14:compatExt spid="_x0000_s118789"/>
                </a:ext>
                <a:ext uri="{FF2B5EF4-FFF2-40B4-BE49-F238E27FC236}">
                  <a16:creationId xmlns:a16="http://schemas.microsoft.com/office/drawing/2014/main" id="{00000000-0008-0000-1500-000005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8790" name="Check Box 6" hidden="1">
              <a:extLst>
                <a:ext uri="{63B3BB69-23CF-44E3-9099-C40C66FF867C}">
                  <a14:compatExt spid="_x0000_s118790"/>
                </a:ext>
                <a:ext uri="{FF2B5EF4-FFF2-40B4-BE49-F238E27FC236}">
                  <a16:creationId xmlns:a16="http://schemas.microsoft.com/office/drawing/2014/main" id="{00000000-0008-0000-1500-000006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8791" name="Check Box 7" hidden="1">
              <a:extLst>
                <a:ext uri="{63B3BB69-23CF-44E3-9099-C40C66FF867C}">
                  <a14:compatExt spid="_x0000_s118791"/>
                </a:ext>
                <a:ext uri="{FF2B5EF4-FFF2-40B4-BE49-F238E27FC236}">
                  <a16:creationId xmlns:a16="http://schemas.microsoft.com/office/drawing/2014/main" id="{00000000-0008-0000-1500-000007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8792" name="Check Box 8" hidden="1">
              <a:extLst>
                <a:ext uri="{63B3BB69-23CF-44E3-9099-C40C66FF867C}">
                  <a14:compatExt spid="_x0000_s118792"/>
                </a:ext>
                <a:ext uri="{FF2B5EF4-FFF2-40B4-BE49-F238E27FC236}">
                  <a16:creationId xmlns:a16="http://schemas.microsoft.com/office/drawing/2014/main" id="{00000000-0008-0000-1500-000008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8793" name="Check Box 9" hidden="1">
              <a:extLst>
                <a:ext uri="{63B3BB69-23CF-44E3-9099-C40C66FF867C}">
                  <a14:compatExt spid="_x0000_s118793"/>
                </a:ext>
                <a:ext uri="{FF2B5EF4-FFF2-40B4-BE49-F238E27FC236}">
                  <a16:creationId xmlns:a16="http://schemas.microsoft.com/office/drawing/2014/main" id="{00000000-0008-0000-1500-000009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8794" name="Check Box 10" hidden="1">
              <a:extLst>
                <a:ext uri="{63B3BB69-23CF-44E3-9099-C40C66FF867C}">
                  <a14:compatExt spid="_x0000_s118794"/>
                </a:ext>
                <a:ext uri="{FF2B5EF4-FFF2-40B4-BE49-F238E27FC236}">
                  <a16:creationId xmlns:a16="http://schemas.microsoft.com/office/drawing/2014/main" id="{00000000-0008-0000-1500-00000A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8795" name="Check Box 11" hidden="1">
              <a:extLst>
                <a:ext uri="{63B3BB69-23CF-44E3-9099-C40C66FF867C}">
                  <a14:compatExt spid="_x0000_s118795"/>
                </a:ext>
                <a:ext uri="{FF2B5EF4-FFF2-40B4-BE49-F238E27FC236}">
                  <a16:creationId xmlns:a16="http://schemas.microsoft.com/office/drawing/2014/main" id="{00000000-0008-0000-1500-00000B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8796" name="Check Box 12" hidden="1">
              <a:extLst>
                <a:ext uri="{63B3BB69-23CF-44E3-9099-C40C66FF867C}">
                  <a14:compatExt spid="_x0000_s118796"/>
                </a:ext>
                <a:ext uri="{FF2B5EF4-FFF2-40B4-BE49-F238E27FC236}">
                  <a16:creationId xmlns:a16="http://schemas.microsoft.com/office/drawing/2014/main" id="{00000000-0008-0000-1500-00000C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8797" name="Check Box 13" hidden="1">
              <a:extLst>
                <a:ext uri="{63B3BB69-23CF-44E3-9099-C40C66FF867C}">
                  <a14:compatExt spid="_x0000_s118797"/>
                </a:ext>
                <a:ext uri="{FF2B5EF4-FFF2-40B4-BE49-F238E27FC236}">
                  <a16:creationId xmlns:a16="http://schemas.microsoft.com/office/drawing/2014/main" id="{00000000-0008-0000-1500-00000D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9809" name="Check Box 1" hidden="1">
              <a:extLst>
                <a:ext uri="{63B3BB69-23CF-44E3-9099-C40C66FF867C}">
                  <a14:compatExt spid="_x0000_s119809"/>
                </a:ext>
                <a:ext uri="{FF2B5EF4-FFF2-40B4-BE49-F238E27FC236}">
                  <a16:creationId xmlns:a16="http://schemas.microsoft.com/office/drawing/2014/main" id="{00000000-0008-0000-1600-000001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9810" name="Check Box 2" hidden="1">
              <a:extLst>
                <a:ext uri="{63B3BB69-23CF-44E3-9099-C40C66FF867C}">
                  <a14:compatExt spid="_x0000_s119810"/>
                </a:ext>
                <a:ext uri="{FF2B5EF4-FFF2-40B4-BE49-F238E27FC236}">
                  <a16:creationId xmlns:a16="http://schemas.microsoft.com/office/drawing/2014/main" id="{00000000-0008-0000-1600-000002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9811" name="Check Box 3" hidden="1">
              <a:extLst>
                <a:ext uri="{63B3BB69-23CF-44E3-9099-C40C66FF867C}">
                  <a14:compatExt spid="_x0000_s119811"/>
                </a:ext>
                <a:ext uri="{FF2B5EF4-FFF2-40B4-BE49-F238E27FC236}">
                  <a16:creationId xmlns:a16="http://schemas.microsoft.com/office/drawing/2014/main" id="{00000000-0008-0000-1600-000003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9812" name="Check Box 4" hidden="1">
              <a:extLst>
                <a:ext uri="{63B3BB69-23CF-44E3-9099-C40C66FF867C}">
                  <a14:compatExt spid="_x0000_s119812"/>
                </a:ext>
                <a:ext uri="{FF2B5EF4-FFF2-40B4-BE49-F238E27FC236}">
                  <a16:creationId xmlns:a16="http://schemas.microsoft.com/office/drawing/2014/main" id="{00000000-0008-0000-1600-000004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9813" name="Check Box 5" hidden="1">
              <a:extLst>
                <a:ext uri="{63B3BB69-23CF-44E3-9099-C40C66FF867C}">
                  <a14:compatExt spid="_x0000_s119813"/>
                </a:ext>
                <a:ext uri="{FF2B5EF4-FFF2-40B4-BE49-F238E27FC236}">
                  <a16:creationId xmlns:a16="http://schemas.microsoft.com/office/drawing/2014/main" id="{00000000-0008-0000-1600-000005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9814" name="Check Box 6" hidden="1">
              <a:extLst>
                <a:ext uri="{63B3BB69-23CF-44E3-9099-C40C66FF867C}">
                  <a14:compatExt spid="_x0000_s119814"/>
                </a:ext>
                <a:ext uri="{FF2B5EF4-FFF2-40B4-BE49-F238E27FC236}">
                  <a16:creationId xmlns:a16="http://schemas.microsoft.com/office/drawing/2014/main" id="{00000000-0008-0000-1600-000006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9815" name="Check Box 7" hidden="1">
              <a:extLst>
                <a:ext uri="{63B3BB69-23CF-44E3-9099-C40C66FF867C}">
                  <a14:compatExt spid="_x0000_s119815"/>
                </a:ext>
                <a:ext uri="{FF2B5EF4-FFF2-40B4-BE49-F238E27FC236}">
                  <a16:creationId xmlns:a16="http://schemas.microsoft.com/office/drawing/2014/main" id="{00000000-0008-0000-1600-000007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9816" name="Check Box 8" hidden="1">
              <a:extLst>
                <a:ext uri="{63B3BB69-23CF-44E3-9099-C40C66FF867C}">
                  <a14:compatExt spid="_x0000_s119816"/>
                </a:ext>
                <a:ext uri="{FF2B5EF4-FFF2-40B4-BE49-F238E27FC236}">
                  <a16:creationId xmlns:a16="http://schemas.microsoft.com/office/drawing/2014/main" id="{00000000-0008-0000-1600-000008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9817" name="Check Box 9" hidden="1">
              <a:extLst>
                <a:ext uri="{63B3BB69-23CF-44E3-9099-C40C66FF867C}">
                  <a14:compatExt spid="_x0000_s119817"/>
                </a:ext>
                <a:ext uri="{FF2B5EF4-FFF2-40B4-BE49-F238E27FC236}">
                  <a16:creationId xmlns:a16="http://schemas.microsoft.com/office/drawing/2014/main" id="{00000000-0008-0000-1600-000009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9818" name="Check Box 10" hidden="1">
              <a:extLst>
                <a:ext uri="{63B3BB69-23CF-44E3-9099-C40C66FF867C}">
                  <a14:compatExt spid="_x0000_s119818"/>
                </a:ext>
                <a:ext uri="{FF2B5EF4-FFF2-40B4-BE49-F238E27FC236}">
                  <a16:creationId xmlns:a16="http://schemas.microsoft.com/office/drawing/2014/main" id="{00000000-0008-0000-1600-00000A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9819" name="Check Box 11" hidden="1">
              <a:extLst>
                <a:ext uri="{63B3BB69-23CF-44E3-9099-C40C66FF867C}">
                  <a14:compatExt spid="_x0000_s119819"/>
                </a:ext>
                <a:ext uri="{FF2B5EF4-FFF2-40B4-BE49-F238E27FC236}">
                  <a16:creationId xmlns:a16="http://schemas.microsoft.com/office/drawing/2014/main" id="{00000000-0008-0000-1600-00000B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9820" name="Check Box 12" hidden="1">
              <a:extLst>
                <a:ext uri="{63B3BB69-23CF-44E3-9099-C40C66FF867C}">
                  <a14:compatExt spid="_x0000_s119820"/>
                </a:ext>
                <a:ext uri="{FF2B5EF4-FFF2-40B4-BE49-F238E27FC236}">
                  <a16:creationId xmlns:a16="http://schemas.microsoft.com/office/drawing/2014/main" id="{00000000-0008-0000-1600-00000C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9821" name="Check Box 13" hidden="1">
              <a:extLst>
                <a:ext uri="{63B3BB69-23CF-44E3-9099-C40C66FF867C}">
                  <a14:compatExt spid="_x0000_s119821"/>
                </a:ext>
                <a:ext uri="{FF2B5EF4-FFF2-40B4-BE49-F238E27FC236}">
                  <a16:creationId xmlns:a16="http://schemas.microsoft.com/office/drawing/2014/main" id="{00000000-0008-0000-1600-00000D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92161" name="Check Box 1" hidden="1">
              <a:extLst>
                <a:ext uri="{63B3BB69-23CF-44E3-9099-C40C66FF867C}">
                  <a14:compatExt spid="_x0000_s92161"/>
                </a:ext>
                <a:ext uri="{FF2B5EF4-FFF2-40B4-BE49-F238E27FC236}">
                  <a16:creationId xmlns:a16="http://schemas.microsoft.com/office/drawing/2014/main" id="{00000000-0008-0000-1700-000001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92162" name="Check Box 2" hidden="1">
              <a:extLst>
                <a:ext uri="{63B3BB69-23CF-44E3-9099-C40C66FF867C}">
                  <a14:compatExt spid="_x0000_s92162"/>
                </a:ext>
                <a:ext uri="{FF2B5EF4-FFF2-40B4-BE49-F238E27FC236}">
                  <a16:creationId xmlns:a16="http://schemas.microsoft.com/office/drawing/2014/main" id="{00000000-0008-0000-1700-000002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92163" name="Check Box 3" hidden="1">
              <a:extLst>
                <a:ext uri="{63B3BB69-23CF-44E3-9099-C40C66FF867C}">
                  <a14:compatExt spid="_x0000_s92163"/>
                </a:ext>
                <a:ext uri="{FF2B5EF4-FFF2-40B4-BE49-F238E27FC236}">
                  <a16:creationId xmlns:a16="http://schemas.microsoft.com/office/drawing/2014/main" id="{00000000-0008-0000-1700-000003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92164" name="Check Box 4" hidden="1">
              <a:extLst>
                <a:ext uri="{63B3BB69-23CF-44E3-9099-C40C66FF867C}">
                  <a14:compatExt spid="_x0000_s92164"/>
                </a:ext>
                <a:ext uri="{FF2B5EF4-FFF2-40B4-BE49-F238E27FC236}">
                  <a16:creationId xmlns:a16="http://schemas.microsoft.com/office/drawing/2014/main" id="{00000000-0008-0000-1700-000004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92165" name="Check Box 5" hidden="1">
              <a:extLst>
                <a:ext uri="{63B3BB69-23CF-44E3-9099-C40C66FF867C}">
                  <a14:compatExt spid="_x0000_s92165"/>
                </a:ext>
                <a:ext uri="{FF2B5EF4-FFF2-40B4-BE49-F238E27FC236}">
                  <a16:creationId xmlns:a16="http://schemas.microsoft.com/office/drawing/2014/main" id="{00000000-0008-0000-1700-000005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92166" name="Check Box 6" hidden="1">
              <a:extLst>
                <a:ext uri="{63B3BB69-23CF-44E3-9099-C40C66FF867C}">
                  <a14:compatExt spid="_x0000_s92166"/>
                </a:ext>
                <a:ext uri="{FF2B5EF4-FFF2-40B4-BE49-F238E27FC236}">
                  <a16:creationId xmlns:a16="http://schemas.microsoft.com/office/drawing/2014/main" id="{00000000-0008-0000-1700-000006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92167" name="Check Box 7" hidden="1">
              <a:extLst>
                <a:ext uri="{63B3BB69-23CF-44E3-9099-C40C66FF867C}">
                  <a14:compatExt spid="_x0000_s92167"/>
                </a:ext>
                <a:ext uri="{FF2B5EF4-FFF2-40B4-BE49-F238E27FC236}">
                  <a16:creationId xmlns:a16="http://schemas.microsoft.com/office/drawing/2014/main" id="{00000000-0008-0000-1700-000007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92168" name="Check Box 8" hidden="1">
              <a:extLst>
                <a:ext uri="{63B3BB69-23CF-44E3-9099-C40C66FF867C}">
                  <a14:compatExt spid="_x0000_s92168"/>
                </a:ext>
                <a:ext uri="{FF2B5EF4-FFF2-40B4-BE49-F238E27FC236}">
                  <a16:creationId xmlns:a16="http://schemas.microsoft.com/office/drawing/2014/main" id="{00000000-0008-0000-1700-000008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92169" name="Check Box 9" hidden="1">
              <a:extLst>
                <a:ext uri="{63B3BB69-23CF-44E3-9099-C40C66FF867C}">
                  <a14:compatExt spid="_x0000_s92169"/>
                </a:ext>
                <a:ext uri="{FF2B5EF4-FFF2-40B4-BE49-F238E27FC236}">
                  <a16:creationId xmlns:a16="http://schemas.microsoft.com/office/drawing/2014/main" id="{00000000-0008-0000-1700-000009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92170" name="Check Box 10" hidden="1">
              <a:extLst>
                <a:ext uri="{63B3BB69-23CF-44E3-9099-C40C66FF867C}">
                  <a14:compatExt spid="_x0000_s92170"/>
                </a:ext>
                <a:ext uri="{FF2B5EF4-FFF2-40B4-BE49-F238E27FC236}">
                  <a16:creationId xmlns:a16="http://schemas.microsoft.com/office/drawing/2014/main" id="{00000000-0008-0000-1700-00000A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92171" name="Check Box 11" hidden="1">
              <a:extLst>
                <a:ext uri="{63B3BB69-23CF-44E3-9099-C40C66FF867C}">
                  <a14:compatExt spid="_x0000_s92171"/>
                </a:ext>
                <a:ext uri="{FF2B5EF4-FFF2-40B4-BE49-F238E27FC236}">
                  <a16:creationId xmlns:a16="http://schemas.microsoft.com/office/drawing/2014/main" id="{00000000-0008-0000-1700-00000B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92172" name="Check Box 12" hidden="1">
              <a:extLst>
                <a:ext uri="{63B3BB69-23CF-44E3-9099-C40C66FF867C}">
                  <a14:compatExt spid="_x0000_s92172"/>
                </a:ext>
                <a:ext uri="{FF2B5EF4-FFF2-40B4-BE49-F238E27FC236}">
                  <a16:creationId xmlns:a16="http://schemas.microsoft.com/office/drawing/2014/main" id="{00000000-0008-0000-1700-00000C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92173" name="Check Box 13" hidden="1">
              <a:extLst>
                <a:ext uri="{63B3BB69-23CF-44E3-9099-C40C66FF867C}">
                  <a14:compatExt spid="_x0000_s92173"/>
                </a:ext>
                <a:ext uri="{FF2B5EF4-FFF2-40B4-BE49-F238E27FC236}">
                  <a16:creationId xmlns:a16="http://schemas.microsoft.com/office/drawing/2014/main" id="{00000000-0008-0000-1700-00000D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21857" name="Check Box 1" hidden="1">
              <a:extLst>
                <a:ext uri="{63B3BB69-23CF-44E3-9099-C40C66FF867C}">
                  <a14:compatExt spid="_x0000_s121857"/>
                </a:ext>
                <a:ext uri="{FF2B5EF4-FFF2-40B4-BE49-F238E27FC236}">
                  <a16:creationId xmlns:a16="http://schemas.microsoft.com/office/drawing/2014/main" id="{00000000-0008-0000-1800-000001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21858" name="Check Box 2" hidden="1">
              <a:extLst>
                <a:ext uri="{63B3BB69-23CF-44E3-9099-C40C66FF867C}">
                  <a14:compatExt spid="_x0000_s121858"/>
                </a:ext>
                <a:ext uri="{FF2B5EF4-FFF2-40B4-BE49-F238E27FC236}">
                  <a16:creationId xmlns:a16="http://schemas.microsoft.com/office/drawing/2014/main" id="{00000000-0008-0000-1800-000002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21859" name="Check Box 3" hidden="1">
              <a:extLst>
                <a:ext uri="{63B3BB69-23CF-44E3-9099-C40C66FF867C}">
                  <a14:compatExt spid="_x0000_s121859"/>
                </a:ext>
                <a:ext uri="{FF2B5EF4-FFF2-40B4-BE49-F238E27FC236}">
                  <a16:creationId xmlns:a16="http://schemas.microsoft.com/office/drawing/2014/main" id="{00000000-0008-0000-1800-000003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21860" name="Check Box 4" hidden="1">
              <a:extLst>
                <a:ext uri="{63B3BB69-23CF-44E3-9099-C40C66FF867C}">
                  <a14:compatExt spid="_x0000_s121860"/>
                </a:ext>
                <a:ext uri="{FF2B5EF4-FFF2-40B4-BE49-F238E27FC236}">
                  <a16:creationId xmlns:a16="http://schemas.microsoft.com/office/drawing/2014/main" id="{00000000-0008-0000-1800-000004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21861" name="Check Box 5" hidden="1">
              <a:extLst>
                <a:ext uri="{63B3BB69-23CF-44E3-9099-C40C66FF867C}">
                  <a14:compatExt spid="_x0000_s121861"/>
                </a:ext>
                <a:ext uri="{FF2B5EF4-FFF2-40B4-BE49-F238E27FC236}">
                  <a16:creationId xmlns:a16="http://schemas.microsoft.com/office/drawing/2014/main" id="{00000000-0008-0000-1800-000005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21862" name="Check Box 6" hidden="1">
              <a:extLst>
                <a:ext uri="{63B3BB69-23CF-44E3-9099-C40C66FF867C}">
                  <a14:compatExt spid="_x0000_s121862"/>
                </a:ext>
                <a:ext uri="{FF2B5EF4-FFF2-40B4-BE49-F238E27FC236}">
                  <a16:creationId xmlns:a16="http://schemas.microsoft.com/office/drawing/2014/main" id="{00000000-0008-0000-1800-000006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21863" name="Check Box 7" hidden="1">
              <a:extLst>
                <a:ext uri="{63B3BB69-23CF-44E3-9099-C40C66FF867C}">
                  <a14:compatExt spid="_x0000_s121863"/>
                </a:ext>
                <a:ext uri="{FF2B5EF4-FFF2-40B4-BE49-F238E27FC236}">
                  <a16:creationId xmlns:a16="http://schemas.microsoft.com/office/drawing/2014/main" id="{00000000-0008-0000-1800-000007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21864" name="Check Box 8" hidden="1">
              <a:extLst>
                <a:ext uri="{63B3BB69-23CF-44E3-9099-C40C66FF867C}">
                  <a14:compatExt spid="_x0000_s121864"/>
                </a:ext>
                <a:ext uri="{FF2B5EF4-FFF2-40B4-BE49-F238E27FC236}">
                  <a16:creationId xmlns:a16="http://schemas.microsoft.com/office/drawing/2014/main" id="{00000000-0008-0000-1800-000008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21865" name="Check Box 9" hidden="1">
              <a:extLst>
                <a:ext uri="{63B3BB69-23CF-44E3-9099-C40C66FF867C}">
                  <a14:compatExt spid="_x0000_s121865"/>
                </a:ext>
                <a:ext uri="{FF2B5EF4-FFF2-40B4-BE49-F238E27FC236}">
                  <a16:creationId xmlns:a16="http://schemas.microsoft.com/office/drawing/2014/main" id="{00000000-0008-0000-1800-000009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21866" name="Check Box 10" hidden="1">
              <a:extLst>
                <a:ext uri="{63B3BB69-23CF-44E3-9099-C40C66FF867C}">
                  <a14:compatExt spid="_x0000_s121866"/>
                </a:ext>
                <a:ext uri="{FF2B5EF4-FFF2-40B4-BE49-F238E27FC236}">
                  <a16:creationId xmlns:a16="http://schemas.microsoft.com/office/drawing/2014/main" id="{00000000-0008-0000-1800-00000A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21867" name="Check Box 11" hidden="1">
              <a:extLst>
                <a:ext uri="{63B3BB69-23CF-44E3-9099-C40C66FF867C}">
                  <a14:compatExt spid="_x0000_s121867"/>
                </a:ext>
                <a:ext uri="{FF2B5EF4-FFF2-40B4-BE49-F238E27FC236}">
                  <a16:creationId xmlns:a16="http://schemas.microsoft.com/office/drawing/2014/main" id="{00000000-0008-0000-1800-00000B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21868" name="Check Box 12" hidden="1">
              <a:extLst>
                <a:ext uri="{63B3BB69-23CF-44E3-9099-C40C66FF867C}">
                  <a14:compatExt spid="_x0000_s121868"/>
                </a:ext>
                <a:ext uri="{FF2B5EF4-FFF2-40B4-BE49-F238E27FC236}">
                  <a16:creationId xmlns:a16="http://schemas.microsoft.com/office/drawing/2014/main" id="{00000000-0008-0000-1800-00000C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21869" name="Check Box 13" hidden="1">
              <a:extLst>
                <a:ext uri="{63B3BB69-23CF-44E3-9099-C40C66FF867C}">
                  <a14:compatExt spid="_x0000_s121869"/>
                </a:ext>
                <a:ext uri="{FF2B5EF4-FFF2-40B4-BE49-F238E27FC236}">
                  <a16:creationId xmlns:a16="http://schemas.microsoft.com/office/drawing/2014/main" id="{00000000-0008-0000-1800-00000D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23905" name="Check Box 1" hidden="1">
              <a:extLst>
                <a:ext uri="{63B3BB69-23CF-44E3-9099-C40C66FF867C}">
                  <a14:compatExt spid="_x0000_s123905"/>
                </a:ext>
                <a:ext uri="{FF2B5EF4-FFF2-40B4-BE49-F238E27FC236}">
                  <a16:creationId xmlns:a16="http://schemas.microsoft.com/office/drawing/2014/main" id="{00000000-0008-0000-1900-000001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23906" name="Check Box 2" hidden="1">
              <a:extLst>
                <a:ext uri="{63B3BB69-23CF-44E3-9099-C40C66FF867C}">
                  <a14:compatExt spid="_x0000_s123906"/>
                </a:ext>
                <a:ext uri="{FF2B5EF4-FFF2-40B4-BE49-F238E27FC236}">
                  <a16:creationId xmlns:a16="http://schemas.microsoft.com/office/drawing/2014/main" id="{00000000-0008-0000-1900-000002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23907" name="Check Box 3" hidden="1">
              <a:extLst>
                <a:ext uri="{63B3BB69-23CF-44E3-9099-C40C66FF867C}">
                  <a14:compatExt spid="_x0000_s123907"/>
                </a:ext>
                <a:ext uri="{FF2B5EF4-FFF2-40B4-BE49-F238E27FC236}">
                  <a16:creationId xmlns:a16="http://schemas.microsoft.com/office/drawing/2014/main" id="{00000000-0008-0000-1900-000003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23908" name="Check Box 4" hidden="1">
              <a:extLst>
                <a:ext uri="{63B3BB69-23CF-44E3-9099-C40C66FF867C}">
                  <a14:compatExt spid="_x0000_s123908"/>
                </a:ext>
                <a:ext uri="{FF2B5EF4-FFF2-40B4-BE49-F238E27FC236}">
                  <a16:creationId xmlns:a16="http://schemas.microsoft.com/office/drawing/2014/main" id="{00000000-0008-0000-1900-000004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23909" name="Check Box 5" hidden="1">
              <a:extLst>
                <a:ext uri="{63B3BB69-23CF-44E3-9099-C40C66FF867C}">
                  <a14:compatExt spid="_x0000_s123909"/>
                </a:ext>
                <a:ext uri="{FF2B5EF4-FFF2-40B4-BE49-F238E27FC236}">
                  <a16:creationId xmlns:a16="http://schemas.microsoft.com/office/drawing/2014/main" id="{00000000-0008-0000-1900-000005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23910" name="Check Box 6" hidden="1">
              <a:extLst>
                <a:ext uri="{63B3BB69-23CF-44E3-9099-C40C66FF867C}">
                  <a14:compatExt spid="_x0000_s123910"/>
                </a:ext>
                <a:ext uri="{FF2B5EF4-FFF2-40B4-BE49-F238E27FC236}">
                  <a16:creationId xmlns:a16="http://schemas.microsoft.com/office/drawing/2014/main" id="{00000000-0008-0000-1900-000006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23911" name="Check Box 7" hidden="1">
              <a:extLst>
                <a:ext uri="{63B3BB69-23CF-44E3-9099-C40C66FF867C}">
                  <a14:compatExt spid="_x0000_s123911"/>
                </a:ext>
                <a:ext uri="{FF2B5EF4-FFF2-40B4-BE49-F238E27FC236}">
                  <a16:creationId xmlns:a16="http://schemas.microsoft.com/office/drawing/2014/main" id="{00000000-0008-0000-1900-000007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23912" name="Check Box 8" hidden="1">
              <a:extLst>
                <a:ext uri="{63B3BB69-23CF-44E3-9099-C40C66FF867C}">
                  <a14:compatExt spid="_x0000_s123912"/>
                </a:ext>
                <a:ext uri="{FF2B5EF4-FFF2-40B4-BE49-F238E27FC236}">
                  <a16:creationId xmlns:a16="http://schemas.microsoft.com/office/drawing/2014/main" id="{00000000-0008-0000-1900-000008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23913" name="Check Box 9" hidden="1">
              <a:extLst>
                <a:ext uri="{63B3BB69-23CF-44E3-9099-C40C66FF867C}">
                  <a14:compatExt spid="_x0000_s123913"/>
                </a:ext>
                <a:ext uri="{FF2B5EF4-FFF2-40B4-BE49-F238E27FC236}">
                  <a16:creationId xmlns:a16="http://schemas.microsoft.com/office/drawing/2014/main" id="{00000000-0008-0000-1900-000009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23914" name="Check Box 10" hidden="1">
              <a:extLst>
                <a:ext uri="{63B3BB69-23CF-44E3-9099-C40C66FF867C}">
                  <a14:compatExt spid="_x0000_s123914"/>
                </a:ext>
                <a:ext uri="{FF2B5EF4-FFF2-40B4-BE49-F238E27FC236}">
                  <a16:creationId xmlns:a16="http://schemas.microsoft.com/office/drawing/2014/main" id="{00000000-0008-0000-1900-00000A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23915" name="Check Box 11" hidden="1">
              <a:extLst>
                <a:ext uri="{63B3BB69-23CF-44E3-9099-C40C66FF867C}">
                  <a14:compatExt spid="_x0000_s123915"/>
                </a:ext>
                <a:ext uri="{FF2B5EF4-FFF2-40B4-BE49-F238E27FC236}">
                  <a16:creationId xmlns:a16="http://schemas.microsoft.com/office/drawing/2014/main" id="{00000000-0008-0000-1900-00000B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23916" name="Check Box 12" hidden="1">
              <a:extLst>
                <a:ext uri="{63B3BB69-23CF-44E3-9099-C40C66FF867C}">
                  <a14:compatExt spid="_x0000_s123916"/>
                </a:ext>
                <a:ext uri="{FF2B5EF4-FFF2-40B4-BE49-F238E27FC236}">
                  <a16:creationId xmlns:a16="http://schemas.microsoft.com/office/drawing/2014/main" id="{00000000-0008-0000-1900-00000C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23917" name="Check Box 13" hidden="1">
              <a:extLst>
                <a:ext uri="{63B3BB69-23CF-44E3-9099-C40C66FF867C}">
                  <a14:compatExt spid="_x0000_s123917"/>
                </a:ext>
                <a:ext uri="{FF2B5EF4-FFF2-40B4-BE49-F238E27FC236}">
                  <a16:creationId xmlns:a16="http://schemas.microsoft.com/office/drawing/2014/main" id="{00000000-0008-0000-1900-00000D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06497" name="Check Box 1" hidden="1">
              <a:extLst>
                <a:ext uri="{63B3BB69-23CF-44E3-9099-C40C66FF867C}">
                  <a14:compatExt spid="_x0000_s106497"/>
                </a:ext>
                <a:ext uri="{FF2B5EF4-FFF2-40B4-BE49-F238E27FC236}">
                  <a16:creationId xmlns:a16="http://schemas.microsoft.com/office/drawing/2014/main" id="{00000000-0008-0000-1A00-000001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06498" name="Check Box 2" hidden="1">
              <a:extLst>
                <a:ext uri="{63B3BB69-23CF-44E3-9099-C40C66FF867C}">
                  <a14:compatExt spid="_x0000_s106498"/>
                </a:ext>
                <a:ext uri="{FF2B5EF4-FFF2-40B4-BE49-F238E27FC236}">
                  <a16:creationId xmlns:a16="http://schemas.microsoft.com/office/drawing/2014/main" id="{00000000-0008-0000-1A00-000002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06499" name="Check Box 3" hidden="1">
              <a:extLst>
                <a:ext uri="{63B3BB69-23CF-44E3-9099-C40C66FF867C}">
                  <a14:compatExt spid="_x0000_s106499"/>
                </a:ext>
                <a:ext uri="{FF2B5EF4-FFF2-40B4-BE49-F238E27FC236}">
                  <a16:creationId xmlns:a16="http://schemas.microsoft.com/office/drawing/2014/main" id="{00000000-0008-0000-1A00-000003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06500" name="Check Box 4" hidden="1">
              <a:extLst>
                <a:ext uri="{63B3BB69-23CF-44E3-9099-C40C66FF867C}">
                  <a14:compatExt spid="_x0000_s106500"/>
                </a:ext>
                <a:ext uri="{FF2B5EF4-FFF2-40B4-BE49-F238E27FC236}">
                  <a16:creationId xmlns:a16="http://schemas.microsoft.com/office/drawing/2014/main" id="{00000000-0008-0000-1A00-000004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06501" name="Check Box 5" hidden="1">
              <a:extLst>
                <a:ext uri="{63B3BB69-23CF-44E3-9099-C40C66FF867C}">
                  <a14:compatExt spid="_x0000_s106501"/>
                </a:ext>
                <a:ext uri="{FF2B5EF4-FFF2-40B4-BE49-F238E27FC236}">
                  <a16:creationId xmlns:a16="http://schemas.microsoft.com/office/drawing/2014/main" id="{00000000-0008-0000-1A00-000005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06502" name="Check Box 6" hidden="1">
              <a:extLst>
                <a:ext uri="{63B3BB69-23CF-44E3-9099-C40C66FF867C}">
                  <a14:compatExt spid="_x0000_s106502"/>
                </a:ext>
                <a:ext uri="{FF2B5EF4-FFF2-40B4-BE49-F238E27FC236}">
                  <a16:creationId xmlns:a16="http://schemas.microsoft.com/office/drawing/2014/main" id="{00000000-0008-0000-1A00-000006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06503" name="Check Box 7" hidden="1">
              <a:extLst>
                <a:ext uri="{63B3BB69-23CF-44E3-9099-C40C66FF867C}">
                  <a14:compatExt spid="_x0000_s106503"/>
                </a:ext>
                <a:ext uri="{FF2B5EF4-FFF2-40B4-BE49-F238E27FC236}">
                  <a16:creationId xmlns:a16="http://schemas.microsoft.com/office/drawing/2014/main" id="{00000000-0008-0000-1A00-000007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06504" name="Check Box 8" hidden="1">
              <a:extLst>
                <a:ext uri="{63B3BB69-23CF-44E3-9099-C40C66FF867C}">
                  <a14:compatExt spid="_x0000_s106504"/>
                </a:ext>
                <a:ext uri="{FF2B5EF4-FFF2-40B4-BE49-F238E27FC236}">
                  <a16:creationId xmlns:a16="http://schemas.microsoft.com/office/drawing/2014/main" id="{00000000-0008-0000-1A00-000008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06505" name="Check Box 9" hidden="1">
              <a:extLst>
                <a:ext uri="{63B3BB69-23CF-44E3-9099-C40C66FF867C}">
                  <a14:compatExt spid="_x0000_s106505"/>
                </a:ext>
                <a:ext uri="{FF2B5EF4-FFF2-40B4-BE49-F238E27FC236}">
                  <a16:creationId xmlns:a16="http://schemas.microsoft.com/office/drawing/2014/main" id="{00000000-0008-0000-1A00-000009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06506" name="Check Box 10" hidden="1">
              <a:extLst>
                <a:ext uri="{63B3BB69-23CF-44E3-9099-C40C66FF867C}">
                  <a14:compatExt spid="_x0000_s106506"/>
                </a:ext>
                <a:ext uri="{FF2B5EF4-FFF2-40B4-BE49-F238E27FC236}">
                  <a16:creationId xmlns:a16="http://schemas.microsoft.com/office/drawing/2014/main" id="{00000000-0008-0000-1A00-00000A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06507" name="Check Box 11" hidden="1">
              <a:extLst>
                <a:ext uri="{63B3BB69-23CF-44E3-9099-C40C66FF867C}">
                  <a14:compatExt spid="_x0000_s106507"/>
                </a:ext>
                <a:ext uri="{FF2B5EF4-FFF2-40B4-BE49-F238E27FC236}">
                  <a16:creationId xmlns:a16="http://schemas.microsoft.com/office/drawing/2014/main" id="{00000000-0008-0000-1A00-00000B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06508" name="Check Box 12" hidden="1">
              <a:extLst>
                <a:ext uri="{63B3BB69-23CF-44E3-9099-C40C66FF867C}">
                  <a14:compatExt spid="_x0000_s106508"/>
                </a:ext>
                <a:ext uri="{FF2B5EF4-FFF2-40B4-BE49-F238E27FC236}">
                  <a16:creationId xmlns:a16="http://schemas.microsoft.com/office/drawing/2014/main" id="{00000000-0008-0000-1A00-00000C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06509" name="Check Box 13" hidden="1">
              <a:extLst>
                <a:ext uri="{63B3BB69-23CF-44E3-9099-C40C66FF867C}">
                  <a14:compatExt spid="_x0000_s106509"/>
                </a:ext>
                <a:ext uri="{FF2B5EF4-FFF2-40B4-BE49-F238E27FC236}">
                  <a16:creationId xmlns:a16="http://schemas.microsoft.com/office/drawing/2014/main" id="{00000000-0008-0000-1A00-00000D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3" Type="http://schemas.openxmlformats.org/officeDocument/2006/relationships/vmlDrawing" Target="../drawings/vmlDrawing2.vml"/><Relationship Id="rId7" Type="http://schemas.openxmlformats.org/officeDocument/2006/relationships/ctrlProp" Target="../ctrlProps/ctrlProp17.xml"/><Relationship Id="rId12" Type="http://schemas.openxmlformats.org/officeDocument/2006/relationships/ctrlProp" Target="../ctrlProps/ctrlProp22.xml"/><Relationship Id="rId2" Type="http://schemas.openxmlformats.org/officeDocument/2006/relationships/drawing" Target="../drawings/drawing2.xml"/><Relationship Id="rId16" Type="http://schemas.openxmlformats.org/officeDocument/2006/relationships/ctrlProp" Target="../ctrlProps/ctrlProp26.xml"/><Relationship Id="rId1" Type="http://schemas.openxmlformats.org/officeDocument/2006/relationships/printerSettings" Target="../printerSettings/printerSettings3.bin"/><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5" Type="http://schemas.openxmlformats.org/officeDocument/2006/relationships/ctrlProp" Target="../ctrlProps/ctrlProp2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trlProp" Target="../ctrlProps/ctrlProp2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31.xml"/><Relationship Id="rId13" Type="http://schemas.openxmlformats.org/officeDocument/2006/relationships/ctrlProp" Target="../ctrlProps/ctrlProp36.xml"/><Relationship Id="rId3" Type="http://schemas.openxmlformats.org/officeDocument/2006/relationships/vmlDrawing" Target="../drawings/vmlDrawing3.vml"/><Relationship Id="rId7" Type="http://schemas.openxmlformats.org/officeDocument/2006/relationships/ctrlProp" Target="../ctrlProps/ctrlProp30.xml"/><Relationship Id="rId12" Type="http://schemas.openxmlformats.org/officeDocument/2006/relationships/ctrlProp" Target="../ctrlProps/ctrlProp35.xml"/><Relationship Id="rId2" Type="http://schemas.openxmlformats.org/officeDocument/2006/relationships/drawing" Target="../drawings/drawing3.xml"/><Relationship Id="rId16" Type="http://schemas.openxmlformats.org/officeDocument/2006/relationships/ctrlProp" Target="../ctrlProps/ctrlProp39.xml"/><Relationship Id="rId1" Type="http://schemas.openxmlformats.org/officeDocument/2006/relationships/printerSettings" Target="../printerSettings/printerSettings4.bin"/><Relationship Id="rId6" Type="http://schemas.openxmlformats.org/officeDocument/2006/relationships/ctrlProp" Target="../ctrlProps/ctrlProp29.xml"/><Relationship Id="rId11" Type="http://schemas.openxmlformats.org/officeDocument/2006/relationships/ctrlProp" Target="../ctrlProps/ctrlProp34.xml"/><Relationship Id="rId5" Type="http://schemas.openxmlformats.org/officeDocument/2006/relationships/ctrlProp" Target="../ctrlProps/ctrlProp28.xml"/><Relationship Id="rId15" Type="http://schemas.openxmlformats.org/officeDocument/2006/relationships/ctrlProp" Target="../ctrlProps/ctrlProp38.xml"/><Relationship Id="rId10" Type="http://schemas.openxmlformats.org/officeDocument/2006/relationships/ctrlProp" Target="../ctrlProps/ctrlProp33.xml"/><Relationship Id="rId4" Type="http://schemas.openxmlformats.org/officeDocument/2006/relationships/ctrlProp" Target="../ctrlProps/ctrlProp27.xml"/><Relationship Id="rId9" Type="http://schemas.openxmlformats.org/officeDocument/2006/relationships/ctrlProp" Target="../ctrlProps/ctrlProp32.xml"/><Relationship Id="rId14" Type="http://schemas.openxmlformats.org/officeDocument/2006/relationships/ctrlProp" Target="../ctrlProps/ctrlProp37.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44.xml"/><Relationship Id="rId13" Type="http://schemas.openxmlformats.org/officeDocument/2006/relationships/ctrlProp" Target="../ctrlProps/ctrlProp49.xml"/><Relationship Id="rId3" Type="http://schemas.openxmlformats.org/officeDocument/2006/relationships/vmlDrawing" Target="../drawings/vmlDrawing4.vml"/><Relationship Id="rId7" Type="http://schemas.openxmlformats.org/officeDocument/2006/relationships/ctrlProp" Target="../ctrlProps/ctrlProp43.xml"/><Relationship Id="rId12" Type="http://schemas.openxmlformats.org/officeDocument/2006/relationships/ctrlProp" Target="../ctrlProps/ctrlProp48.xml"/><Relationship Id="rId2" Type="http://schemas.openxmlformats.org/officeDocument/2006/relationships/drawing" Target="../drawings/drawing4.xml"/><Relationship Id="rId16" Type="http://schemas.openxmlformats.org/officeDocument/2006/relationships/ctrlProp" Target="../ctrlProps/ctrlProp52.xml"/><Relationship Id="rId1" Type="http://schemas.openxmlformats.org/officeDocument/2006/relationships/printerSettings" Target="../printerSettings/printerSettings5.bin"/><Relationship Id="rId6" Type="http://schemas.openxmlformats.org/officeDocument/2006/relationships/ctrlProp" Target="../ctrlProps/ctrlProp42.xml"/><Relationship Id="rId11" Type="http://schemas.openxmlformats.org/officeDocument/2006/relationships/ctrlProp" Target="../ctrlProps/ctrlProp47.xml"/><Relationship Id="rId5" Type="http://schemas.openxmlformats.org/officeDocument/2006/relationships/ctrlProp" Target="../ctrlProps/ctrlProp41.xml"/><Relationship Id="rId15" Type="http://schemas.openxmlformats.org/officeDocument/2006/relationships/ctrlProp" Target="../ctrlProps/ctrlProp51.xml"/><Relationship Id="rId10" Type="http://schemas.openxmlformats.org/officeDocument/2006/relationships/ctrlProp" Target="../ctrlProps/ctrlProp46.xml"/><Relationship Id="rId4" Type="http://schemas.openxmlformats.org/officeDocument/2006/relationships/ctrlProp" Target="../ctrlProps/ctrlProp40.xml"/><Relationship Id="rId9" Type="http://schemas.openxmlformats.org/officeDocument/2006/relationships/ctrlProp" Target="../ctrlProps/ctrlProp45.xml"/><Relationship Id="rId14" Type="http://schemas.openxmlformats.org/officeDocument/2006/relationships/ctrlProp" Target="../ctrlProps/ctrlProp5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7.xml"/><Relationship Id="rId13" Type="http://schemas.openxmlformats.org/officeDocument/2006/relationships/ctrlProp" Target="../ctrlProps/ctrlProp62.xml"/><Relationship Id="rId3" Type="http://schemas.openxmlformats.org/officeDocument/2006/relationships/vmlDrawing" Target="../drawings/vmlDrawing5.vml"/><Relationship Id="rId7" Type="http://schemas.openxmlformats.org/officeDocument/2006/relationships/ctrlProp" Target="../ctrlProps/ctrlProp56.xml"/><Relationship Id="rId12" Type="http://schemas.openxmlformats.org/officeDocument/2006/relationships/ctrlProp" Target="../ctrlProps/ctrlProp61.xml"/><Relationship Id="rId2" Type="http://schemas.openxmlformats.org/officeDocument/2006/relationships/drawing" Target="../drawings/drawing5.xml"/><Relationship Id="rId16" Type="http://schemas.openxmlformats.org/officeDocument/2006/relationships/ctrlProp" Target="../ctrlProps/ctrlProp65.xml"/><Relationship Id="rId1" Type="http://schemas.openxmlformats.org/officeDocument/2006/relationships/printerSettings" Target="../printerSettings/printerSettings6.bin"/><Relationship Id="rId6" Type="http://schemas.openxmlformats.org/officeDocument/2006/relationships/ctrlProp" Target="../ctrlProps/ctrlProp55.xml"/><Relationship Id="rId11" Type="http://schemas.openxmlformats.org/officeDocument/2006/relationships/ctrlProp" Target="../ctrlProps/ctrlProp60.xml"/><Relationship Id="rId5" Type="http://schemas.openxmlformats.org/officeDocument/2006/relationships/ctrlProp" Target="../ctrlProps/ctrlProp54.xml"/><Relationship Id="rId15" Type="http://schemas.openxmlformats.org/officeDocument/2006/relationships/ctrlProp" Target="../ctrlProps/ctrlProp64.xml"/><Relationship Id="rId10" Type="http://schemas.openxmlformats.org/officeDocument/2006/relationships/ctrlProp" Target="../ctrlProps/ctrlProp59.xml"/><Relationship Id="rId4" Type="http://schemas.openxmlformats.org/officeDocument/2006/relationships/ctrlProp" Target="../ctrlProps/ctrlProp53.xml"/><Relationship Id="rId9" Type="http://schemas.openxmlformats.org/officeDocument/2006/relationships/ctrlProp" Target="../ctrlProps/ctrlProp58.xml"/><Relationship Id="rId14" Type="http://schemas.openxmlformats.org/officeDocument/2006/relationships/ctrlProp" Target="../ctrlProps/ctrlProp6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70.xml"/><Relationship Id="rId13" Type="http://schemas.openxmlformats.org/officeDocument/2006/relationships/ctrlProp" Target="../ctrlProps/ctrlProp75.xml"/><Relationship Id="rId3" Type="http://schemas.openxmlformats.org/officeDocument/2006/relationships/vmlDrawing" Target="../drawings/vmlDrawing6.vml"/><Relationship Id="rId7" Type="http://schemas.openxmlformats.org/officeDocument/2006/relationships/ctrlProp" Target="../ctrlProps/ctrlProp69.xml"/><Relationship Id="rId12" Type="http://schemas.openxmlformats.org/officeDocument/2006/relationships/ctrlProp" Target="../ctrlProps/ctrlProp74.xml"/><Relationship Id="rId2" Type="http://schemas.openxmlformats.org/officeDocument/2006/relationships/drawing" Target="../drawings/drawing6.xml"/><Relationship Id="rId16" Type="http://schemas.openxmlformats.org/officeDocument/2006/relationships/ctrlProp" Target="../ctrlProps/ctrlProp78.xml"/><Relationship Id="rId1" Type="http://schemas.openxmlformats.org/officeDocument/2006/relationships/printerSettings" Target="../printerSettings/printerSettings7.bin"/><Relationship Id="rId6" Type="http://schemas.openxmlformats.org/officeDocument/2006/relationships/ctrlProp" Target="../ctrlProps/ctrlProp68.xml"/><Relationship Id="rId11" Type="http://schemas.openxmlformats.org/officeDocument/2006/relationships/ctrlProp" Target="../ctrlProps/ctrlProp73.xml"/><Relationship Id="rId5" Type="http://schemas.openxmlformats.org/officeDocument/2006/relationships/ctrlProp" Target="../ctrlProps/ctrlProp67.xml"/><Relationship Id="rId15" Type="http://schemas.openxmlformats.org/officeDocument/2006/relationships/ctrlProp" Target="../ctrlProps/ctrlProp77.xml"/><Relationship Id="rId10" Type="http://schemas.openxmlformats.org/officeDocument/2006/relationships/ctrlProp" Target="../ctrlProps/ctrlProp72.xml"/><Relationship Id="rId4" Type="http://schemas.openxmlformats.org/officeDocument/2006/relationships/ctrlProp" Target="../ctrlProps/ctrlProp66.xml"/><Relationship Id="rId9" Type="http://schemas.openxmlformats.org/officeDocument/2006/relationships/ctrlProp" Target="../ctrlProps/ctrlProp71.xml"/><Relationship Id="rId14" Type="http://schemas.openxmlformats.org/officeDocument/2006/relationships/ctrlProp" Target="../ctrlProps/ctrlProp76.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3.xml"/><Relationship Id="rId13" Type="http://schemas.openxmlformats.org/officeDocument/2006/relationships/ctrlProp" Target="../ctrlProps/ctrlProp88.xml"/><Relationship Id="rId3" Type="http://schemas.openxmlformats.org/officeDocument/2006/relationships/vmlDrawing" Target="../drawings/vmlDrawing7.vml"/><Relationship Id="rId7" Type="http://schemas.openxmlformats.org/officeDocument/2006/relationships/ctrlProp" Target="../ctrlProps/ctrlProp82.xml"/><Relationship Id="rId12" Type="http://schemas.openxmlformats.org/officeDocument/2006/relationships/ctrlProp" Target="../ctrlProps/ctrlProp87.xml"/><Relationship Id="rId2" Type="http://schemas.openxmlformats.org/officeDocument/2006/relationships/drawing" Target="../drawings/drawing7.xml"/><Relationship Id="rId16" Type="http://schemas.openxmlformats.org/officeDocument/2006/relationships/ctrlProp" Target="../ctrlProps/ctrlProp91.xml"/><Relationship Id="rId1" Type="http://schemas.openxmlformats.org/officeDocument/2006/relationships/printerSettings" Target="../printerSettings/printerSettings8.bin"/><Relationship Id="rId6" Type="http://schemas.openxmlformats.org/officeDocument/2006/relationships/ctrlProp" Target="../ctrlProps/ctrlProp81.xml"/><Relationship Id="rId11" Type="http://schemas.openxmlformats.org/officeDocument/2006/relationships/ctrlProp" Target="../ctrlProps/ctrlProp86.xml"/><Relationship Id="rId5" Type="http://schemas.openxmlformats.org/officeDocument/2006/relationships/ctrlProp" Target="../ctrlProps/ctrlProp80.xml"/><Relationship Id="rId15" Type="http://schemas.openxmlformats.org/officeDocument/2006/relationships/ctrlProp" Target="../ctrlProps/ctrlProp90.xml"/><Relationship Id="rId10" Type="http://schemas.openxmlformats.org/officeDocument/2006/relationships/ctrlProp" Target="../ctrlProps/ctrlProp85.xml"/><Relationship Id="rId4" Type="http://schemas.openxmlformats.org/officeDocument/2006/relationships/ctrlProp" Target="../ctrlProps/ctrlProp79.xml"/><Relationship Id="rId9" Type="http://schemas.openxmlformats.org/officeDocument/2006/relationships/ctrlProp" Target="../ctrlProps/ctrlProp84.xml"/><Relationship Id="rId14" Type="http://schemas.openxmlformats.org/officeDocument/2006/relationships/ctrlProp" Target="../ctrlProps/ctrlProp89.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96.xml"/><Relationship Id="rId13" Type="http://schemas.openxmlformats.org/officeDocument/2006/relationships/ctrlProp" Target="../ctrlProps/ctrlProp101.xml"/><Relationship Id="rId3" Type="http://schemas.openxmlformats.org/officeDocument/2006/relationships/vmlDrawing" Target="../drawings/vmlDrawing8.vml"/><Relationship Id="rId7" Type="http://schemas.openxmlformats.org/officeDocument/2006/relationships/ctrlProp" Target="../ctrlProps/ctrlProp95.xml"/><Relationship Id="rId12" Type="http://schemas.openxmlformats.org/officeDocument/2006/relationships/ctrlProp" Target="../ctrlProps/ctrlProp100.xml"/><Relationship Id="rId2" Type="http://schemas.openxmlformats.org/officeDocument/2006/relationships/drawing" Target="../drawings/drawing8.xml"/><Relationship Id="rId16" Type="http://schemas.openxmlformats.org/officeDocument/2006/relationships/ctrlProp" Target="../ctrlProps/ctrlProp104.xml"/><Relationship Id="rId1" Type="http://schemas.openxmlformats.org/officeDocument/2006/relationships/printerSettings" Target="../printerSettings/printerSettings9.bin"/><Relationship Id="rId6" Type="http://schemas.openxmlformats.org/officeDocument/2006/relationships/ctrlProp" Target="../ctrlProps/ctrlProp94.xml"/><Relationship Id="rId11" Type="http://schemas.openxmlformats.org/officeDocument/2006/relationships/ctrlProp" Target="../ctrlProps/ctrlProp99.xml"/><Relationship Id="rId5" Type="http://schemas.openxmlformats.org/officeDocument/2006/relationships/ctrlProp" Target="../ctrlProps/ctrlProp93.xml"/><Relationship Id="rId15" Type="http://schemas.openxmlformats.org/officeDocument/2006/relationships/ctrlProp" Target="../ctrlProps/ctrlProp103.xml"/><Relationship Id="rId10" Type="http://schemas.openxmlformats.org/officeDocument/2006/relationships/ctrlProp" Target="../ctrlProps/ctrlProp98.xml"/><Relationship Id="rId4" Type="http://schemas.openxmlformats.org/officeDocument/2006/relationships/ctrlProp" Target="../ctrlProps/ctrlProp92.xml"/><Relationship Id="rId9" Type="http://schemas.openxmlformats.org/officeDocument/2006/relationships/ctrlProp" Target="../ctrlProps/ctrlProp97.xml"/><Relationship Id="rId14" Type="http://schemas.openxmlformats.org/officeDocument/2006/relationships/ctrlProp" Target="../ctrlProps/ctrlProp102.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109.xml"/><Relationship Id="rId13" Type="http://schemas.openxmlformats.org/officeDocument/2006/relationships/ctrlProp" Target="../ctrlProps/ctrlProp114.xml"/><Relationship Id="rId3" Type="http://schemas.openxmlformats.org/officeDocument/2006/relationships/vmlDrawing" Target="../drawings/vmlDrawing9.vml"/><Relationship Id="rId7" Type="http://schemas.openxmlformats.org/officeDocument/2006/relationships/ctrlProp" Target="../ctrlProps/ctrlProp108.xml"/><Relationship Id="rId12" Type="http://schemas.openxmlformats.org/officeDocument/2006/relationships/ctrlProp" Target="../ctrlProps/ctrlProp113.xml"/><Relationship Id="rId2" Type="http://schemas.openxmlformats.org/officeDocument/2006/relationships/drawing" Target="../drawings/drawing9.xml"/><Relationship Id="rId16" Type="http://schemas.openxmlformats.org/officeDocument/2006/relationships/ctrlProp" Target="../ctrlProps/ctrlProp117.xml"/><Relationship Id="rId1" Type="http://schemas.openxmlformats.org/officeDocument/2006/relationships/printerSettings" Target="../printerSettings/printerSettings10.bin"/><Relationship Id="rId6" Type="http://schemas.openxmlformats.org/officeDocument/2006/relationships/ctrlProp" Target="../ctrlProps/ctrlProp107.xml"/><Relationship Id="rId11" Type="http://schemas.openxmlformats.org/officeDocument/2006/relationships/ctrlProp" Target="../ctrlProps/ctrlProp112.xml"/><Relationship Id="rId5" Type="http://schemas.openxmlformats.org/officeDocument/2006/relationships/ctrlProp" Target="../ctrlProps/ctrlProp106.xml"/><Relationship Id="rId15" Type="http://schemas.openxmlformats.org/officeDocument/2006/relationships/ctrlProp" Target="../ctrlProps/ctrlProp116.xml"/><Relationship Id="rId10" Type="http://schemas.openxmlformats.org/officeDocument/2006/relationships/ctrlProp" Target="../ctrlProps/ctrlProp111.xml"/><Relationship Id="rId4" Type="http://schemas.openxmlformats.org/officeDocument/2006/relationships/ctrlProp" Target="../ctrlProps/ctrlProp105.xml"/><Relationship Id="rId9" Type="http://schemas.openxmlformats.org/officeDocument/2006/relationships/ctrlProp" Target="../ctrlProps/ctrlProp110.xml"/><Relationship Id="rId14" Type="http://schemas.openxmlformats.org/officeDocument/2006/relationships/ctrlProp" Target="../ctrlProps/ctrlProp115.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22.xml"/><Relationship Id="rId13" Type="http://schemas.openxmlformats.org/officeDocument/2006/relationships/ctrlProp" Target="../ctrlProps/ctrlProp127.xml"/><Relationship Id="rId3" Type="http://schemas.openxmlformats.org/officeDocument/2006/relationships/vmlDrawing" Target="../drawings/vmlDrawing10.vml"/><Relationship Id="rId7" Type="http://schemas.openxmlformats.org/officeDocument/2006/relationships/ctrlProp" Target="../ctrlProps/ctrlProp121.xml"/><Relationship Id="rId12" Type="http://schemas.openxmlformats.org/officeDocument/2006/relationships/ctrlProp" Target="../ctrlProps/ctrlProp126.xml"/><Relationship Id="rId2" Type="http://schemas.openxmlformats.org/officeDocument/2006/relationships/drawing" Target="../drawings/drawing10.xml"/><Relationship Id="rId16" Type="http://schemas.openxmlformats.org/officeDocument/2006/relationships/ctrlProp" Target="../ctrlProps/ctrlProp130.xml"/><Relationship Id="rId1" Type="http://schemas.openxmlformats.org/officeDocument/2006/relationships/printerSettings" Target="../printerSettings/printerSettings11.bin"/><Relationship Id="rId6" Type="http://schemas.openxmlformats.org/officeDocument/2006/relationships/ctrlProp" Target="../ctrlProps/ctrlProp120.xml"/><Relationship Id="rId11" Type="http://schemas.openxmlformats.org/officeDocument/2006/relationships/ctrlProp" Target="../ctrlProps/ctrlProp125.xml"/><Relationship Id="rId5" Type="http://schemas.openxmlformats.org/officeDocument/2006/relationships/ctrlProp" Target="../ctrlProps/ctrlProp119.xml"/><Relationship Id="rId15" Type="http://schemas.openxmlformats.org/officeDocument/2006/relationships/ctrlProp" Target="../ctrlProps/ctrlProp129.xml"/><Relationship Id="rId10" Type="http://schemas.openxmlformats.org/officeDocument/2006/relationships/ctrlProp" Target="../ctrlProps/ctrlProp124.xml"/><Relationship Id="rId4" Type="http://schemas.openxmlformats.org/officeDocument/2006/relationships/ctrlProp" Target="../ctrlProps/ctrlProp118.xml"/><Relationship Id="rId9" Type="http://schemas.openxmlformats.org/officeDocument/2006/relationships/ctrlProp" Target="../ctrlProps/ctrlProp123.xml"/><Relationship Id="rId14" Type="http://schemas.openxmlformats.org/officeDocument/2006/relationships/ctrlProp" Target="../ctrlProps/ctrlProp128.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35.xml"/><Relationship Id="rId13" Type="http://schemas.openxmlformats.org/officeDocument/2006/relationships/ctrlProp" Target="../ctrlProps/ctrlProp140.xml"/><Relationship Id="rId3" Type="http://schemas.openxmlformats.org/officeDocument/2006/relationships/vmlDrawing" Target="../drawings/vmlDrawing11.vml"/><Relationship Id="rId7" Type="http://schemas.openxmlformats.org/officeDocument/2006/relationships/ctrlProp" Target="../ctrlProps/ctrlProp134.xml"/><Relationship Id="rId12" Type="http://schemas.openxmlformats.org/officeDocument/2006/relationships/ctrlProp" Target="../ctrlProps/ctrlProp139.xml"/><Relationship Id="rId2" Type="http://schemas.openxmlformats.org/officeDocument/2006/relationships/drawing" Target="../drawings/drawing11.xml"/><Relationship Id="rId16" Type="http://schemas.openxmlformats.org/officeDocument/2006/relationships/ctrlProp" Target="../ctrlProps/ctrlProp143.xml"/><Relationship Id="rId1" Type="http://schemas.openxmlformats.org/officeDocument/2006/relationships/printerSettings" Target="../printerSettings/printerSettings12.bin"/><Relationship Id="rId6" Type="http://schemas.openxmlformats.org/officeDocument/2006/relationships/ctrlProp" Target="../ctrlProps/ctrlProp133.xml"/><Relationship Id="rId11" Type="http://schemas.openxmlformats.org/officeDocument/2006/relationships/ctrlProp" Target="../ctrlProps/ctrlProp138.xml"/><Relationship Id="rId5" Type="http://schemas.openxmlformats.org/officeDocument/2006/relationships/ctrlProp" Target="../ctrlProps/ctrlProp132.xml"/><Relationship Id="rId15" Type="http://schemas.openxmlformats.org/officeDocument/2006/relationships/ctrlProp" Target="../ctrlProps/ctrlProp142.xml"/><Relationship Id="rId10" Type="http://schemas.openxmlformats.org/officeDocument/2006/relationships/ctrlProp" Target="../ctrlProps/ctrlProp137.xml"/><Relationship Id="rId4" Type="http://schemas.openxmlformats.org/officeDocument/2006/relationships/ctrlProp" Target="../ctrlProps/ctrlProp131.xml"/><Relationship Id="rId9" Type="http://schemas.openxmlformats.org/officeDocument/2006/relationships/ctrlProp" Target="../ctrlProps/ctrlProp136.xml"/><Relationship Id="rId14" Type="http://schemas.openxmlformats.org/officeDocument/2006/relationships/ctrlProp" Target="../ctrlProps/ctrlProp141.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48.xml"/><Relationship Id="rId13" Type="http://schemas.openxmlformats.org/officeDocument/2006/relationships/ctrlProp" Target="../ctrlProps/ctrlProp153.xml"/><Relationship Id="rId3" Type="http://schemas.openxmlformats.org/officeDocument/2006/relationships/vmlDrawing" Target="../drawings/vmlDrawing12.vml"/><Relationship Id="rId7" Type="http://schemas.openxmlformats.org/officeDocument/2006/relationships/ctrlProp" Target="../ctrlProps/ctrlProp147.xml"/><Relationship Id="rId12" Type="http://schemas.openxmlformats.org/officeDocument/2006/relationships/ctrlProp" Target="../ctrlProps/ctrlProp152.xml"/><Relationship Id="rId2" Type="http://schemas.openxmlformats.org/officeDocument/2006/relationships/drawing" Target="../drawings/drawing12.xml"/><Relationship Id="rId16" Type="http://schemas.openxmlformats.org/officeDocument/2006/relationships/ctrlProp" Target="../ctrlProps/ctrlProp156.xml"/><Relationship Id="rId1" Type="http://schemas.openxmlformats.org/officeDocument/2006/relationships/printerSettings" Target="../printerSettings/printerSettings13.bin"/><Relationship Id="rId6" Type="http://schemas.openxmlformats.org/officeDocument/2006/relationships/ctrlProp" Target="../ctrlProps/ctrlProp146.xml"/><Relationship Id="rId11" Type="http://schemas.openxmlformats.org/officeDocument/2006/relationships/ctrlProp" Target="../ctrlProps/ctrlProp151.xml"/><Relationship Id="rId5" Type="http://schemas.openxmlformats.org/officeDocument/2006/relationships/ctrlProp" Target="../ctrlProps/ctrlProp145.xml"/><Relationship Id="rId15" Type="http://schemas.openxmlformats.org/officeDocument/2006/relationships/ctrlProp" Target="../ctrlProps/ctrlProp155.xml"/><Relationship Id="rId10" Type="http://schemas.openxmlformats.org/officeDocument/2006/relationships/ctrlProp" Target="../ctrlProps/ctrlProp150.xml"/><Relationship Id="rId4" Type="http://schemas.openxmlformats.org/officeDocument/2006/relationships/ctrlProp" Target="../ctrlProps/ctrlProp144.xml"/><Relationship Id="rId9" Type="http://schemas.openxmlformats.org/officeDocument/2006/relationships/ctrlProp" Target="../ctrlProps/ctrlProp149.xml"/><Relationship Id="rId14" Type="http://schemas.openxmlformats.org/officeDocument/2006/relationships/ctrlProp" Target="../ctrlProps/ctrlProp154.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61.xml"/><Relationship Id="rId13" Type="http://schemas.openxmlformats.org/officeDocument/2006/relationships/ctrlProp" Target="../ctrlProps/ctrlProp166.xml"/><Relationship Id="rId3" Type="http://schemas.openxmlformats.org/officeDocument/2006/relationships/vmlDrawing" Target="../drawings/vmlDrawing13.vml"/><Relationship Id="rId7" Type="http://schemas.openxmlformats.org/officeDocument/2006/relationships/ctrlProp" Target="../ctrlProps/ctrlProp160.xml"/><Relationship Id="rId12" Type="http://schemas.openxmlformats.org/officeDocument/2006/relationships/ctrlProp" Target="../ctrlProps/ctrlProp165.xml"/><Relationship Id="rId2" Type="http://schemas.openxmlformats.org/officeDocument/2006/relationships/drawing" Target="../drawings/drawing13.xml"/><Relationship Id="rId16" Type="http://schemas.openxmlformats.org/officeDocument/2006/relationships/ctrlProp" Target="../ctrlProps/ctrlProp169.xml"/><Relationship Id="rId1" Type="http://schemas.openxmlformats.org/officeDocument/2006/relationships/printerSettings" Target="../printerSettings/printerSettings14.bin"/><Relationship Id="rId6" Type="http://schemas.openxmlformats.org/officeDocument/2006/relationships/ctrlProp" Target="../ctrlProps/ctrlProp159.xml"/><Relationship Id="rId11" Type="http://schemas.openxmlformats.org/officeDocument/2006/relationships/ctrlProp" Target="../ctrlProps/ctrlProp164.xml"/><Relationship Id="rId5" Type="http://schemas.openxmlformats.org/officeDocument/2006/relationships/ctrlProp" Target="../ctrlProps/ctrlProp158.xml"/><Relationship Id="rId15" Type="http://schemas.openxmlformats.org/officeDocument/2006/relationships/ctrlProp" Target="../ctrlProps/ctrlProp168.xml"/><Relationship Id="rId10" Type="http://schemas.openxmlformats.org/officeDocument/2006/relationships/ctrlProp" Target="../ctrlProps/ctrlProp163.xml"/><Relationship Id="rId4" Type="http://schemas.openxmlformats.org/officeDocument/2006/relationships/ctrlProp" Target="../ctrlProps/ctrlProp157.xml"/><Relationship Id="rId9" Type="http://schemas.openxmlformats.org/officeDocument/2006/relationships/ctrlProp" Target="../ctrlProps/ctrlProp162.xml"/><Relationship Id="rId14" Type="http://schemas.openxmlformats.org/officeDocument/2006/relationships/ctrlProp" Target="../ctrlProps/ctrlProp167.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174.xml"/><Relationship Id="rId13" Type="http://schemas.openxmlformats.org/officeDocument/2006/relationships/ctrlProp" Target="../ctrlProps/ctrlProp179.xml"/><Relationship Id="rId3" Type="http://schemas.openxmlformats.org/officeDocument/2006/relationships/vmlDrawing" Target="../drawings/vmlDrawing14.vml"/><Relationship Id="rId7" Type="http://schemas.openxmlformats.org/officeDocument/2006/relationships/ctrlProp" Target="../ctrlProps/ctrlProp173.xml"/><Relationship Id="rId12" Type="http://schemas.openxmlformats.org/officeDocument/2006/relationships/ctrlProp" Target="../ctrlProps/ctrlProp178.xml"/><Relationship Id="rId2" Type="http://schemas.openxmlformats.org/officeDocument/2006/relationships/drawing" Target="../drawings/drawing14.xml"/><Relationship Id="rId16" Type="http://schemas.openxmlformats.org/officeDocument/2006/relationships/ctrlProp" Target="../ctrlProps/ctrlProp182.xml"/><Relationship Id="rId1" Type="http://schemas.openxmlformats.org/officeDocument/2006/relationships/printerSettings" Target="../printerSettings/printerSettings15.bin"/><Relationship Id="rId6" Type="http://schemas.openxmlformats.org/officeDocument/2006/relationships/ctrlProp" Target="../ctrlProps/ctrlProp172.xml"/><Relationship Id="rId11" Type="http://schemas.openxmlformats.org/officeDocument/2006/relationships/ctrlProp" Target="../ctrlProps/ctrlProp177.xml"/><Relationship Id="rId5" Type="http://schemas.openxmlformats.org/officeDocument/2006/relationships/ctrlProp" Target="../ctrlProps/ctrlProp171.xml"/><Relationship Id="rId15" Type="http://schemas.openxmlformats.org/officeDocument/2006/relationships/ctrlProp" Target="../ctrlProps/ctrlProp181.xml"/><Relationship Id="rId10" Type="http://schemas.openxmlformats.org/officeDocument/2006/relationships/ctrlProp" Target="../ctrlProps/ctrlProp176.xml"/><Relationship Id="rId4" Type="http://schemas.openxmlformats.org/officeDocument/2006/relationships/ctrlProp" Target="../ctrlProps/ctrlProp170.xml"/><Relationship Id="rId9" Type="http://schemas.openxmlformats.org/officeDocument/2006/relationships/ctrlProp" Target="../ctrlProps/ctrlProp175.xml"/><Relationship Id="rId14" Type="http://schemas.openxmlformats.org/officeDocument/2006/relationships/ctrlProp" Target="../ctrlProps/ctrlProp180.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87.xml"/><Relationship Id="rId13" Type="http://schemas.openxmlformats.org/officeDocument/2006/relationships/ctrlProp" Target="../ctrlProps/ctrlProp192.xml"/><Relationship Id="rId3" Type="http://schemas.openxmlformats.org/officeDocument/2006/relationships/vmlDrawing" Target="../drawings/vmlDrawing15.vml"/><Relationship Id="rId7" Type="http://schemas.openxmlformats.org/officeDocument/2006/relationships/ctrlProp" Target="../ctrlProps/ctrlProp186.xml"/><Relationship Id="rId12" Type="http://schemas.openxmlformats.org/officeDocument/2006/relationships/ctrlProp" Target="../ctrlProps/ctrlProp191.xml"/><Relationship Id="rId2" Type="http://schemas.openxmlformats.org/officeDocument/2006/relationships/drawing" Target="../drawings/drawing15.xml"/><Relationship Id="rId16" Type="http://schemas.openxmlformats.org/officeDocument/2006/relationships/ctrlProp" Target="../ctrlProps/ctrlProp195.xml"/><Relationship Id="rId1" Type="http://schemas.openxmlformats.org/officeDocument/2006/relationships/printerSettings" Target="../printerSettings/printerSettings16.bin"/><Relationship Id="rId6" Type="http://schemas.openxmlformats.org/officeDocument/2006/relationships/ctrlProp" Target="../ctrlProps/ctrlProp185.xml"/><Relationship Id="rId11" Type="http://schemas.openxmlformats.org/officeDocument/2006/relationships/ctrlProp" Target="../ctrlProps/ctrlProp190.xml"/><Relationship Id="rId5" Type="http://schemas.openxmlformats.org/officeDocument/2006/relationships/ctrlProp" Target="../ctrlProps/ctrlProp184.xml"/><Relationship Id="rId15" Type="http://schemas.openxmlformats.org/officeDocument/2006/relationships/ctrlProp" Target="../ctrlProps/ctrlProp194.xml"/><Relationship Id="rId10" Type="http://schemas.openxmlformats.org/officeDocument/2006/relationships/ctrlProp" Target="../ctrlProps/ctrlProp189.xml"/><Relationship Id="rId4" Type="http://schemas.openxmlformats.org/officeDocument/2006/relationships/ctrlProp" Target="../ctrlProps/ctrlProp183.xml"/><Relationship Id="rId9" Type="http://schemas.openxmlformats.org/officeDocument/2006/relationships/ctrlProp" Target="../ctrlProps/ctrlProp188.xml"/><Relationship Id="rId14" Type="http://schemas.openxmlformats.org/officeDocument/2006/relationships/ctrlProp" Target="../ctrlProps/ctrlProp193.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200.xml"/><Relationship Id="rId13" Type="http://schemas.openxmlformats.org/officeDocument/2006/relationships/ctrlProp" Target="../ctrlProps/ctrlProp205.xml"/><Relationship Id="rId3" Type="http://schemas.openxmlformats.org/officeDocument/2006/relationships/vmlDrawing" Target="../drawings/vmlDrawing16.vml"/><Relationship Id="rId7" Type="http://schemas.openxmlformats.org/officeDocument/2006/relationships/ctrlProp" Target="../ctrlProps/ctrlProp199.xml"/><Relationship Id="rId12" Type="http://schemas.openxmlformats.org/officeDocument/2006/relationships/ctrlProp" Target="../ctrlProps/ctrlProp204.xml"/><Relationship Id="rId2" Type="http://schemas.openxmlformats.org/officeDocument/2006/relationships/drawing" Target="../drawings/drawing16.xml"/><Relationship Id="rId16" Type="http://schemas.openxmlformats.org/officeDocument/2006/relationships/ctrlProp" Target="../ctrlProps/ctrlProp208.xml"/><Relationship Id="rId1" Type="http://schemas.openxmlformats.org/officeDocument/2006/relationships/printerSettings" Target="../printerSettings/printerSettings17.bin"/><Relationship Id="rId6" Type="http://schemas.openxmlformats.org/officeDocument/2006/relationships/ctrlProp" Target="../ctrlProps/ctrlProp198.xml"/><Relationship Id="rId11" Type="http://schemas.openxmlformats.org/officeDocument/2006/relationships/ctrlProp" Target="../ctrlProps/ctrlProp203.xml"/><Relationship Id="rId5" Type="http://schemas.openxmlformats.org/officeDocument/2006/relationships/ctrlProp" Target="../ctrlProps/ctrlProp197.xml"/><Relationship Id="rId15" Type="http://schemas.openxmlformats.org/officeDocument/2006/relationships/ctrlProp" Target="../ctrlProps/ctrlProp207.xml"/><Relationship Id="rId10" Type="http://schemas.openxmlformats.org/officeDocument/2006/relationships/ctrlProp" Target="../ctrlProps/ctrlProp202.xml"/><Relationship Id="rId4" Type="http://schemas.openxmlformats.org/officeDocument/2006/relationships/ctrlProp" Target="../ctrlProps/ctrlProp196.xml"/><Relationship Id="rId9" Type="http://schemas.openxmlformats.org/officeDocument/2006/relationships/ctrlProp" Target="../ctrlProps/ctrlProp201.xml"/><Relationship Id="rId14" Type="http://schemas.openxmlformats.org/officeDocument/2006/relationships/ctrlProp" Target="../ctrlProps/ctrlProp206.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213.xml"/><Relationship Id="rId13" Type="http://schemas.openxmlformats.org/officeDocument/2006/relationships/ctrlProp" Target="../ctrlProps/ctrlProp218.xml"/><Relationship Id="rId3" Type="http://schemas.openxmlformats.org/officeDocument/2006/relationships/vmlDrawing" Target="../drawings/vmlDrawing17.vml"/><Relationship Id="rId7" Type="http://schemas.openxmlformats.org/officeDocument/2006/relationships/ctrlProp" Target="../ctrlProps/ctrlProp212.xml"/><Relationship Id="rId12" Type="http://schemas.openxmlformats.org/officeDocument/2006/relationships/ctrlProp" Target="../ctrlProps/ctrlProp217.xml"/><Relationship Id="rId2" Type="http://schemas.openxmlformats.org/officeDocument/2006/relationships/drawing" Target="../drawings/drawing17.xml"/><Relationship Id="rId16" Type="http://schemas.openxmlformats.org/officeDocument/2006/relationships/ctrlProp" Target="../ctrlProps/ctrlProp221.xml"/><Relationship Id="rId1" Type="http://schemas.openxmlformats.org/officeDocument/2006/relationships/printerSettings" Target="../printerSettings/printerSettings18.bin"/><Relationship Id="rId6" Type="http://schemas.openxmlformats.org/officeDocument/2006/relationships/ctrlProp" Target="../ctrlProps/ctrlProp211.xml"/><Relationship Id="rId11" Type="http://schemas.openxmlformats.org/officeDocument/2006/relationships/ctrlProp" Target="../ctrlProps/ctrlProp216.xml"/><Relationship Id="rId5" Type="http://schemas.openxmlformats.org/officeDocument/2006/relationships/ctrlProp" Target="../ctrlProps/ctrlProp210.xml"/><Relationship Id="rId15" Type="http://schemas.openxmlformats.org/officeDocument/2006/relationships/ctrlProp" Target="../ctrlProps/ctrlProp220.xml"/><Relationship Id="rId10" Type="http://schemas.openxmlformats.org/officeDocument/2006/relationships/ctrlProp" Target="../ctrlProps/ctrlProp215.xml"/><Relationship Id="rId4" Type="http://schemas.openxmlformats.org/officeDocument/2006/relationships/ctrlProp" Target="../ctrlProps/ctrlProp209.xml"/><Relationship Id="rId9" Type="http://schemas.openxmlformats.org/officeDocument/2006/relationships/ctrlProp" Target="../ctrlProps/ctrlProp214.xml"/><Relationship Id="rId14" Type="http://schemas.openxmlformats.org/officeDocument/2006/relationships/ctrlProp" Target="../ctrlProps/ctrlProp219.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226.xml"/><Relationship Id="rId13" Type="http://schemas.openxmlformats.org/officeDocument/2006/relationships/ctrlProp" Target="../ctrlProps/ctrlProp231.xml"/><Relationship Id="rId3" Type="http://schemas.openxmlformats.org/officeDocument/2006/relationships/vmlDrawing" Target="../drawings/vmlDrawing18.vml"/><Relationship Id="rId7" Type="http://schemas.openxmlformats.org/officeDocument/2006/relationships/ctrlProp" Target="../ctrlProps/ctrlProp225.xml"/><Relationship Id="rId12" Type="http://schemas.openxmlformats.org/officeDocument/2006/relationships/ctrlProp" Target="../ctrlProps/ctrlProp230.xml"/><Relationship Id="rId2" Type="http://schemas.openxmlformats.org/officeDocument/2006/relationships/drawing" Target="../drawings/drawing18.xml"/><Relationship Id="rId16" Type="http://schemas.openxmlformats.org/officeDocument/2006/relationships/ctrlProp" Target="../ctrlProps/ctrlProp234.xml"/><Relationship Id="rId1" Type="http://schemas.openxmlformats.org/officeDocument/2006/relationships/printerSettings" Target="../printerSettings/printerSettings19.bin"/><Relationship Id="rId6" Type="http://schemas.openxmlformats.org/officeDocument/2006/relationships/ctrlProp" Target="../ctrlProps/ctrlProp224.xml"/><Relationship Id="rId11" Type="http://schemas.openxmlformats.org/officeDocument/2006/relationships/ctrlProp" Target="../ctrlProps/ctrlProp229.xml"/><Relationship Id="rId5" Type="http://schemas.openxmlformats.org/officeDocument/2006/relationships/ctrlProp" Target="../ctrlProps/ctrlProp223.xml"/><Relationship Id="rId15" Type="http://schemas.openxmlformats.org/officeDocument/2006/relationships/ctrlProp" Target="../ctrlProps/ctrlProp233.xml"/><Relationship Id="rId10" Type="http://schemas.openxmlformats.org/officeDocument/2006/relationships/ctrlProp" Target="../ctrlProps/ctrlProp228.xml"/><Relationship Id="rId4" Type="http://schemas.openxmlformats.org/officeDocument/2006/relationships/ctrlProp" Target="../ctrlProps/ctrlProp222.xml"/><Relationship Id="rId9" Type="http://schemas.openxmlformats.org/officeDocument/2006/relationships/ctrlProp" Target="../ctrlProps/ctrlProp227.xml"/><Relationship Id="rId14" Type="http://schemas.openxmlformats.org/officeDocument/2006/relationships/ctrlProp" Target="../ctrlProps/ctrlProp232.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239.xml"/><Relationship Id="rId13" Type="http://schemas.openxmlformats.org/officeDocument/2006/relationships/ctrlProp" Target="../ctrlProps/ctrlProp244.xml"/><Relationship Id="rId3" Type="http://schemas.openxmlformats.org/officeDocument/2006/relationships/vmlDrawing" Target="../drawings/vmlDrawing19.vml"/><Relationship Id="rId7" Type="http://schemas.openxmlformats.org/officeDocument/2006/relationships/ctrlProp" Target="../ctrlProps/ctrlProp238.xml"/><Relationship Id="rId12" Type="http://schemas.openxmlformats.org/officeDocument/2006/relationships/ctrlProp" Target="../ctrlProps/ctrlProp243.xml"/><Relationship Id="rId2" Type="http://schemas.openxmlformats.org/officeDocument/2006/relationships/drawing" Target="../drawings/drawing19.xml"/><Relationship Id="rId16" Type="http://schemas.openxmlformats.org/officeDocument/2006/relationships/ctrlProp" Target="../ctrlProps/ctrlProp247.xml"/><Relationship Id="rId1" Type="http://schemas.openxmlformats.org/officeDocument/2006/relationships/printerSettings" Target="../printerSettings/printerSettings20.bin"/><Relationship Id="rId6" Type="http://schemas.openxmlformats.org/officeDocument/2006/relationships/ctrlProp" Target="../ctrlProps/ctrlProp237.xml"/><Relationship Id="rId11" Type="http://schemas.openxmlformats.org/officeDocument/2006/relationships/ctrlProp" Target="../ctrlProps/ctrlProp242.xml"/><Relationship Id="rId5" Type="http://schemas.openxmlformats.org/officeDocument/2006/relationships/ctrlProp" Target="../ctrlProps/ctrlProp236.xml"/><Relationship Id="rId15" Type="http://schemas.openxmlformats.org/officeDocument/2006/relationships/ctrlProp" Target="../ctrlProps/ctrlProp246.xml"/><Relationship Id="rId10" Type="http://schemas.openxmlformats.org/officeDocument/2006/relationships/ctrlProp" Target="../ctrlProps/ctrlProp241.xml"/><Relationship Id="rId4" Type="http://schemas.openxmlformats.org/officeDocument/2006/relationships/ctrlProp" Target="../ctrlProps/ctrlProp235.xml"/><Relationship Id="rId9" Type="http://schemas.openxmlformats.org/officeDocument/2006/relationships/ctrlProp" Target="../ctrlProps/ctrlProp240.xml"/><Relationship Id="rId14" Type="http://schemas.openxmlformats.org/officeDocument/2006/relationships/ctrlProp" Target="../ctrlProps/ctrlProp245.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252.xml"/><Relationship Id="rId13" Type="http://schemas.openxmlformats.org/officeDocument/2006/relationships/ctrlProp" Target="../ctrlProps/ctrlProp257.xml"/><Relationship Id="rId3" Type="http://schemas.openxmlformats.org/officeDocument/2006/relationships/vmlDrawing" Target="../drawings/vmlDrawing20.vml"/><Relationship Id="rId7" Type="http://schemas.openxmlformats.org/officeDocument/2006/relationships/ctrlProp" Target="../ctrlProps/ctrlProp251.xml"/><Relationship Id="rId12" Type="http://schemas.openxmlformats.org/officeDocument/2006/relationships/ctrlProp" Target="../ctrlProps/ctrlProp256.xml"/><Relationship Id="rId2" Type="http://schemas.openxmlformats.org/officeDocument/2006/relationships/drawing" Target="../drawings/drawing20.xml"/><Relationship Id="rId16" Type="http://schemas.openxmlformats.org/officeDocument/2006/relationships/ctrlProp" Target="../ctrlProps/ctrlProp260.xml"/><Relationship Id="rId1" Type="http://schemas.openxmlformats.org/officeDocument/2006/relationships/printerSettings" Target="../printerSettings/printerSettings21.bin"/><Relationship Id="rId6" Type="http://schemas.openxmlformats.org/officeDocument/2006/relationships/ctrlProp" Target="../ctrlProps/ctrlProp250.xml"/><Relationship Id="rId11" Type="http://schemas.openxmlformats.org/officeDocument/2006/relationships/ctrlProp" Target="../ctrlProps/ctrlProp255.xml"/><Relationship Id="rId5" Type="http://schemas.openxmlformats.org/officeDocument/2006/relationships/ctrlProp" Target="../ctrlProps/ctrlProp249.xml"/><Relationship Id="rId15" Type="http://schemas.openxmlformats.org/officeDocument/2006/relationships/ctrlProp" Target="../ctrlProps/ctrlProp259.xml"/><Relationship Id="rId10" Type="http://schemas.openxmlformats.org/officeDocument/2006/relationships/ctrlProp" Target="../ctrlProps/ctrlProp254.xml"/><Relationship Id="rId4" Type="http://schemas.openxmlformats.org/officeDocument/2006/relationships/ctrlProp" Target="../ctrlProps/ctrlProp248.xml"/><Relationship Id="rId9" Type="http://schemas.openxmlformats.org/officeDocument/2006/relationships/ctrlProp" Target="../ctrlProps/ctrlProp253.xml"/><Relationship Id="rId14" Type="http://schemas.openxmlformats.org/officeDocument/2006/relationships/ctrlProp" Target="../ctrlProps/ctrlProp258.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265.xml"/><Relationship Id="rId13" Type="http://schemas.openxmlformats.org/officeDocument/2006/relationships/ctrlProp" Target="../ctrlProps/ctrlProp270.xml"/><Relationship Id="rId3" Type="http://schemas.openxmlformats.org/officeDocument/2006/relationships/vmlDrawing" Target="../drawings/vmlDrawing21.vml"/><Relationship Id="rId7" Type="http://schemas.openxmlformats.org/officeDocument/2006/relationships/ctrlProp" Target="../ctrlProps/ctrlProp264.xml"/><Relationship Id="rId12" Type="http://schemas.openxmlformats.org/officeDocument/2006/relationships/ctrlProp" Target="../ctrlProps/ctrlProp269.xml"/><Relationship Id="rId2" Type="http://schemas.openxmlformats.org/officeDocument/2006/relationships/drawing" Target="../drawings/drawing21.xml"/><Relationship Id="rId16" Type="http://schemas.openxmlformats.org/officeDocument/2006/relationships/ctrlProp" Target="../ctrlProps/ctrlProp273.xml"/><Relationship Id="rId1" Type="http://schemas.openxmlformats.org/officeDocument/2006/relationships/printerSettings" Target="../printerSettings/printerSettings22.bin"/><Relationship Id="rId6" Type="http://schemas.openxmlformats.org/officeDocument/2006/relationships/ctrlProp" Target="../ctrlProps/ctrlProp263.xml"/><Relationship Id="rId11" Type="http://schemas.openxmlformats.org/officeDocument/2006/relationships/ctrlProp" Target="../ctrlProps/ctrlProp268.xml"/><Relationship Id="rId5" Type="http://schemas.openxmlformats.org/officeDocument/2006/relationships/ctrlProp" Target="../ctrlProps/ctrlProp262.xml"/><Relationship Id="rId15" Type="http://schemas.openxmlformats.org/officeDocument/2006/relationships/ctrlProp" Target="../ctrlProps/ctrlProp272.xml"/><Relationship Id="rId10" Type="http://schemas.openxmlformats.org/officeDocument/2006/relationships/ctrlProp" Target="../ctrlProps/ctrlProp267.xml"/><Relationship Id="rId4" Type="http://schemas.openxmlformats.org/officeDocument/2006/relationships/ctrlProp" Target="../ctrlProps/ctrlProp261.xml"/><Relationship Id="rId9" Type="http://schemas.openxmlformats.org/officeDocument/2006/relationships/ctrlProp" Target="../ctrlProps/ctrlProp266.xml"/><Relationship Id="rId14" Type="http://schemas.openxmlformats.org/officeDocument/2006/relationships/ctrlProp" Target="../ctrlProps/ctrlProp271.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278.xml"/><Relationship Id="rId13" Type="http://schemas.openxmlformats.org/officeDocument/2006/relationships/ctrlProp" Target="../ctrlProps/ctrlProp283.xml"/><Relationship Id="rId3" Type="http://schemas.openxmlformats.org/officeDocument/2006/relationships/vmlDrawing" Target="../drawings/vmlDrawing22.vml"/><Relationship Id="rId7" Type="http://schemas.openxmlformats.org/officeDocument/2006/relationships/ctrlProp" Target="../ctrlProps/ctrlProp277.xml"/><Relationship Id="rId12" Type="http://schemas.openxmlformats.org/officeDocument/2006/relationships/ctrlProp" Target="../ctrlProps/ctrlProp282.xml"/><Relationship Id="rId2" Type="http://schemas.openxmlformats.org/officeDocument/2006/relationships/drawing" Target="../drawings/drawing22.xml"/><Relationship Id="rId16" Type="http://schemas.openxmlformats.org/officeDocument/2006/relationships/ctrlProp" Target="../ctrlProps/ctrlProp286.xml"/><Relationship Id="rId1" Type="http://schemas.openxmlformats.org/officeDocument/2006/relationships/printerSettings" Target="../printerSettings/printerSettings23.bin"/><Relationship Id="rId6" Type="http://schemas.openxmlformats.org/officeDocument/2006/relationships/ctrlProp" Target="../ctrlProps/ctrlProp276.xml"/><Relationship Id="rId11" Type="http://schemas.openxmlformats.org/officeDocument/2006/relationships/ctrlProp" Target="../ctrlProps/ctrlProp281.xml"/><Relationship Id="rId5" Type="http://schemas.openxmlformats.org/officeDocument/2006/relationships/ctrlProp" Target="../ctrlProps/ctrlProp275.xml"/><Relationship Id="rId15" Type="http://schemas.openxmlformats.org/officeDocument/2006/relationships/ctrlProp" Target="../ctrlProps/ctrlProp285.xml"/><Relationship Id="rId10" Type="http://schemas.openxmlformats.org/officeDocument/2006/relationships/ctrlProp" Target="../ctrlProps/ctrlProp280.xml"/><Relationship Id="rId4" Type="http://schemas.openxmlformats.org/officeDocument/2006/relationships/ctrlProp" Target="../ctrlProps/ctrlProp274.xml"/><Relationship Id="rId9" Type="http://schemas.openxmlformats.org/officeDocument/2006/relationships/ctrlProp" Target="../ctrlProps/ctrlProp279.xml"/><Relationship Id="rId14" Type="http://schemas.openxmlformats.org/officeDocument/2006/relationships/ctrlProp" Target="../ctrlProps/ctrlProp284.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291.xml"/><Relationship Id="rId13" Type="http://schemas.openxmlformats.org/officeDocument/2006/relationships/ctrlProp" Target="../ctrlProps/ctrlProp296.xml"/><Relationship Id="rId3" Type="http://schemas.openxmlformats.org/officeDocument/2006/relationships/vmlDrawing" Target="../drawings/vmlDrawing23.vml"/><Relationship Id="rId7" Type="http://schemas.openxmlformats.org/officeDocument/2006/relationships/ctrlProp" Target="../ctrlProps/ctrlProp290.xml"/><Relationship Id="rId12" Type="http://schemas.openxmlformats.org/officeDocument/2006/relationships/ctrlProp" Target="../ctrlProps/ctrlProp295.xml"/><Relationship Id="rId2" Type="http://schemas.openxmlformats.org/officeDocument/2006/relationships/drawing" Target="../drawings/drawing23.xml"/><Relationship Id="rId16" Type="http://schemas.openxmlformats.org/officeDocument/2006/relationships/ctrlProp" Target="../ctrlProps/ctrlProp299.xml"/><Relationship Id="rId1" Type="http://schemas.openxmlformats.org/officeDocument/2006/relationships/printerSettings" Target="../printerSettings/printerSettings24.bin"/><Relationship Id="rId6" Type="http://schemas.openxmlformats.org/officeDocument/2006/relationships/ctrlProp" Target="../ctrlProps/ctrlProp289.xml"/><Relationship Id="rId11" Type="http://schemas.openxmlformats.org/officeDocument/2006/relationships/ctrlProp" Target="../ctrlProps/ctrlProp294.xml"/><Relationship Id="rId5" Type="http://schemas.openxmlformats.org/officeDocument/2006/relationships/ctrlProp" Target="../ctrlProps/ctrlProp288.xml"/><Relationship Id="rId15" Type="http://schemas.openxmlformats.org/officeDocument/2006/relationships/ctrlProp" Target="../ctrlProps/ctrlProp298.xml"/><Relationship Id="rId10" Type="http://schemas.openxmlformats.org/officeDocument/2006/relationships/ctrlProp" Target="../ctrlProps/ctrlProp293.xml"/><Relationship Id="rId4" Type="http://schemas.openxmlformats.org/officeDocument/2006/relationships/ctrlProp" Target="../ctrlProps/ctrlProp287.xml"/><Relationship Id="rId9" Type="http://schemas.openxmlformats.org/officeDocument/2006/relationships/ctrlProp" Target="../ctrlProps/ctrlProp292.xml"/><Relationship Id="rId14" Type="http://schemas.openxmlformats.org/officeDocument/2006/relationships/ctrlProp" Target="../ctrlProps/ctrlProp297.xml"/></Relationships>
</file>

<file path=xl/worksheets/_rels/sheet26.xml.rels><?xml version="1.0" encoding="UTF-8" standalone="yes"?>
<Relationships xmlns="http://schemas.openxmlformats.org/package/2006/relationships"><Relationship Id="rId8" Type="http://schemas.openxmlformats.org/officeDocument/2006/relationships/ctrlProp" Target="../ctrlProps/ctrlProp304.xml"/><Relationship Id="rId13" Type="http://schemas.openxmlformats.org/officeDocument/2006/relationships/ctrlProp" Target="../ctrlProps/ctrlProp309.xml"/><Relationship Id="rId3" Type="http://schemas.openxmlformats.org/officeDocument/2006/relationships/vmlDrawing" Target="../drawings/vmlDrawing24.vml"/><Relationship Id="rId7" Type="http://schemas.openxmlformats.org/officeDocument/2006/relationships/ctrlProp" Target="../ctrlProps/ctrlProp303.xml"/><Relationship Id="rId12" Type="http://schemas.openxmlformats.org/officeDocument/2006/relationships/ctrlProp" Target="../ctrlProps/ctrlProp308.xml"/><Relationship Id="rId2" Type="http://schemas.openxmlformats.org/officeDocument/2006/relationships/drawing" Target="../drawings/drawing24.xml"/><Relationship Id="rId16" Type="http://schemas.openxmlformats.org/officeDocument/2006/relationships/ctrlProp" Target="../ctrlProps/ctrlProp312.xml"/><Relationship Id="rId1" Type="http://schemas.openxmlformats.org/officeDocument/2006/relationships/printerSettings" Target="../printerSettings/printerSettings25.bin"/><Relationship Id="rId6" Type="http://schemas.openxmlformats.org/officeDocument/2006/relationships/ctrlProp" Target="../ctrlProps/ctrlProp302.xml"/><Relationship Id="rId11" Type="http://schemas.openxmlformats.org/officeDocument/2006/relationships/ctrlProp" Target="../ctrlProps/ctrlProp307.xml"/><Relationship Id="rId5" Type="http://schemas.openxmlformats.org/officeDocument/2006/relationships/ctrlProp" Target="../ctrlProps/ctrlProp301.xml"/><Relationship Id="rId15" Type="http://schemas.openxmlformats.org/officeDocument/2006/relationships/ctrlProp" Target="../ctrlProps/ctrlProp311.xml"/><Relationship Id="rId10" Type="http://schemas.openxmlformats.org/officeDocument/2006/relationships/ctrlProp" Target="../ctrlProps/ctrlProp306.xml"/><Relationship Id="rId4" Type="http://schemas.openxmlformats.org/officeDocument/2006/relationships/ctrlProp" Target="../ctrlProps/ctrlProp300.xml"/><Relationship Id="rId9" Type="http://schemas.openxmlformats.org/officeDocument/2006/relationships/ctrlProp" Target="../ctrlProps/ctrlProp305.xml"/><Relationship Id="rId14" Type="http://schemas.openxmlformats.org/officeDocument/2006/relationships/ctrlProp" Target="../ctrlProps/ctrlProp310.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317.xml"/><Relationship Id="rId13" Type="http://schemas.openxmlformats.org/officeDocument/2006/relationships/ctrlProp" Target="../ctrlProps/ctrlProp322.xml"/><Relationship Id="rId3" Type="http://schemas.openxmlformats.org/officeDocument/2006/relationships/vmlDrawing" Target="../drawings/vmlDrawing25.vml"/><Relationship Id="rId7" Type="http://schemas.openxmlformats.org/officeDocument/2006/relationships/ctrlProp" Target="../ctrlProps/ctrlProp316.xml"/><Relationship Id="rId12" Type="http://schemas.openxmlformats.org/officeDocument/2006/relationships/ctrlProp" Target="../ctrlProps/ctrlProp321.xml"/><Relationship Id="rId2" Type="http://schemas.openxmlformats.org/officeDocument/2006/relationships/drawing" Target="../drawings/drawing25.xml"/><Relationship Id="rId16" Type="http://schemas.openxmlformats.org/officeDocument/2006/relationships/ctrlProp" Target="../ctrlProps/ctrlProp325.xml"/><Relationship Id="rId1" Type="http://schemas.openxmlformats.org/officeDocument/2006/relationships/printerSettings" Target="../printerSettings/printerSettings26.bin"/><Relationship Id="rId6" Type="http://schemas.openxmlformats.org/officeDocument/2006/relationships/ctrlProp" Target="../ctrlProps/ctrlProp315.xml"/><Relationship Id="rId11" Type="http://schemas.openxmlformats.org/officeDocument/2006/relationships/ctrlProp" Target="../ctrlProps/ctrlProp320.xml"/><Relationship Id="rId5" Type="http://schemas.openxmlformats.org/officeDocument/2006/relationships/ctrlProp" Target="../ctrlProps/ctrlProp314.xml"/><Relationship Id="rId15" Type="http://schemas.openxmlformats.org/officeDocument/2006/relationships/ctrlProp" Target="../ctrlProps/ctrlProp324.xml"/><Relationship Id="rId10" Type="http://schemas.openxmlformats.org/officeDocument/2006/relationships/ctrlProp" Target="../ctrlProps/ctrlProp319.xml"/><Relationship Id="rId4" Type="http://schemas.openxmlformats.org/officeDocument/2006/relationships/ctrlProp" Target="../ctrlProps/ctrlProp313.xml"/><Relationship Id="rId9" Type="http://schemas.openxmlformats.org/officeDocument/2006/relationships/ctrlProp" Target="../ctrlProps/ctrlProp318.xml"/><Relationship Id="rId14" Type="http://schemas.openxmlformats.org/officeDocument/2006/relationships/ctrlProp" Target="../ctrlProps/ctrlProp323.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105"/>
  <sheetViews>
    <sheetView workbookViewId="0">
      <selection activeCell="AB15" sqref="AB15"/>
    </sheetView>
  </sheetViews>
  <sheetFormatPr defaultRowHeight="15" x14ac:dyDescent="0.25"/>
  <sheetData>
    <row r="1" spans="1:26" x14ac:dyDescent="0.25">
      <c r="N1" s="49" t="s">
        <v>339</v>
      </c>
      <c r="O1" s="49"/>
      <c r="P1" s="49" t="s">
        <v>342</v>
      </c>
      <c r="Q1" s="49"/>
      <c r="R1" t="s">
        <v>343</v>
      </c>
    </row>
    <row r="2" spans="1:26" x14ac:dyDescent="0.25">
      <c r="B2" t="s">
        <v>1194</v>
      </c>
      <c r="C2" t="s">
        <v>1193</v>
      </c>
      <c r="D2" t="s">
        <v>962</v>
      </c>
      <c r="E2" t="s">
        <v>348</v>
      </c>
      <c r="F2" t="s">
        <v>346</v>
      </c>
      <c r="G2" t="s">
        <v>1195</v>
      </c>
      <c r="H2" t="s">
        <v>1195</v>
      </c>
      <c r="I2" t="s">
        <v>1195</v>
      </c>
      <c r="J2" t="s">
        <v>1195</v>
      </c>
      <c r="K2" t="s">
        <v>1195</v>
      </c>
      <c r="L2" t="s">
        <v>1196</v>
      </c>
      <c r="N2" t="s">
        <v>1197</v>
      </c>
      <c r="P2" t="s">
        <v>341</v>
      </c>
      <c r="Q2" t="s">
        <v>351</v>
      </c>
      <c r="R2" t="s">
        <v>340</v>
      </c>
      <c r="U2" t="str">
        <f ca="1">_xlfn.TEXTJOIN(CHAR(10),TRUE,N2:N103)</f>
        <v>[XComGame.X2SoldierClass_DefaultClasses]
+SoldierClasses=LWD_Artillery
+SoldierClasses=LWD_Assault
+SoldierClasses=LWD_Chemist
+SoldierClasses=LWD_CombatEngineer
+SoldierClasses=LWD_Courser
+SoldierClasses=LWD_Cowboy
+SoldierClasses=LWD_Dreadnought
+SoldierClasses=LWD_FieldScientist
+SoldierClasses=LWD_Fireman
+SoldierClasses=LWD_Guerrilla
+SoldierClasses=LWD_Gunner
+SoldierClasses=LWD_Hacker
+SoldierClasses=LWD_Hunter
+SoldierClasses=LWD_Marksman
+SoldierClasses=LWD_Medic
+SoldierClasses=LWD_Partisan
+SoldierClasses=LWD_Protector
+SoldierClasses=LWD_Raider
+SoldierClasses=LWD_Ranger
+SoldierClasses=LWD_Recon
+SoldierClasses=LWD_Sapper
+SoldierClasses=LWD_Scrapper
+SoldierClasses=LWD_Sharpshooter
+SoldierClasses=LWD_Shinobi</v>
      </c>
      <c r="V2" t="str">
        <f ca="1">_xlfn.TEXTJOIN(CHAR(10),TRUE,P2:P103)</f>
        <v>[XComGame.X2ItemTemplateManager]
+Loadouts=(LoadoutName="SquaddieLWD_Artillery", Items[0]=(Item="SniperRifle_CV"), Items[1]=(Item="LWGauntlet_CV"))
+Loadouts=(LoadoutName="SquaddieLWD_Assault", Items[0]=(Item="Shotgun_CV"), Items[1]=(Item="Arcthrower_CV"))
+Loadouts=(LoadoutName="SquaddieLWD_Chemist", Items[0]=(Item="AssaultRifle_CV"), Items[1]=(Item="GrenadeLauncher_CV"))
+Loadouts=(LoadoutName="SquaddieLWD_CombatEngineer", Items[0]=(Item="AssaultRifle_CV"), Items[1]=(Item="Gremlin_CV"))
+Loadouts=(LoadoutName="SquaddieLWD_Courser", Items[0]=(Item="Shotgun_CV"), Items[1]=(Item="Holotargeter_CV"))
+Loadouts=(LoadoutName="SquaddieLWD_Cowboy", Items[0]=(Item="SniperRifle_CV"), Items[1]=(Item="SawedOffShotgun_CV"))
+Loadouts=(LoadoutName="SquaddieLWD_Dreadnought", Items[0]=(Item="Cannon_CV"), Items[1]=(Item="LWGauntlet_CV"))
+Loadouts=(LoadoutName="SquaddieLWD_FieldScientist", Items[0]=(Item="AssaultRifle_CV"), Items[1]=(Item="Arcthrower_CV"))
+Loadouts=(LoadoutName="SquaddieLWD_Fireman", Items[0]=(Item="Shotgun_CV"), Items[1]=(Item="LWGauntlet_CV"))
+Loadouts=(LoadoutName="SquaddieLWD_Guerrilla", Items[0]=(Item="SniperRifle_CV"), Items[1]=(Item="CombatKnife_CV"))
+Loadouts=(LoadoutName="SquaddieLWD_Gunner", Items[0]=(Item="Cannon_CV"), Items[1]=(Item="CombatKnife_CV"))
+Loadouts=(LoadoutName="SquaddieLWD_Hacker", Items[0]=(Item="AssaultRifle_CV"), Items[1]=(Item="Gremlin_CV"))
+Loadouts=(LoadoutName="SquaddieLWD_Hunter", Items[0]=(Item="SniperRifle_CV"), Items[1]=(Item="Sword_CV"))
+Loadouts=(LoadoutName="SquaddieLWD_Marksman", Items[0]=(Item="SniperRifle_CV"), Items[1]=(Item="SawedOffShotgun_CV"))
+Loadouts=(LoadoutName="SquaddieLWD_Medic", Items[0]=(Item="AssaultRifle_CV"), Items[1]=(Item="Gremlin_CV"))
+Loadouts=(LoadoutName="SquaddieLWD_Partisan", Items[0]=(Item="Shotgun_CV"), Items[1]=(Item="Arcthrower_CV"))
+Loadouts=(LoadoutName="SquaddieLWD_Protector", Items[0]=(Item="AssaultRifle_CV"), Items[1]=(Item="GrenadeLauncher_CV"))
+Loadouts=(LoadoutName="SquaddieLWD_Raider", Items[0]=(Item="Shotgun_CV"), Items[1]=(Item="Sword_CV"))
+Loadouts=(LoadoutName="SquaddieLWD_Ranger", Items[0]=(Item="AssaultRifle_CV"), Items[1]=(Item="SawedOffShotgun_CV"))
+Loadouts=(LoadoutName="SquaddieLWD_Recon", Items[0]=(Item="AssaultRifle_CV"), Items[1]=(Item="Holotargeter_CV"))
+Loadouts=(LoadoutName="SquaddieLWD_Sapper", Items[0]=(Item="Cannon_CV"), Items[1]=(Item="GrenadeLauncher_CV"))
+Loadouts=(LoadoutName="SquaddieLWD_Scrapper", Items[0]=(Item="Shotgun_CV"), Items[1]=(Item="CombatKnife_CV"))
+Loadouts=(LoadoutName="SquaddieLWD_Sharpshooter", Items[0]=(Item="SniperRifle_CV"), Items[1]=(Item="Holotargeter_CV"))
+Loadouts=(LoadoutName="SquaddieLWD_Shinobi", Items[0]=(Item="AssaultRifle_CV"), Items[1]=(Item="Sword_CV"))</v>
      </c>
      <c r="W2" t="str">
        <f ca="1">_xlfn.TEXTJOIN(CHAR(10)&amp;CHAR(10),TRUE,R3:R11)</f>
        <v>[LWD_Artillery X2SoldierClassTemplate]
+DisplayName="Artillery"
+ClassSummary="Artillery train with sniper rifles and rocket launchers, and are at their best when their enemy is a mile away."
+LeftAbilityTreeTitle="Tankbuster"
+RightAbilityTreeTitle="Mortar"
; Nicknames
RandomNickNames[0]="Angel"
RandomNickNames[1]="Bargain"
RandomNickNames[2]="Beta"
RandomNickNames[3]="Bishop"
RandomNickNames[4]="Hometown"
RandomNickNames[5]="Breaker"
RandomNickNames[6]="Broker"
RandomNickNames[7]="Conquest"
RandomNickNames[8]="Deacon"
RandomNickNames[9]="Doomtrain"
RandomNickNames[10]="Dr. Feelgood"
RandomNickNames[11]="Famine"
RandomNickNames[12]="Feedback"
RandomNickNames[13]="Sure Thing"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[LWD_Assault X2SoldierClassTemplate]
+DisplayName="Assault"
+ClassSummary="The Assault serves as our primary close range unit, able to push in close and hold the line. They carry an arc thrower to keep the enemy on their toes."
+LeftAbilityTreeTitle="Aggressor"
+RightAbilityTreeTitle="Breacher"
; Nicknames
RandomNickNames[0]="Angel"
RandomNickNames[1]="Bargain"
RandomNickNames[2]="Beta"
RandomNickNames[3]="Bishop"
RandomNickNames[4]="Shatter"
RandomNickNames[5]="Breaker"
RandomNickNames[6]="Broker"
RandomNickNames[7]="Conquest"
RandomNickNames[8]="Deacon"
RandomNickNames[9]="Doomtrain"
RandomNickNames[10]="Dr. Feelgood"
RandomNickNames[11]="Famine"
RandomNickNames[12]="Feedback"
RandomNickNames[13]="Firewall"
RandomNickNames[14]="Genius"
RandomNickNames[15]="Mad Dog"
RandomNickNames[16]="Jester"
RandomNickNames[17]="Jolt"
RandomNickNames[18]="Lightning"
RandomNickNames[19]="Mayday"
RandomNickNames[20]="Mega"
RandomNickNames[21]="Newton"
RandomNickNames[22]="Ragtime"
RandomNickNames[23]="Dancer"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RandomNickNames_Male[3]="Mr. Go"
RandomNickNames_Male[4]="Rooster"
; Female Nicknames
RandomNickNames_Female[0]="Priestess"
RandomNickNames_Female[1]="Wolfmother"
RandomNickNames_Female[2]="Black Widow"
RandomNickNames_Female[3]="Duchess"
RandomNickNames_Female[4]="Vixen"
[LWD_Chemist X2SoldierClassTemplate]
+DisplayName="Chemist"
+ClassSummary=""
+LeftAbilityTreeTitle=""
+RightAbilityTreeTitle=""
; Nicknames
RandomNickNames[0]="Maniac"
RandomNickNames[1]="Bargain"
RandomNickNames[2]="Villain"
RandomNickNames[3]="Bishop"
RandomNickNames[4]="Freak"
RandomNickNames[5]="Breaker"
RandomNickNames[6]="Broker"
RandomNickNames[7]="Conquest"
RandomNickNames[8]="Deacon"
RandomNickNames[9]="Doomtrain"
RandomNickNames[10]="Dr. Feelgood"
RandomNickNames[11]="Famine"
RandomNickNames[12]="Feedback"
RandomNickNames[13]="Sure Thing"
RandomNickNames[14]="Genius"
RandomNickNames[15]="Gizmo"
RandomNickNames[16]="Jester"
RandomNickNames[17]="Jolt"
RandomNickNames[18]="Lightning"
RandomNickNames[19]="Mayday"
RandomNickNames[20]="Arson"
RandomNickNames[21]="Newton"
RandomNickNames[22]="Laughing Gas"
RandomNickNames[23]="Rascal"
RandomNickNames[24]="Rattler"
RandomNickNames[25]="Revelation"
RandomNickNames[26]="Skipper"
RandomNickNames[27]="Thunder"
RandomNickNames[28]="Undertaker"
RandomNickNames[29]="War"
RandomNickNames[30]="Whoopsie"
RandomNickNames[31]="The Hurt"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[LWD_CombatEngineer X2SoldierClassTemplate]
+DisplayName="Combat Engineer"
+ClassSummary="Some Engineers are more at home on the battlefield than the Avenger. Their technical skills with a GREMLIN come in handy, especially when protecting our soldiers and against enemy mechanical units."
+LeftAbilityTreeTitle="Armorer"
+RightAbilityTreeTitle="Technician"
; Nicknames
RandomNickNames[0]="Chum"
RandomNickNames[1]="Bargain"
RandomNickNames[2]="Beta"
RandomNickNames[3]="Bishop"
RandomNickNames[4]="Hometown"
RandomNickNames[5]="Breaker"
RandomNickNames[6]="Broker"
RandomNickNames[7]="Conquest"
RandomNickNames[8]="Deacon"
RandomNickNames[9]="Doomtrain"
RandomNickNames[10]="Eiger"
RandomNickNames[11]="Famine"
RandomNickNames[12]="Feedback"
RandomNickNames[13]="Glory"
RandomNickNames[14]="Blitz"
RandomNickNames[15]="Paco"
RandomNickNames[16]="Dante"
RandomNickNames[17]="Decker"
RandomNickNames[18]="Coyote"
RandomNickNames[19]="Mayday"
RandomNickNames[20]="Mega"
RandomNickNames[21]="Newton"
RandomNickNames[22]="Ragtime"
RandomNickNames[23]="Rascal"
RandomNickNames[24]="Gaichu"
RandomNickNames[25]="Revelation"
RandomNickNames[26]="Racter"
RandomNickNames[27]="Thunder"
RandomNickNames[28]="Undertaker"
RandomNickNames[29]="War"
RandomNickNames[30]="Whoopsie"
RandomNickNames[31]="Gobbet"
; Male Nicknames
RandomNickNames_Male[0]="Mr. Magoo"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[LWD_Courser X2SoldierClassTemplate]
+DisplayName="Courser"
+ClassSummary="The Courser serves best offset from the rest of the squad, specializing in either taking on entire squads, or picking off stragglers. They employ a holotargeter for picking their targets."
+LeftAbilityTreeTitle="Hordebreaker"
+RightAbilityTreeTitle="Duelist"
; Nicknames
RandomNickNames[0]="Angel"
RandomNickNames[1]="Bargain"
RandomNickNames[2]="Beta"
RandomNickNames[3]="Bishop"
RandomNickNames[4]="Bones"
RandomNickNames[5]="FUBAR"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RandomNickNames[26]="Horseman"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[LWD_Cowboy X2SoldierClassTemplate]
+DisplayName="Cowboy"
+ClassSummary="Versatile soldiers that are always ready for anything, Cowboys carry sniper rifles, pistols, and sawed-off shotguns, and are just as deadly with each of them."
+LeftAbilityTreeTitle="Pistoleer"
+RightAbilityTreeTitle="Shotgunner"
; Nicknames
RandomNickNames[0]="Skinny"
RandomNickNames[1]="Bargain"
RandomNickNames[2]="Shanghai Kid"
RandomNickNames[3]="The Kid"
RandomNickNames[4]="Hometown"
RandomNickNames[5]="Breaker"
RandomNickNames[6]="Broker"
RandomNickNames[7]="Conquest"
RandomNickNames[8]="Snake Oil"
RandomNickNames[9]="Doomtrain"
RandomNickNames[10]="Doc Holliday"
RandomNickNames[11]="Famine"
RandomNickNames[12]="Sundance"
RandomNickNames[13]="Revolver"
RandomNickNames[14]="Genius"
RandomNickNames[15]="Arkansas"
RandomNickNames[16]="Jester"
RandomNickNames[17]="Bandit"
RandomNickNames[18]="Pistolero"
RandomNickNames[19]="Mayday"
RandomNickNames[20]="Buffalo"
RandomNickNames[21]="Newton"
RandomNickNames[22]="Ragtime"
RandomNickNames[23]="Rascal"
RandomNickNames[24]="Rattlesnake"
RandomNickNames[25]="Revelation"
RandomNickNames[26]="Huckleberry"
RandomNickNames[27]="Tequila"
RandomNickNames[28]="Undertaker"
RandomNickNames[29]="Ringo"
RandomNickNames[30]="Eastwood"
RandomNickNames[31]="Unforgiven"
; Male Nicknames
RandomNickNames_Male[0]="The Duke"
RandomNickNames_Male[1]="Black Bart"
RandomNickNames_Male[2]="Padre"
RandomNickNames_Male[3]="Butch"
RandomNickNames_Male[4]="Amigo"
; Female Nicknames
RandomNickNames_Female[0]="Belle"
RandomNickNames_Female[1]="Amiga"
RandomNickNames_Female[2]="Black Widow"
RandomNickNames_Female[3]="Duchess"
RandomNickNames_Female[4]="Calamity"</v>
      </c>
      <c r="X2" t="s">
        <v>340</v>
      </c>
      <c r="Z2" t="s">
        <v>340</v>
      </c>
    </row>
    <row r="3" spans="1:26" x14ac:dyDescent="0.25">
      <c r="A3" t="str">
        <f>IFERROR(INDEX(Sheets,ROWS($A$3:$A3)),"")</f>
        <v>Dirty</v>
      </c>
      <c r="B3" t="str">
        <f t="shared" ref="B3:K3" si="0">IF(A3&lt;&gt;B$2,A3,"")</f>
        <v/>
      </c>
      <c r="C3" t="str">
        <f t="shared" si="0"/>
        <v/>
      </c>
      <c r="D3" t="str">
        <f t="shared" si="0"/>
        <v/>
      </c>
      <c r="E3" t="str">
        <f t="shared" si="0"/>
        <v/>
      </c>
      <c r="F3" t="str">
        <f t="shared" si="0"/>
        <v/>
      </c>
      <c r="G3" t="str">
        <f t="shared" si="0"/>
        <v/>
      </c>
      <c r="H3" t="str">
        <f t="shared" si="0"/>
        <v/>
      </c>
      <c r="I3" t="str">
        <f t="shared" si="0"/>
        <v/>
      </c>
      <c r="J3" t="str">
        <f t="shared" si="0"/>
        <v/>
      </c>
      <c r="K3" t="str">
        <f t="shared" si="0"/>
        <v/>
      </c>
      <c r="L3" t="str">
        <f>K3</f>
        <v/>
      </c>
      <c r="N3" t="str">
        <f t="shared" ref="N3:N5" ca="1" si="1">IFERROR(_xlfn.TEXTJOIN(CHAR(10),FALSE,INDIRECT("'"&amp;L3&amp;"'!A46")),"")</f>
        <v/>
      </c>
      <c r="O3" t="str">
        <f t="shared" ref="O3:O5" ca="1" si="2">IFERROR(_xlfn.TEXTJOIN(CHAR(10),FALSE,INDIRECT("'"&amp;L3&amp;"'!A48:A131")),"")</f>
        <v/>
      </c>
      <c r="P3" t="str">
        <f t="shared" ref="P3:P5" ca="1" si="3">IFERROR(_xlfn.TEXTJOIN(CHAR(10),FALSE,INDIRECT("'"&amp;L3&amp;"'!C46")),"")</f>
        <v/>
      </c>
      <c r="Q3" t="str">
        <f t="shared" ref="Q3:Q5" ca="1" si="4">IFERROR(_xlfn.TEXTJOIN(CHAR(10),FALSE,INDIRECT("'"&amp;L3&amp;"'!C49")),"")</f>
        <v/>
      </c>
      <c r="R3" t="str">
        <f t="shared" ref="R3:R5" ca="1" si="5">IFERROR(_xlfn.TEXTJOIN(CHAR(10),FALSE,INDIRECT("'"&amp;L3&amp;"'!E43:E92")),"")</f>
        <v/>
      </c>
      <c r="S3" t="s">
        <v>340</v>
      </c>
      <c r="V3" t="str">
        <f ca="1">_xlfn.TEXTJOIN(CHAR(10),TRUE,Q2:Q103)</f>
        <v>[XComGame.XGStrategy]
+DEBUG_StartingSoldierClasses="LWD_Artillery"
+DEBUG_StartingSoldierClasses="LWD_Assault"
+DEBUG_StartingSoldierClasses="LWD_Chemist"
+DEBUG_StartingSoldierClasses="LWD_CombatEngineer"
+DEBUG_StartingSoldierClasses="LWD_Courser"
+DEBUG_StartingSoldierClasses="LWD_Cowboy"
+DEBUG_StartingSoldierClasses="LWD_Dreadnought"
+DEBUG_StartingSoldierClasses="LWD_FieldScientist"
+DEBUG_StartingSoldierClasses="LWD_Fireman"
+DEBUG_StartingSoldierClasses="LWD_Guerrilla"
+DEBUG_StartingSoldierClasses="LWD_Gunner"
+DEBUG_StartingSoldierClasses="LWD_Hacker"
+DEBUG_StartingSoldierClasses="LWD_Hunter"
+DEBUG_StartingSoldierClasses="LWD_Marksman"
+DEBUG_StartingSoldierClasses="LWD_Medic"
+DEBUG_StartingSoldierClasses="LWD_Partisan"
+DEBUG_StartingSoldierClasses="LWD_Protector"
+DEBUG_StartingSoldierClasses="LWD_Raider"
+DEBUG_StartingSoldierClasses="LWD_Ranger"
+DEBUG_StartingSoldierClasses="LWD_Recon"
+DEBUG_StartingSoldierClasses="LWD_Sapper"
+DEBUG_StartingSoldierClasses="LWD_Scrapper"
+DEBUG_StartingSoldierClasses="LWD_Sharpshooter"
+DEBUG_StartingSoldierClasses="LWD_Shinobi"</v>
      </c>
      <c r="W3" t="str">
        <f ca="1">_xlfn.TEXTJOIN(CHAR(10)&amp;CHAR(10),TRUE,R12:R17)</f>
        <v>[LWD_Dreadnought X2SoldierClassTemplate]
+DisplayName="Dreadnought"
+ClassSummary="The Dreadnought is a human brick wall, who can take everything the enemy can throw at them and then throw it all back. They employ gauntlets for the really tough enemies."
+LeftAbilityTreeTitle="Immovable"
+RightAbilityTreeTitle="Unstoppable"
; Nicknames
RandomNickNames[0]="Angel"
RandomNickNames[1]="Bargain"
RandomNickNames[2]="Beta"
RandomNickNames[3]="Bishop"
RandomNickNames[4]="Bones"
RandomNickNames[5]="Breaker"
RandomNickNames[6]="Broker"
RandomNickNames[7]="Conquest"
RandomNickNames[8]="Pride"
RandomNickNames[9]="Doomtrain"
RandomNickNames[10]="Boomtown"
RandomNickNames[11]="Famine"
RandomNickNames[12]="Feedback"
RandomNickNames[13]="Firewall"
RandomNickNames[14]="Genius"
RandomNickNames[15]="Gizmo"
RandomNickNames[16]="Jester"
RandomNickNames[17]="Juggernaut"
RandomNickNames[18]="Stonewall"
RandomNickNames[19]="Mayday"
RandomNickNames[20]="Mega"
RandomNickNames[21]="Brick"
RandomNickNames[22]="Ragtime"
RandomNickNames[23]="Rascal"
RandomNickNames[24]="Rattler"
RandomNickNames[25]="Revelation"
RandomNickNames[26]="Skipper"
RandomNickNames[27]="Thunder"
RandomNickNames[28]="Undertaker"
RandomNickNames[29]="War"
RandomNickNames[30]="Whoopsie"
RandomNickNames[31]="Tank"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[LWD_FieldScientist X2SoldierClassTemplate]
+DisplayName="Field Scientist"
+ClassSummary="Field Scientists forgo the lab to aid our soldiers directly on the battlefield. They've got some ways to use their arc thrower to keep our soldiers in the fight."
+LeftAbilityTreeTitle="Electrician"
+RightAbilityTreeTitle="Doctor"
; Nicknames
RandomNickNames[0]="Angel"
RandomNickNames[1]="Bargain"
RandomNickNames[2]="Beta"
RandomNickNames[3]="Bishop"
RandomNickNames[4]="Bones"
RandomNickNames[5]="Moron"
RandomNickNames[6]="Broker"
RandomNickNames[7]="Conquest"
RandomNickNames[8]="Deacon"
RandomNickNames[9]="Electrician"
RandomNickNames[10]="Dr. Feelgood"
RandomNickNames[11]="Famine"
RandomNickNames[12]="Feedback"
RandomNickNames[13]="Firewall"
RandomNickNames[14]="Genius"
RandomNickNames[15]="Gizmo"
RandomNickNames[16]="Professor"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RandomNickNames[29]="Doc"
RandomNickNames[30]="Whoopsie"
RandomNickNames[31]="Segfault"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[LWD_Fireman X2SoldierClassTemplate]
+DisplayName="Fireman"
+ClassSummary="Specializing in their gauntlet's flamethrower, Firemen can clear entire rooms of enemies, as well as blocking off chokepoints with walls of flame."
+LeftAbilityTreeTitle="Explosions"
+RightAbilityTreeTitle="Flames"
; Nicknames
RandomNickNames[0]="Angel"
RandomNickNames[1]="Bargain"
RandomNickNames[2]="Beta"
RandomNickNames[3]="Bishop"
RandomNickNames[4]="Bones"
RandomNickNames[5]="Breaker"
RandomNickNames[6]="Broker"
RandomNickNames[7]="Conquest"
RandomNickNames[8]="Deacon"
RandomNickNames[9]="Lamp"
RandomNickNames[10]="Dr. Feelgood"
RandomNickNames[11]="Famine"
RandomNickNames[12]="Feedback"
RandomNickNames[13]="Firewall"
RandomNickNames[14]="Boomtown"
RandomNickNames[15]="Flamer"
RandomNickNames[16]="Jester"
RandomNickNames[17]="Jolt"
RandomNickNames[18]="Lightning"
RandomNickNames[19]="Mayday"
RandomNickNames[20]="The Truck"
RandomNickNames[21]="Newton"
RandomNickNames[22]="Ragtime"
RandomNickNames[23]="Rascal"
RandomNickNames[24]="Rattler"
RandomNickNames[25]="Revelation"
RandomNickNames[26]="Spark"
RandomNickNames[27]="Thunder"
RandomNickNames[28]="Undertaker"
RandomNickNames[29]="War"
RandomNickNames[30]="Torch"
RandomNickNames[31]="Zulu"
; Male Nicknames
RandomNickNames_Male[0]="Waterboy"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[LWD_Guerrilla X2SoldierClassTemplate]
+DisplayName="Guerrilla"
+ClassSummary="The Guerrilla is a capable assassin who stays on the move and catches the enemy off-guard. They're comfortable with a variety of firearms, and carry a knife, just in case."
+LeftAbilityTreeTitle="Bushwhacker"
+RightAbilityTreeTitle="Commando"
; Nicknames
RandomNickNames[0]="Grey Ghost"
RandomNickNames[1]="Cavalry"
RandomNickNames[2]="Hiss"
RandomNickNames[3]="Bishop"
RandomNickNames[4]="Tootsies"
RandomNickNames[5]="Breaker"
RandomNickNames[6]="Broker"
RandomNickNames[7]="Conquest"
RandomNickNames[8]="Deacon"
RandomNickNames[9]="Doomtrain"
RandomNickNames[10]="Mercury"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[LWD_Gunner X2SoldierClassTemplate]
+DisplayName="Gunner"
+ClassSummary="The Gunner is trained to use heavy automatic weapons, able to cover the squad with suppressive fire or inflict significant damage in direct attacks. They also carry a combat knife as a backup."
+LeftAbilityTreeTitle="SAW Gunner"
+RightAbilityTreeTitle="Machinegunner"
; Nicknames
RandomNickNames[0]="Angel"
RandomNickNames[1]="Bargain"
RandomNickNames[2]="Beta"
RandomNickNames[3]="Bishop"
RandomNickNames[4]="Dakka"
RandomNickNames[5]="Breaker"
RandomNickNames[6]="Broker"
RandomNickNames[7]="Conquest"
RandomNickNames[8]="Deacon"
RandomNickNames[9]="Doomtrain"
RandomNickNames[10]="Dr. Feelgood"
RandomNickNames[11]="Famine"
RandomNickNames[12]="More"
RandomNickNames[13]="Firewall"
RandomNickNames[14]="Genius"
RandomNickNames[15]="Gizmo"
RandomNickNames[16]="Jester"
RandomNickNames[17]="Tiny"
RandomNickNames[18]="Lightning"
RandomNickNames[19]="Mayday"
RandomNickNames[20]="Mega"
RandomNickNames[21]="Newton"
RandomNickNames[22]="Ragtime"
RandomNickNames[23]="Rascal"
RandomNickNames[24]="Rattler"
RandomNickNames[25]="Revelation"
RandomNickNames[26]="Skipper"
RandomNickNames[27]="Thunder"
RandomNickNames[28]="Oak"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[LWD_Hacker X2SoldierClassTemplate]
+DisplayName="Hacker"
+ClassSummary="The Hacker is a a savant when it comes to computers. They use their GREMLINs to keep Advent's systems on the fritz."
+LeftAbilityTreeTitle="Operator"
+RightAbilityTreeTitle="Decker"
; Nicknames
RandomNickNames[0]="Angel"
RandomNickNames[1]="Bargain"
RandomNickNames[2]="Beta"
RandomNickNames[3]="Bishop"
RandomNickNames[4]="Malware"
RandomNickNames[5]="Breaker"
RandomNickNames[6]="Broker"
RandomNickNames[7]="Conquest"
RandomNickNames[8]="Deacon"
RandomNickNames[9]="Professor"
RandomNickNames[10]="Spybot"
RandomNickNames[11]="Famine"
RandomNickNames[12]="Feedback"
RandomNickNames[13]="Firewall"
RandomNickNames[14]="Genius"
RandomNickNames[15]="Gizmo"
RandomNickNames[16]="Jester"
RandomNickNames[17]="Jolt"
RandomNickNames[18]="Lightning"
RandomNickNames[19]="Worm"
RandomNickNames[20]="Mega"
RandomNickNames[21]="Newton"
RandomNickNames[22]="Botnet"
RandomNickNames[23]="Rascal"
RandomNickNames[24]="Rattler"
RandomNickNames[25]="Revelation"
RandomNickNames[26]="Skipper"
RandomNickNames[27]="Thunder"
RandomNickNames[28]="Undertaker"
RandomNickNames[29]="War"
RandomNickNames[30]="Whoopsie"
RandomNickNames[31]="Virus"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X3" t="s">
        <v>340</v>
      </c>
    </row>
    <row r="4" spans="1:26" x14ac:dyDescent="0.25">
      <c r="A4" t="str">
        <f>IFERROR(INDEX(Sheets,ROWS($A$3:$A4)),"")</f>
        <v>Instructions</v>
      </c>
      <c r="B4" t="str">
        <f t="shared" ref="B4:K4" si="6">IF(A4&lt;&gt;B$2,A4,"")</f>
        <v>Instructions</v>
      </c>
      <c r="C4" t="str">
        <f t="shared" si="6"/>
        <v/>
      </c>
      <c r="D4" t="str">
        <f t="shared" si="6"/>
        <v/>
      </c>
      <c r="E4" t="str">
        <f t="shared" si="6"/>
        <v/>
      </c>
      <c r="F4" t="str">
        <f t="shared" si="6"/>
        <v/>
      </c>
      <c r="G4" t="str">
        <f t="shared" si="6"/>
        <v/>
      </c>
      <c r="H4" t="str">
        <f t="shared" si="6"/>
        <v/>
      </c>
      <c r="I4" t="str">
        <f t="shared" si="6"/>
        <v/>
      </c>
      <c r="J4" t="str">
        <f t="shared" si="6"/>
        <v/>
      </c>
      <c r="K4" t="str">
        <f t="shared" si="6"/>
        <v/>
      </c>
      <c r="L4" t="str">
        <f t="shared" ref="L4:L67" si="7">K4</f>
        <v/>
      </c>
      <c r="N4" t="str">
        <f t="shared" ca="1" si="1"/>
        <v/>
      </c>
      <c r="O4" t="str">
        <f t="shared" ca="1" si="2"/>
        <v/>
      </c>
      <c r="P4" t="str">
        <f t="shared" ca="1" si="3"/>
        <v/>
      </c>
      <c r="Q4" t="str">
        <f t="shared" ca="1" si="4"/>
        <v/>
      </c>
      <c r="R4" t="str">
        <f t="shared" ca="1" si="5"/>
        <v/>
      </c>
      <c r="S4" t="s">
        <v>340</v>
      </c>
      <c r="U4" t="str">
        <f ca="1">_xlfn.TEXTJOIN(CHAR(10)&amp;CHAR(10),TRUE,O3:O11)</f>
        <v>[LWD_Artillery X2SoldierClassTemplate]
+bMultiplayerOnly=0
+ClassPoints=4
+IconImage="img:///UILibrary_LWD.class_Artillery"
+NumInForcedDeck=1
+NumInDeck=4
+KillAssistsPerKill=4
+SquaddieLoadout=SquaddieLWD_Artillery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(AbilityName="Squadsight"), \\
\\
\\
\\
\\
  ), \\
aStatProgression=((StatType=eStat_Offense,StatAmount=7), (StatType=eStat_HP,StatAmount=0), (StatType=eStat_Hacking,StatAmount=0), (StatType=eStat_CombatSims,StatAmount=1), (StatType=eStat_Will,StatAmount=3)),\\
 )
; lance corporal
+SoldierRanks=(  aAbilityTree=( (AbilityName="LWD_AntiMateriel", ApplyToWeaponSlot=eInvSlot_PrimaryWeapon), \\
(AbilityName=" "), \\
(AbilityName="JavelinRockets", ApplyToWeaponSlot=eInvSlot_SecondaryWeapon), \\
  ), \\
aStatProgression=((StatType=eStat_Offense,StatAmount=3), (StatType=eStat_HP,StatAmount=0), (StatType=eStat_Hacking,StatAmount=0), (StatType=eStat_Will,StatAmount=3)),\\
 )
; corporal
+SoldierRanks=(  aAbilityTree=( (AbilityName=" "), \\
(AbilityName="FireInTheHole", ApplyToWeaponSlot=eInvSlot_SecondaryWeapon), \\
(AbilityName=" "), \\
  ), \\
aStatProgression=((StatType=eStat_Offense,StatAmount=3), (StatType=eStat_HP,StatAmount=1), (StatType=eStat_Hacking,StatAmount=0)),\\
 )
; sergeant
+SoldierRanks=(  aAbilityTree=( (AbilityName="LWD_Gallop"), \\
(AbilityName=" "), \\
(AbilityName="BiggestBooms_LW"), \\
  ), \\
aStatProgression=((StatType=eStat_Offense,StatAmount=3), (StatType=eStat_HP,StatAmount=0), (StatType=eStat_Hacking,StatAmount=0)),\\
 )
; staff sergeant
+SoldierRanks=(  aAbilityTree=( (AbilityName="LongWatch", ApplyToWeaponSlot=eInvSlot_PrimaryWeapon), \\
(AbilityName=" "), \\
(AbilityName="LWD_FullyStocked"), \\
  ), \\
aStatProgression=((StatType=eStat_Offense,StatAmount=3), (StatType=eStat_HP,StatAmount=0), (StatType=eStat_Hacking,StatAmount=0)),\\
 )
; tech sergeant
+SoldierRanks=(  aAbilityTree=( (AbilityName="Deadeye", ApplyToWeaponSlot=eInvSlot_PrimaryWeapon), \\
(AbilityName=" "), \\
(AbilityName="TandemWarheads"), \\
  ), \\
aStatProgression=((StatType=eStat_Offense,StatAmount=3), (StatType=eStat_HP,StatAmount=0), (StatType=eStat_Hacking,StatAmount=0)),\\
 )
;  gunnery sergeant
+SoldierRanks=(  aAbilityTree=( (AbilityName=" "), \\
(AbilityName="FireandSteel", ApplyToWeaponSlot=eInvSlot_SecondaryWeapon), \\
(AbilityName=" "), \\
  ), \\
aStatProgression=((StatType=eStat_Offense,StatAmount=3), (StatType=eStat_HP,StatAmount=1), (StatType=eStat_Hacking,StatAmount=0)),\\
 )
; master sergeant
+SoldierRanks=(  aAbilityTree=( (AbilityName="AlphaMikeFoxtrot", ApplyToWeaponSlot=eInvSlot_PrimaryWeapon), \\
(AbilityName=" "), \\
(AbilityName="BunkerBuster", ApplyToWeaponSlot=eInvSlot_SecondaryWeapon), \\
  ), \\
aStatProgression=((StatType=eStat_Offense,StatAmount=3), (StatType=eStat_HP,StatAmount=0), (StatType=eStat_Hacking,StatAmount=0)),\\
 )
[LWD_Assault X2SoldierClassTemplate]
+bMultiplayerOnly=0
+ClassPoints=4
+IconImage="img:///UILibrary_LW_PerkPack.Class_Assault"
+NumInForcedDeck=1
+NumInDeck=4
+KillAssistsPerKill=5
+SquaddieLoadout=SquaddieLWD_Assault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(AbilityName="RunAndGun_LW"), \\
\\
\\
\\
\\
  ), \\
aStatProgression=((StatType=eStat_Offense,StatAmount=2), (StatType=eStat_HP,StatAmount=0), (StatType=eStat_Hacking,StatAmount=0), (StatType=eStat_CombatSims,StatAmount=1), (StatType=eStat_Will,StatAmount=5), (StatType=eStat_Mobility,StatAmount=1)),\\
 )
; lance corporal
+SoldierRanks=(  aAbilityTree=( (AbilityName="Electroshock", ApplyToWeaponSlot=eInvSlot_SecondaryWeapon), \\
(AbilityName=" "), \\
(AbilityName="LightningReflexes_LW", ApplyToWeaponSlot=eInvSlot_Unknown), \\
  ), \\
aStatProgression=((StatType=eStat_Offense,StatAmount=2), (StatType=eStat_HP,StatAmount=1), (StatType=eStat_Hacking,StatAmount=0), (StatType=eStat_Will,StatAmount=5)),\\
 )
; corporal
+SoldierRanks=(  aAbilityTree=( (AbilityName=" "), \\
(AbilityName="StreetSweeper", ApplyToWeaponSlot=eInvSlot_PrimaryWeapon), \\
(AbilityName=" "), \\
  ), \\
aStatProgression=((StatType=eStat_Offense,StatAmount=2), (StatType=eStat_HP,StatAmount=0), (StatType=eStat_Hacking,StatAmount=0)),\\
 )
; sergeant
+SoldierRanks=(  aAbilityTree=( (AbilityName="KillerInstinct", ApplyToWeaponSlot=eInvSlot_Unknown), \\
(AbilityName=" "), \\
(AbilityName="LWD_HandsAndFeet"), \\
  ), \\
aStatProgression=((StatType=eStat_Offense,StatAmount=2), (StatType=eStat_HP,StatAmount=1), (StatType=eStat_Hacking,StatAmount=0)),\\
 )
; staff sergeant
+SoldierRanks=(  aAbilityTree=( (AbilityName="Aggression", ApplyToWeaponSlot=eInvSlot_PrimaryWeapon), \\
(AbilityName=" "), \\
(AbilityName="CloseEncounters", ApplyToWeaponSlot=eInvSlot_PrimaryWeapon), \\
  ), \\
aStatProgression=((StatType=eStat_Offense,StatAmount=2), (StatType=eStat_HP,StatAmount=0), (StatType=eStat_Hacking,StatAmount=0)),\\
 )
; tech sergeant
+SoldierRanks=(  aAbilityTree=( (AbilityName="EMPulser", ApplyToWeaponSlot=eInvSlot_SecondaryWeapon), \\
(AbilityName=" "), \\
(AbilityName="EverVigilant", ApplyToWeaponSlot=eInvSlot_Unknown), \\
  ), \\
aStatProgression=((StatType=eStat_Offense,StatAmount=2), (StatType=eStat_HP,StatAmount=1), (StatType=eStat_Hacking,StatAmount=0)),\\
 )
;  gunnery sergeant
+SoldierRanks=(  aAbilityTree=( (AbilityName=" "), \\
(AbilityName="CloseCombatSpecialist", ApplyToWeaponSlot=eInvSlot_PrimaryWeapon), \\
(AbilityName=" "), \\
  ), \\
aStatProgression=((StatType=eStat_Offense,StatAmount=2), (StatType=eStat_HP,StatAmount=0), (StatType=eStat_Hacking,StatAmount=0)),\\
 )
; master sergeant
+SoldierRanks=(  aAbilityTree=( (AbilityName="StreetSweeper2", ApplyToWeaponSlot=eInvSlot_PrimaryWeapon), \\
(AbilityName=" "), \\
(AbilityName="ShadowOps_SlamFire", ApplyToWeaponSlot=eInvSlot_PrimaryWeapon), \\
  ), \\
aStatProgression=((StatType=eStat_Offense,StatAmount=2), (StatType=eStat_HP,StatAmount=1), (StatType=eStat_Hacking,StatAmount=0)),\\
 )
[LWD_Chemist X2SoldierClassTemplate]
+bMultiplayerOnly=0
+ClassPoints=4
+IconImage="img:///UILibrary_LWD.class_Chemist"
+NumInForcedDeck=1
+NumInDeck=4
+KillAssistsPerKill=3
+SquaddieLoadout=SquaddieLWD_Chemist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(AbilityName="LWD_Gasser"), \\
\\
\\
\\
\\
  ), \\
aStatProgression=((StatType=eStat_Offense,StatAmount=2), (StatType=eStat_HP,StatAmount=0), (StatType=eStat_Hacking,StatAmount=0), (StatType=eStat_CombatSims,StatAmount=1), (StatType=eStat_Will,StatAmount=3)),\\
 )
; lance corporal
+SoldierRanks=(  aAbilityTree=( (AbilityName="LWD_HeightenedImmuneSystem"), \\
(AbilityName=" "), \\
(AbilityName="LWD_Cloudkill", ApplyToWeaponSlot=eInvSlot_SecondaryWeapon), \\
  ), \\
aStatProgression=((StatType=eStat_Offense,StatAmount=2), (StatType=eStat_HP,StatAmount=1), (StatType=eStat_Hacking,StatAmount=0), (StatType=eStat_Will,StatAmount=3)),\\
 )
; corporal
+SoldierRanks=(  aAbilityTree=( (AbilityName=" "), \\
(AbilityName="ShadowOps_Pyromaniac"), \\
(AbilityName=" "), \\
  ), \\
aStatProgression=((StatType=eStat_Offense,StatAmount=2), (StatType=eStat_HP,StatAmount=0), (StatType=eStat_Hacking,StatAmount=0)),\\
 )
; sergeant
+SoldierRanks=(  aAbilityTree=( (AbilityName="LWD_Pyromancer", ApplyToWeaponSlot=eInvSlot_SecondaryWeapon), \\
(AbilityName=" "), \\
(AbilityName="LWD_ThirdDegree", ApplyToWeaponSlot=eInvSlot_SecondaryWeapon), \\
  ), \\
aStatProgression=((StatType=eStat_Offense,StatAmount=2), (StatType=eStat_HP,StatAmount=0), (StatType=eStat_Hacking,StatAmount=0)),\\
 )
; staff sergeant
+SoldierRanks=(  aAbilityTree=( (AbilityName=" "), \\
(AbilityName="LWD_CausticPersonality"), \\
(AbilityName=" "), \\
  ), \\
aStatProgression=((StatType=eStat_Offense,StatAmount=2), (StatType=eStat_HP,StatAmount=1), (StatType=eStat_Hacking,StatAmount=0)),\\
 )
; tech sergeant
+SoldierRanks=(  aAbilityTree=( (AbilityName="LWD_AlkalineArmor"), \\
(AbilityName=" "), \\
(AbilityName="LWD_AcidBurns", ApplyToWeaponSlot=eInvSlot_SecondaryWeapon), \\
  ), \\
aStatProgression=((StatType=eStat_Offense,StatAmount=2), (StatType=eStat_HP,StatAmount=0), (StatType=eStat_Hacking,StatAmount=0)),\\
 )
;  gunnery sergeant
+SoldierRanks=(  aAbilityTree=( (AbilityName=" "), \\
(AbilityName="VolatileMix", ApplyToWeaponSlot=eInvSlot_Unknown), \\
(AbilityName=" "), \\
  ), \\
aStatProgression=((StatType=eStat_Offense,StatAmount=2), (StatType=eStat_HP,StatAmount=0), (StatType=eStat_Hacking,StatAmount=0)),\\
 )
; master sergeant
+SoldierRanks=(  aAbilityTree=( (AbilityName="LWD_MadChemist", ApplyToWeaponSlot=eInvSlot_SecondaryWeapon), \\
(AbilityName=" "), \\
(AbilityName="LWD_Frostlord"), \\
  ), \\
aStatProgression=((StatType=eStat_Offense,StatAmount=2), (StatType=eStat_HP,StatAmount=1), (StatType=eStat_Hacking,StatAmount=0)),\\
 )
[LWD_CombatEngineer X2SoldierClassTemplate]
+bMultiplayerOnly=0
+ClassPoints=4
+IconImage="img:///UILibrary_Common.class_specialist"
+NumInForcedDeck=1
+NumInDeck=4
+KillAssistsPerKill=4
+SquaddieLoadout=SquaddieLWD_CombatEngineer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(AbilityName="CombatProtocol", ApplyToWeaponSlot=eInvSlot_SecondaryWeapon), \\
(AbilityName="ShadowOps_ShieldProtocol", ApplyToWeaponSlot=eInvSlot_SecondaryWeapon), \\
\\
\\
\\
  ), \\
aStatProgression=((StatType=eStat_Offense,StatAmount=2), (StatType=eStat_HP,StatAmount=0), (StatType=eStat_Hacking,StatAmount=40), (StatType=eStat_CombatSims,StatAmount=1), (StatType=eStat_Will,StatAmount=5)),\\
 )
; lance corporal
+SoldierRanks=(  aAbilityTree=( (AbilityName="AidProtocol", ApplyToWeaponSlot=eInvSlot_SecondaryWeapon), \\
(AbilityName=" "), \\
(AbilityName="LWD_SmartlinkProtocol", ApplyToWeaponSlot=eInvSlot_SecondaryWeapon), \\
  ), \\
aStatProgression=((StatType=eStat_Offense,StatAmount=2), (StatType=eStat_HP,StatAmount=1), (StatType=eStat_Hacking,StatAmount=5), (StatType=eStat_Will,StatAmount=5)),\\
 )
; corporal
+SoldierRanks=(  aAbilityTree=( (AbilityName=" "), \\
(AbilityName="LWD_ArtificialIntelligence"), \\
(AbilityName=" "), \\
  ), \\
aStatProgression=((StatType=eStat_Offense,StatAmount=2), (StatType=eStat_HP,StatAmount=0), (StatType=eStat_Hacking,StatAmount=5)),\\
 )
; sergeant
+SoldierRanks=(  aAbilityTree=( (AbilityName="ShadowOps_Scrounger"), \\
(AbilityName=" "), \\
(AbilityName="Airdrop", ApplyToWeaponSlot=eInvSlot_SecondaryWeapon), \\
  ), \\
aStatProgression=((StatType=eStat_Offense,StatAmount=2), (StatType=eStat_HP,StatAmount=0), (StatType=eStat_Hacking,StatAmount=5)),\\
 )
; staff sergeant
+SoldierRanks=(  aAbilityTree=( (AbilityName="ShadowOps_AdvancedShieldProtocol", ApplyToWeaponSlot=eInvSlot_SecondaryWeapon), \\
(AbilityName=" "), \\
(AbilityName="ShadowOps_RestorationProtocol", ApplyToWeaponSlot=eInvSlot_SecondaryWeapon), \\
  ), \\
aStatProgression=((StatType=eStat_Offense,StatAmount=2), (StatType=eStat_HP,StatAmount=1), (StatType=eStat_Hacking,StatAmount=5)),\\
 )
; tech sergeant
+SoldierRanks=(  aAbilityTree=( (AbilityName="ShadowOps_ShieldsUp", ApplyToWeaponSlot=eInvSlot_SecondaryWeapon), \\
(AbilityName=" "), \\
(AbilityName="ScanningProtocol", ApplyToWeaponSlot=eInvSlot_SecondaryWeapon), \\
  ), \\
aStatProgression=((StatType=eStat_Offense,StatAmount=2), (StatType=eStat_HP,StatAmount=0), (StatType=eStat_Hacking,StatAmount=5)),\\
 )
;  gunnery sergeant
+SoldierRanks=(  aAbilityTree=( (AbilityName=" "), \\
(AbilityName="ShadowOps_Aegis", ApplyToWeaponSlot=eInvSlot_SecondaryWeapon), \\
(AbilityName=" "), \\
  ), \\
aStatProgression=((StatType=eStat_Offense,StatAmount=2), (StatType=eStat_HP,StatAmount=0), (StatType=eStat_Hacking,StatAmount=5)),\\
 )
; master sergeant
+SoldierRanks=(  aAbilityTree=( (AbilityName="ShadowOps_Supercharge", ApplyToWeaponSlot=eInvSlot_SecondaryWeapon), \\
(AbilityName=" "), \\
(AbilityName="CapacitorDischarge", ApplyToWeaponSlot=eInvSlot_SecondaryWeapon), \\
  ), \\
aStatProgression=((StatType=eStat_Offense,StatAmount=2), (StatType=eStat_HP,StatAmount=1), (StatType=eStat_Hacking,StatAmount=5)),\\
 )
[LWD_Courser X2SoldierClassTemplate]
+bMultiplayerOnly=0
+ClassPoints=4
+IconImage="img:///UILibrary_LWD.class_courser"
+NumInForcedDeck=1
+NumInDeck=4
+KillAssistsPerKill=4
+SquaddieLoadout=SquaddieLWD_Courser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(AbilityName="Holotargeting", ApplyToWeaponSlot=eInvSlot_PrimaryWeapon), \\
(AbilityName="LowProfile"), \\
(AbilityName="LoneWolf", ApplyToWeaponSlot=eInvSlot_Unknown), \\
\\
\\
\\
  ), \\
aStatProgression=((StatType=eStat_Offense,StatAmount=3), (StatType=eStat_HP,StatAmount=0), (StatType=eStat_Hacking,StatAmount=0), (StatType=eStat_CombatSims,StatAmount=1), (StatType=eStat_Will,StatAmount=5)),\\
 )
; lance corporal
+SoldierRanks=(  aAbilityTree=( (AbilityName="StreetSweeper", ApplyToWeaponSlot=eInvSlot_PrimaryWeapon), \\
(AbilityName=" "), \\
(AbilityName="ShadowOps_SurvivalInstinct"), \\
  ), \\
aStatProgression=((StatType=eStat_Offense,StatAmount=2), (StatType=eStat_HP,StatAmount=1), (StatType=eStat_Hacking,StatAmount=0), (StatType=eStat_Will,StatAmount=5)),\\
 )
; corporal
+SoldierRanks=(  aAbilityTree=( (AbilityName=" "), \\
(AbilityName="RapidTargeting", ApplyToWeaponSlot=eInvSlot_SecondaryWeapon), \\
(AbilityName=" "), \\
  ), \\
aStatProgression=((StatType=eStat_Offense,StatAmount=3), (StatType=eStat_HP,StatAmount=0), (StatType=eStat_Hacking,StatAmount=0)),\\
 )
; sergeant
+SoldierRanks=(  aAbilityTree=( (AbilityName="Aggression", ApplyToWeaponSlot=eInvSlot_PrimaryWeapon), \\
(AbilityName=" "), \\
(AbilityName="ShadowOps_LineEmUp", ApplyToWeaponSlot=eInvSlot_PrimaryWeapon), \\
  ), \\
aStatProgression=((StatType=eStat_Offense,StatAmount=2), (StatType=eStat_HP,StatAmount=1), (StatType=eStat_Hacking,StatAmount=0)),\\
 )
; staff sergeant
+SoldierRanks=(  aAbilityTree=( (AbilityName="TacticalSense"), \\
(AbilityName=" "), \\
(AbilityName="ShadowOps_FocusedDefense"), \\
  ), \\
aStatProgression=((StatType=eStat_Offense,StatAmount=3), (StatType=eStat_HP,StatAmount=0), (StatType=eStat_Hacking,StatAmount=0)),\\
 )
; tech sergeant
+SoldierRanks=(  aAbilityTree=( (AbilityName="Multitargeting", ApplyToWeaponSlot=eInvSlot_SecondaryWeapon), \\
(AbilityName=" "), \\
(AbilityName="IndependentTracking", ApplyToWeaponSlot=eInvSlot_SecondaryWeapon), \\
  ), \\
aStatProgression=((StatType=eStat_Offense,StatAmount=2), (StatType=eStat_HP,StatAmount=0), (StatType=eStat_Hacking,StatAmount=0)),\\
 )
;  gunnery sergeant
+SoldierRanks=(  aAbilityTree=( (AbilityName=" "), \\
(AbilityName="BringEmOn", ApplyToWeaponSlot=eInvSlot_Unknown), \\
(AbilityName=" "), \\
  ), \\
aStatProgression=((StatType=eStat_Offense,StatAmount=3), (StatType=eStat_HP,StatAmount=1), (StatType=eStat_Hacking,StatAmount=0)),\\
 )
; master sergeant
+SoldierRanks=(  aAbilityTree=( (AbilityName="ShadowOps_AgainstTheOdds"), \\
(AbilityName=" "), \\
(AbilityName="AlphaMikeFoxtrot", ApplyToWeaponSlot=eInvSlot_PrimaryWeapon), \\
  ), \\
aStatProgression=((StatType=eStat_Offense,StatAmount=2), (StatType=eStat_HP,StatAmount=0), (StatType=eStat_Hacking,StatAmount=0)),\\
 )
[LWD_Cowboy X2SoldierClassTemplate]
+bMultiplayerOnly=0
+ClassPoints=4
+IconImage="img:///UILibrary_LWD.class_Cowboy"
+NumInForcedDeck=1
+NumInDeck=4
+KillAssistsPerKill=4
+SquaddieLoadout=SquaddieLWD_Cowboy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(AbilityName="QuickStudy"), \\
(AbilityName="LWD_CoachGun", ApplyToWeaponSlot=eInvSlot_SecondaryWeapon), \\
(AbilityName="LWD_HighNoon", ApplyToWeaponSlot=eInvSlot_Utility, UtilityCat="pistol"), \\
\\
\\
\\
  ), \\
aStatProgression=((StatType=eStat_Offense,StatAmount=3), (StatType=eStat_HP,StatAmount=0), (StatType=eStat_Hacking,StatAmount=0), (StatType=eStat_CombatSims,StatAmount=1), (StatType=eStat_Will,StatAmount=3)),\\
 )
; lance corporal
+SoldierRanks=(  aAbilityTree=( (AbilityName="LWD_Shootist", ApplyToWeaponSlot=eInvSlot_Utility, UtilityCat="pistol"), \\
(AbilityName=" "), \\
(AbilityName="LWD_SpareShells", ApplyToWeaponSlot=eInvSlot_SecondaryWeapon), \\
  ), \\
aStatProgression=((StatType=eStat_Offense,StatAmount=3), (StatType=eStat_HP,StatAmount=1), (StatType=eStat_Hacking,StatAmount=0), (StatType=eStat_Will,StatAmount=3)),\\
 )
; corporal
+SoldierRanks=(  aAbilityTree=( (AbilityName=" "), \\
(AbilityName="LWD_TrueGrit"), \\
(AbilityName=" "), \\
  ), \\
aStatProgression=((StatType=eStat_Offense,StatAmount=3), (StatType=eStat_HP,StatAmount=0), (StatType=eStat_Hacking,StatAmount=0)),\\
 )
; sergeant
+SoldierRanks=(  aAbilityTree=( (AbilityName="LWD_LeadDealer", ApplyToWeaponSlot=eInvSlot_Utility, UtilityCat="pistol"), \\
(AbilityName=" "), \\
(AbilityName="LWD_Unforgiven", ApplyToWeaponSlot=eInvSlot_SecondaryWeapon), \\
  ), \\
aStatProgression=((StatType=eStat_Offense,StatAmount=3), (StatType=eStat_HP,StatAmount=0), (StatType=eStat_Hacking,StatAmount=0)),\\
 )
; staff sergeant
+SoldierRanks=(  aAbilityTree=( (AbilityName="LWD_TrickShot", ApplyToWeaponSlot=eInvSlot_Utility, UtilityCat="pistol"), \\
(AbilityName=" "), \\
(AbilityName="LWD_StoppingPower", ApplyToWeaponSlot=eInvSlot_SecondaryWeapon), \\
  ), \\
aStatProgression=((StatType=eStat_Offense,StatAmount=3), (StatType=eStat_HP,StatAmount=1), (StatType=eStat_Hacking,StatAmount=0)),\\
 )
; tech sergeant
+SoldierRanks=(  aAbilityTree=( (AbilityName="LWD_BattleMomentum", ApplyToWeaponSlot=eInvSlot_Utility, UtilityCat="pistol"), \\
(AbilityName=" "), \\
(AbilityName="LWD_HadItComing", ApplyToWeaponSlot=eInvSlot_SecondaryWeapon), \\
  ), \\
aStatProgression=((StatType=eStat_Offense,StatAmount=3), (StatType=eStat_HP,StatAmount=0), (StatType=eStat_Hacking,StatAmount=0)),\\
 )
;  gunnery sergeant
+SoldierRanks=(  aAbilityTree=( (AbilityName=" "), \\
(AbilityName="LWD_HangEmHigh"), \\
(AbilityName=" "), \\
  ), \\
aStatProgression=((StatType=eStat_Offense,StatAmount=3), (StatType=eStat_HP,StatAmount=0), (StatType=eStat_Hacking,StatAmount=0)),\\
 )
; master sergeant
+SoldierRanks=(  aAbilityTree=( (AbilityName="LWD_SixShooter", ApplyToWeaponSlot=eInvSlot_Utility, UtilityCat="pistol"), \\
(AbilityName=" "), \\
(AbilityName="LWD_QuickHands", ApplyToWeaponSlot=eInvSlot_SecondaryWeapon), \\
  ), \\
aStatProgression=((StatType=eStat_Offense,StatAmount=3), (StatType=eStat_HP,StatAmount=1), (StatType=eStat_Hacking,StatAmount=0)),\\
 )</v>
      </c>
      <c r="W4" t="str">
        <f ca="1">_xlfn.TEXTJOIN(CHAR(10)&amp;CHAR(10),TRUE,R18:R23)</f>
        <v>[LWD_Hunter X2SoldierClassTemplate]
+DisplayName="Hunter"
+ClassSummary="Our Hunters are a versatile sort, carrying sniper rifles for distant engagements, and swords for when they need to get close. They're good at staying on the move."
+LeftAbilityTreeTitle="Sportsman"
+RightAbilityTreeTitle="Survivalist"
; Nicknames
RandomNickNames[0]="Angel"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RandomNickNames[15]="Camper"
RandomNickNames[16]="Jester"
RandomNickNames[17]="Jolt"
RandomNickNames[18]="Lightning"
RandomNickNames[19]="Mayday"
RandomNickNames[20]="Eyes"
RandomNickNames[21]="Savage"
RandomNickNames[22]="Cleanup"
RandomNickNames[23]="Janitor"
RandomNickNames[24]="Rattler"
RandomNickNames[25]="Revelation"
RandomNickNames[26]="One-Shot"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[LWD_Marksman X2SoldierClassTemplate]
+DisplayName="Marksman"
+ClassSummary="The Marksman is more comfortable with a sniper rifle than most of our soldiers, and carries a sawed-off shotgun for closer ranges."
+LeftAbilityTreeTitle="Rifleman"
+RightAbilityTreeTitle="Shotgunner"
; Nicknames
RandomNickNames[0]="Agent"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RandomNickNames[21]="Eyes"
RandomNickNames[22]="Ragtime"
RandomNickNames[23]="Rascal"
RandomNickNames[24]="Rattler"
RandomNickNames[25]="Revelation"
RandomNickNames[26]="Hitman"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[LWD_Medic X2SoldierClassTemplate]
+DisplayName="Medic"
+ClassSummary="The Medic uses their GREMLIN to keep their squad in tip-top fighting shape. "
+LeftAbilityTreeTitle="Healer"
+RightAbilityTreeTitle="Ally"
; Nicknames
RandomNickNames[0]="Angel"
RandomNickNames[1]="Bargain"
RandomNickNames[2]="Beta"
RandomNickNames[3]="Bishop"
RandomNickNames[4]="Bones"
RandomNickNames[5]="Breaker"
RandomNickNames[6]="Broker"
RandomNickNames[7]="Doc"
RandomNickNames[8]="Deacon"
RandomNickNames[9]="Doomtrain"
RandomNickNames[10]="Dr. Feelgood"
RandomNickNames[11]="Famine"
RandomNickNames[12]="Feedback"
RandomNickNames[13]="Band-Aid"
RandomNickNames[14]="Genius"
RandomNickNames[15]="Gizmo"
RandomNickNames[16]="Jester"
RandomNickNames[17]="Jolt"
RandomNickNames[18]="Lightning"
RandomNickNames[19]="Mayday"
RandomNickNames[20]="Mega"
RandomNickNames[21]="Newton"
RandomNickNames[22]="Chance"
RandomNickNames[23]="Rascal"
RandomNickNames[24]="Rattler"
RandomNickNames[25]="Revelation"
RandomNickNames[26]="Skipper"
RandomNickNames[27]="Thunder"
RandomNickNames[28]="Undertaker"
RandomNickNames[29]="War"
RandomNickNames[30]="Whoopsie"
RandomNickNames[31]="Red Cross"
; Male Nicknames
RandomNickNames_Male[0]="Candyman"
RandomNickNames_Male[1]="Magic Man"
RandomNickNames_Male[2]="Priest"
RandomNickNames_Male[3]="Rainman"
RandomNickNames_Male[4]="Mr. Fixer"
; Female Nicknames
RandomNickNames_Female[0]="Priestess"
RandomNickNames_Female[1]="Wolfmother"
RandomNickNames_Female[2]="Black Widow"
RandomNickNames_Female[3]="Duchess"
RandomNickNames_Female[4]="Nurse Joy"
[LWD_Partisan X2SoldierClassTemplate]
+DisplayName="Partisan"
+ClassSummary="The Partisan makes sure the enemy is never operating at 100%, through their arc thrower, stun grenades, and oppressive fire."
+LeftAbilityTreeTitle="Electrocutioner"
+RightAbilityTreeTitle="Harrasser"
; Nicknames
RandomNickNames[0]="Angel"
RandomNickNames[1]="Bargain"
RandomNickNames[2]="Beta"
RandomNickNames[3]="Bishop"
RandomNickNames[4]="Pikachu"
RandomNickNames[5]="Breaker"
RandomNickNames[6]="Broker"
RandomNickNames[7]="Conquest"
RandomNickNames[8]="Deacon"
RandomNickNames[9]="Doomtrain"
RandomNickNames[10]="Dr. Feelgood"
RandomNickNames[11]="Famine"
RandomNickNames[12]="Feedback"
RandomNickNames[13]="Firewall"
RandomNickNames[14]="Grey Ghost"
RandomNickNames[15]="Gizmo"
RandomNickNames[16]="Jester"
RandomNickNames[17]="Jolt"
RandomNickNames[18]="Lightning"
RandomNickNames[19]="Mayday"
RandomNickNames[20]="Mega"
RandomNickNames[21]="Newton"
RandomNickNames[22]="The Wall"
RandomNickNames[23]="Rascal"
RandomNickNames[24]="Rattler"
RandomNickNames[25]="Revelation"
RandomNickNames[26]="Skipper"
RandomNickNames[27]="Thunder"
RandomNickNames[28]="Undertaker"
RandomNickNames[29]="War"
RandomNickNames[30]="Whoopsie"
RandomNickNames[31]="Zap"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[LWD_Protector X2SoldierClassTemplate]
+DisplayName="Protector"
+ClassSummary="The Protector carries a variety of non-lethal and defensive grenades to keep our soldiers safe on the battlefield."
+LeftAbilityTreeTitle="Fire Support"
+RightAbilityTreeTitle="Smokescreen"
; Nicknames
RandomNickNames[0]="Angel"
RandomNickNames[1]="Cover"
RandomNickNames[2]="Beta"
RandomNickNames[3]="Magician"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RandomNickNames[15]="Illusion"
RandomNickNames[16]="Jester"
RandomNickNames[17]="Jolt"
RandomNickNames[18]="Lightning"
RandomNickNames[19]="Mayday"
RandomNickNames[20]="Mega"
RandomNickNames[21]="Newton"
RandomNickNames[22]="Ragtime"
RandomNickNames[23]="Mortar"
RandomNickNames[24]="Rattler"
RandomNickNames[25]="Revelation"
RandomNickNames[26]="Skipper"
RandomNickNames[27]="Thunder"
RandomNickNames[28]="Undertaker"
RandomNickNames[29]="War"
RandomNickNames[30]="Whoopsie"
RandomNickNames[31]="Artillery"
; Male Nicknames
RandomNickNames_Male[0]="Candyman"
RandomNickNames_Male[1]="Magic Man"
RandomNickNames_Male[2]="Priest"
RandomNickNames_Male[3]="Rainman"
RandomNickNames_Male[4]="Mysterio"
; Female Nicknames
RandomNickNames_Female[0]="Priestess"
RandomNickNames_Female[1]="Wolfmother"
RandomNickNames_Female[2]="Black Widow"
RandomNickNames_Female[3]="Duchess"
RandomNickNames_Female[4]="Queen"
[LWD_Raider X2SoldierClassTemplate]
+DisplayName="Raider"
+ClassSummary="The Raider is a vicious foe, keeping inside the enemy's reach with sword and shotgun, making sure they can never sit comfortable."
+LeftAbilityTreeTitle="Skirmisher"
+RightAbilityTreeTitle="Fencer"
; Nicknames
RandomNickNames[0]="Grey Ghost"
RandomNickNames[1]="Bargain"
RandomNickNames[2]="Facetime"
RandomNickNames[3]="Elvis"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RandomNickNames[17]="Pirate"
RandomNickNames[18]="Cap'n"
RandomNickNames[19]="Mayday"
RandomNickNames[20]="Mega"
RandomNickNames[21]="Viking"
RandomNickNames[22]="Ragtime"
RandomNickNames[23]="Rascal"
RandomNickNames[24]="Rattler"
RandomNickNames[25]="Revelation"
RandomNickNames[26]="Skipper"
RandomNickNames[27]="Thunder"
RandomNickNames[28]="Undertaker"
RandomNickNames[29]="War"
RandomNickNames[30]="Whoopsie"
RandomNickNames[31]="Berserk"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X4" t="s">
        <v>340</v>
      </c>
    </row>
    <row r="5" spans="1:26" x14ac:dyDescent="0.25">
      <c r="A5" t="str">
        <f>IFERROR(INDEX(Sheets,ROWS($A$3:$A5)),"")</f>
        <v>Blank</v>
      </c>
      <c r="B5" t="str">
        <f t="shared" ref="B5:K5" si="8">IF(A5&lt;&gt;B$2,A5,"")</f>
        <v>Blank</v>
      </c>
      <c r="C5" t="str">
        <f t="shared" si="8"/>
        <v>Blank</v>
      </c>
      <c r="D5" t="str">
        <f t="shared" si="8"/>
        <v/>
      </c>
      <c r="E5" t="str">
        <f t="shared" si="8"/>
        <v/>
      </c>
      <c r="F5" t="str">
        <f t="shared" si="8"/>
        <v/>
      </c>
      <c r="G5" t="str">
        <f t="shared" si="8"/>
        <v/>
      </c>
      <c r="H5" t="str">
        <f t="shared" si="8"/>
        <v/>
      </c>
      <c r="I5" t="str">
        <f t="shared" si="8"/>
        <v/>
      </c>
      <c r="J5" t="str">
        <f t="shared" si="8"/>
        <v/>
      </c>
      <c r="K5" t="str">
        <f t="shared" si="8"/>
        <v/>
      </c>
      <c r="L5" t="str">
        <f t="shared" si="7"/>
        <v/>
      </c>
      <c r="N5" t="str">
        <f t="shared" ca="1" si="1"/>
        <v/>
      </c>
      <c r="O5" t="str">
        <f t="shared" ca="1" si="2"/>
        <v/>
      </c>
      <c r="P5" t="str">
        <f t="shared" ca="1" si="3"/>
        <v/>
      </c>
      <c r="Q5" t="str">
        <f t="shared" ca="1" si="4"/>
        <v/>
      </c>
      <c r="R5" t="str">
        <f t="shared" ca="1" si="5"/>
        <v/>
      </c>
      <c r="S5" t="s">
        <v>340</v>
      </c>
      <c r="U5" t="str">
        <f ca="1">_xlfn.TEXTJOIN(CHAR(10)&amp;CHAR(10),TRUE,O12:O17)</f>
        <v>[LWD_Dreadnought X2SoldierClassTemplate]
+bMultiplayerOnly=0
+ClassPoints=4
+IconImage="img:///UILibrary_LW_PerkPack.Class_Technical"
+NumInForcedDeck=1
+NumInDeck=4
+KillAssistsPerKill=4
+SquaddieLoadout=SquaddieLWD_Dreadnought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
\\
\\
\\
\\
  ), \\
aStatProgression=((StatType=eStat_Offense,StatAmount=2), (StatType=eStat_HP,StatAmount=1), (StatType=eStat_Hacking,StatAmount=0), (StatType=eStat_CombatSims,StatAmount=1), (StatType=eStat_Defense,StatAmount=1), (StatType=eStat_Will,StatAmount=4)),\\
 )
; lance corporal
+SoldierRanks=(  aAbilityTree=( (AbilityName="Formidable"), \\
(AbilityName=" "), \\
(AbilityName="Suppression_LW", ApplyToWeaponSlot=eInvSlot_PrimaryWeapon), \\
  ), \\
aStatProgression=((StatType=eStat_Offense,StatAmount=2), (StatType=eStat_HP,StatAmount=0), (StatType=eStat_Hacking,StatAmount=0), (StatType=eStat_Defense,StatAmount=1), (StatType=eStat_Will,StatAmount=4)),\\
 )
; corporal
+SoldierRanks=(  aAbilityTree=( (AbilityName=" "), \\
(AbilityName="ShadowOps_IronWill"), \\
(AbilityName=" "), \\
  ), \\
aStatProgression=((StatType=eStat_Offense,StatAmount=2), (StatType=eStat_HP,StatAmount=1), (StatType=eStat_Hacking,StatAmount=0), (StatType=eStat_Defense,StatAmount=1)),\\
 )
; sergeant
+SoldierRanks=(  aAbilityTree=( (AbilityName="ShadowOps_HeavyArmor"), \\
(AbilityName=" "), \\
(AbilityName="Shredder", ApplyToWeaponSlot=eInvSlot_PrimaryWeapon), \\
  ), \\
aStatProgression=((StatType=eStat_Offense,StatAmount=2), (StatType=eStat_HP,StatAmount=0), (StatType=eStat_Hacking,StatAmount=0)),\\
 )
; staff sergeant
+SoldierRanks=(  aAbilityTree=( (AbilityName="ShadowOps_FocusedDefense"), \\
(AbilityName=" "), \\
(AbilityName="PhosphorusPassive", ApplyToWeaponSlot=eInvSlot_SecondaryWeapon), \\
  ), \\
aStatProgression=((StatType=eStat_Offense,StatAmount=2), (StatType=eStat_HP,StatAmount=1), (StatType=eStat_Hacking,StatAmount=0), (StatType=eStat_Defense,StatAmount=1)),\\
 )
; tech sergeant
+SoldierRanks=(  aAbilityTree=( (AbilityName="ShadowOps_Evasive"), \\
(AbilityName=" "), \\
(AbilityName="FireandSteel", ApplyToWeaponSlot=eInvSlot_SecondaryWeapon), \\
  ), \\
aStatProgression=((StatType=eStat_Offense,StatAmount=2), (StatType=eStat_HP,StatAmount=0), (StatType=eStat_Hacking,StatAmount=0)),\\
 )
;  gunnery sergeant
+SoldierRanks=(  aAbilityTree=( (AbilityName=" "), \\
(AbilityName="ShadowOps_ShieldsUp", ApplyToWeaponSlot=eInvSlot_SecondaryWeapon), \\
(AbilityName=" "), \\
  ), \\
aStatProgression=((StatType=eStat_Offense,StatAmount=2), (StatType=eStat_HP,StatAmount=1), (StatType=eStat_Hacking,StatAmount=0), (StatType=eStat_Defense,StatAmount=1)),\\
 )
; master sergeant
+SoldierRanks=(  aAbilityTree=( (AbilityName="ShadowOps_StasisField"), \\
(AbilityName=" "), \\
(AbilityName="Salvo", ApplyToWeaponSlot=eInvSlot_Unknown), \\
  ), \\
aStatProgression=((StatType=eStat_Offense,StatAmount=2), (StatType=eStat_HP,StatAmount=1), (StatType=eStat_Hacking,StatAmount=0)),\\
 )
[LWD_FieldScientist X2SoldierClassTemplate]
+bMultiplayerOnly=0
+ClassPoints=4
+IconImage="img:///UILibrary_LWD.class_fieldScientist"
+NumInForcedDeck=1
+NumInDeck=4
+KillAssistsPerKill=3
+SquaddieLoadout=SquaddieLWD_FieldScientist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(AbilityName="LWD_Hotwire", ApplyToWeaponSlot=eInvSlot_SecondaryWeapon), \\
(AbilityName="LWD_Clear", ApplyToWeaponSlot=eInvSlot_SecondaryWeapon), \\
\\
\\
\\
  ), \\
aStatProgression=((StatType=eStat_Offense,StatAmount=2), (StatType=eStat_HP,StatAmount=0), (StatType=eStat_Hacking,StatAmount=40), (StatType=eStat_CombatSims,StatAmount=1), (StatType=eStat_Will,StatAmount=4)),\\
 )
; lance corporal
+SoldierRanks=(  aAbilityTree=( (AbilityName="LWD_Juiced", ApplyToWeaponSlot=eInvSlot_SecondaryWeapon), \\
(AbilityName=" "), \\
(AbilityName="ShadowOps_SecondWind"), \\
  ), \\
aStatProgression=((StatType=eStat_Offense,StatAmount=2), (StatType=eStat_HP,StatAmount=1), (StatType=eStat_Hacking,StatAmount=5), (StatType=eStat_Will,StatAmount=4)),\\
 )
; corporal
+SoldierRanks=(  aAbilityTree=( (AbilityName=" "), \\
(AbilityName="ShadowOps_Anatomist"), \\
(AbilityName=" "), \\
  ), \\
aStatProgression=((StatType=eStat_Offense,StatAmount=2), (StatType=eStat_HP,StatAmount=0), (StatType=eStat_Hacking,StatAmount=5)),\\
 )
; sergeant
+SoldierRanks=(  aAbilityTree=( (AbilityName="StunGunner", ApplyToWeaponSlot=eInvSlot_SecondaryWeapon), \\
(AbilityName=" "), \\
(AbilityName="FieldMedic", ApplyToWeaponSlot=eInvSlot_Unknown), \\
  ), \\
aStatProgression=((StatType=eStat_Offense,StatAmount=2), (StatType=eStat_HP,StatAmount=0), (StatType=eStat_Hacking,StatAmount=5)),\\
 )
; staff sergeant
+SoldierRanks=(  aAbilityTree=( (AbilityName="LWD_ShortCircuit", ApplyToWeaponSlot=eInvSlot_SecondaryWeapon), \\
(AbilityName=" "), \\
(AbilityName="Savior", ApplyToWeaponSlot=eInvSlot_Unknown), \\
  ), \\
aStatProgression=((StatType=eStat_Offense,StatAmount=2), (StatType=eStat_HP,StatAmount=1), (StatType=eStat_Hacking,StatAmount=5)),\\
 )
; tech sergeant
+SoldierRanks=(  aAbilityTree=( (AbilityName="LWD_ScriptKiddie"), \\
(AbilityName=" "), \\
(AbilityName="LWD_Skullminer"), \\
  ), \\
aStatProgression=((StatType=eStat_Offense,StatAmount=2), (StatType=eStat_HP,StatAmount=0), (StatType=eStat_Hacking,StatAmount=5)),\\
 )
;  gunnery sergeant
+SoldierRanks=(  aAbilityTree=( (AbilityName=" "), \\
(AbilityName="LWD_ShortCircuit", ApplyToWeaponSlot=eInvSlot_SecondaryWeapon), \\
(AbilityName=" "), \\
  ), \\
aStatProgression=((StatType=eStat_Offense,StatAmount=2), (StatType=eStat_HP,StatAmount=0), (StatType=eStat_Hacking,StatAmount=5)),\\
 )
; master sergeant
+SoldierRanks=(  aAbilityTree=( (AbilityName="ChainLightning", ApplyToWeaponSlot=eInvSlot_SecondaryWeapon), \\
(AbilityName=" "), \\
(AbilityName="CombatFitness"), \\
  ), \\
aStatProgression=((StatType=eStat_Offense,StatAmount=2), (StatType=eStat_HP,StatAmount=1), (StatType=eStat_Hacking,StatAmount=5)),\\
 )
[LWD_Fireman X2SoldierClassTemplate]
+bMultiplayerOnly=0
+ClassPoints=4
+IconImage="img:///UILibrary_LWD.class_fireman"
+NumInForcedDeck=1
+NumInDeck=4
+KillAssistsPerKill=4
+SquaddieLoadout=SquaddieLWD_Fireman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
\\
\\
\\
\\
  ), \\
aStatProgression=((StatType=eStat_Offense,StatAmount=2), (StatType=eStat_HP,StatAmount=0), (StatType=eStat_Hacking,StatAmount=0), (StatType=eStat_CombatSims,StatAmount=1), (StatType=eStat_Will,StatAmount=4)),\\
 )
; lance corporal
+SoldierRanks=(  aAbilityTree=( (AbilityName="ShadowOps_Pyromaniac"), \\
(AbilityName=" "), \\
(AbilityName="Roust", ApplyToWeaponSlot=eInvSlot_SecondaryWeapon), \\
  ), \\
aStatProgression=((StatType=eStat_Offense,StatAmount=2), (StatType=eStat_HP,StatAmount=1), (StatType=eStat_Hacking,StatAmount=0), (StatType=eStat_Will,StatAmount=4)),\\
 )
; corporal
+SoldierRanks=(  aAbilityTree=( (AbilityName=" "), \\
(AbilityName="NapalmX", ApplyToWeaponSlot=eInvSlot_SecondaryWeapon), \\
(AbilityName=" "), \\
  ), \\
aStatProgression=((StatType=eStat_Offense,StatAmount=2), (StatType=eStat_HP,StatAmount=0), (StatType=eStat_Hacking,StatAmount=0)),\\
 )
; sergeant
+SoldierRanks=(  aAbilityTree=( (AbilityName="ShadowOps_DemoGrenades"), \\
(AbilityName=" "), \\
(AbilityName="Burnout", ApplyToWeaponSlot=eInvSlot_SecondaryWeapon), \\
  ), \\
aStatProgression=((StatType=eStat_Offense,StatAmount=2), (StatType=eStat_HP,StatAmount=1), (StatType=eStat_Hacking,StatAmount=0)),\\
 )
; staff sergeant
+SoldierRanks=(  aAbilityTree=( (AbilityName="ShadowOps_SmokeAndMirrors_LW2", ApplyToWeaponSlot=eInvSlot_SecondaryWeapon), \\
(AbilityName=" "), \\
(AbilityName="PhosphorusPassive", ApplyToWeaponSlot=eInvSlot_SecondaryWeapon), \\
  ), \\
aStatProgression=((StatType=eStat_Offense,StatAmount=2), (StatType=eStat_HP,StatAmount=0), (StatType=eStat_Hacking,StatAmount=0)),\\
 )
; tech sergeant
+SoldierRanks=(  aAbilityTree=( (AbilityName="ShadowOps_Evasive"), \\
(AbilityName=" "), \\
(AbilityName="FireandSteel", ApplyToWeaponSlot=eInvSlot_SecondaryWeapon), \\
  ), \\
aStatProgression=((StatType=eStat_Offense,StatAmount=2), (StatType=eStat_HP,StatAmount=1), (StatType=eStat_Hacking,StatAmount=0)),\\
 )
;  gunnery sergeant
+SoldierRanks=(  aAbilityTree=( (AbilityName=" "), \\
(AbilityName="Incinerator", ApplyToWeaponSlot=eInvSlot_SecondaryWeapon), \\
(AbilityName=" "), \\
  ), \\
aStatProgression=((StatType=eStat_Offense,StatAmount=2), (StatType=eStat_HP,StatAmount=0), (StatType=eStat_Hacking,StatAmount=0)),\\
 )
; master sergeant
+SoldierRanks=(  aAbilityTree=( (AbilityName="Quickburn", ApplyToWeaponSlot=eInvSlot_SecondaryWeapon), \\
(AbilityName=" "), \\
(AbilityName="Firestorm", ApplyToWeaponSlot=eInvSlot_SecondaryWeapon), \\
  ), \\
aStatProgression=((StatType=eStat_Offense,StatAmount=2), (StatType=eStat_HP,StatAmount=1), (StatType=eStat_Hacking,StatAmount=0)),\\
 )
[LWD_Guerrilla X2SoldierClassTemplate]
+bMultiplayerOnly=0
+ClassPoints=4
+IconImage="img:///UILibrary_SOHunter.class_survivalist"
+NumInForcedDeck=1
+NumInDeck=4
+KillAssistsPerKill=4
+SquaddieLoadout=SquaddieLWD_Guerrilla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(AbilityName="LWD_Jab", ApplyToWeaponSlot=eInvSlot_SecondaryWeapon), \\
(AbilityName="ShadowOps_Reposition", ApplyToWeaponSlot=eInvSlot_PrimaryWeapon), \\
\\
\\
\\
\\
  ), \\
aStatProgression=((StatType=eStat_Offense,StatAmount=4), (StatType=eStat_HP,StatAmount=0), (StatType=eStat_Hacking,StatAmount=0), (StatType=eStat_CombatSims,StatAmount=1), (StatType=eStat_Will,StatAmount=4), (StatType=eStat_Dodge,StatAmount=2)),\\
 )
; lance corporal
+SoldierRanks=(  aAbilityTree=( (AbilityName="LowProfile"), \\
(AbilityName=" "), \\
(AbilityName="Cutthroat", ApplyToWeaponSlot=eInvSlot_SecondaryWeapon), \\
  ), \\
aStatProgression=((StatType=eStat_Offense,StatAmount=3), (StatType=eStat_HP,StatAmount=0), (StatType=eStat_Hacking,StatAmount=0), (StatType=eStat_Will,StatAmount=4), (StatType=eStat_Dodge,StatAmount=1)),\\
 )
; corporal
+SoldierRanks=(  aAbilityTree=( (AbilityName=" "), \\
(AbilityName="Shadowstrike_LW", ApplyToWeaponSlot=eInvSlot_PrimaryWeapon ), \\
(AbilityName=" "), \\
  ), \\
aStatProgression=((StatType=eStat_Offense,StatAmount=2), (StatType=eStat_HP,StatAmount=0), (StatType=eStat_Hacking,StatAmount=0)),\\
 )
; sergeant
+SoldierRanks=(  aAbilityTree=( (AbilityName="Shadowstep", ApplyToWeaponSlot=eInvSlot_Unknown), \\
(AbilityName=" "), \\
(AbilityName="Combatives", ApplyToWeaponSlot=eInvSlot_SecondaryWeapon), \\
  ), \\
aStatProgression=((StatType=eStat_Offense,StatAmount=3), (StatType=eStat_HP,StatAmount=1), (StatType=eStat_Hacking,StatAmount=0), (StatType=eStat_Dodge,StatAmount=1)),\\
 )
; staff sergeant
+SoldierRanks=(  aAbilityTree=( (AbilityName="ShadowOps_SnakeBlood"), \\
(AbilityName=" "), \\
(AbilityName="LWD_WhereItHurts"), \\
  ), \\
aStatProgression=((StatType=eStat_Offense,StatAmount=2), (StatType=eStat_HP,StatAmount=0), (StatType=eStat_Hacking,StatAmount=0)),\\
 )
; tech sergeant
+SoldierRanks=(  aAbilityTree=( (AbilityName="ShadowOps_FirstStrike", ApplyToWeaponSlot=eInvSlot_PrimaryWeapon), \\
(AbilityName=" "), \\
(AbilityName="CoupDeGrace", ApplyToWeaponSlot=eInvSlot_SecondaryWeapon), \\
  ), \\
aStatProgression=((StatType=eStat_Offense,StatAmount=3), (StatType=eStat_HP,StatAmount=0), (StatType=eStat_Hacking,StatAmount=0), (StatType=eStat_Dodge,StatAmount=1)),\\
 )
;  gunnery sergeant
+SoldierRanks=(  aAbilityTree=( (AbilityName=" "), \\
(AbilityName="Implacable"), \\
(AbilityName=" "), \\
  ), \\
aStatProgression=((StatType=eStat_Offense,StatAmount=2), (StatType=eStat_HP,StatAmount=0), (StatType=eStat_Hacking,StatAmount=0)),\\
 )
; master sergeant
+SoldierRanks=(  aAbilityTree=( (AbilityName="ShadowOps_Vanish"), \\
(AbilityName=" "), \\
(AbilityName="InTheZone", ApplyToWeaponSlot=eInvSlot_PrimaryWeapon), \\
  ), \\
aStatProgression=((StatType=eStat_Offense,StatAmount=3), (StatType=eStat_HP,StatAmount=1), (StatType=eStat_Hacking,StatAmount=0), (StatType=eStat_Dodge,StatAmount=1)),\\
 )
[LWD_Gunner X2SoldierClassTemplate]
+bMultiplayerOnly=0
+ClassPoints=4
+IconImage="img:///UILibrary_LW_PerkPack.Class_Gunner"
+NumInForcedDeck=1
+NumInDeck=4
+KillAssistsPerKill=4
+SquaddieLoadout=SquaddieLWD_Gunner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(AbilityName="LWD_Jab", ApplyToWeaponSlot=eInvSlot_SecondaryWeapon), \\
(AbilityName="Suppression_LW", ApplyToWeaponSlot=eInvSlot_PrimaryWeapon), \\
(AbilityName="AreaSuppression", ApplyToWeaponSlot=eInvSlot_PrimaryWeapon), \\
\\
\\
\\
  ), \\
aStatProgression=((StatType=eStat_Offense,StatAmount=3), (StatType=eStat_HP,StatAmount=0), (StatType=eStat_Hacking,StatAmount=0), (StatType=eStat_CombatSims,StatAmount=1), (StatType=eStat_Will,StatAmount=4)),\\
 )
; lance corporal
+SoldierRanks=(  aAbilityTree=( (AbilityName="Shredder", ApplyToWeaponSlot=eInvSlot_PrimaryWeapon), \\
(AbilityName=" "), \\
(AbilityName="Lockdown", ApplyToWeaponSlot=eInvSlot_PrimaryWeapon), \\
  ), \\
aStatProgression=((StatType=eStat_Offense,StatAmount=2), (StatType=eStat_HP,StatAmount=1), (StatType=eStat_Hacking,StatAmount=0), (StatType=eStat_Will,StatAmount=4)),\\
 )
; corporal
+SoldierRanks=(  aAbilityTree=( (AbilityName=" "), \\
(AbilityName="ShadowOps_BurstFire", ApplyToWeaponSlot=eInvSlot_PrimaryWeapon), \\
(AbilityName=" "), \\
  ), \\
aStatProgression=((StatType=eStat_Offense,StatAmount=2), (StatType=eStat_HP,StatAmount=0), (StatType=eStat_Hacking,StatAmount=0)),\\
 )
; sergeant
+SoldierRanks=(  aAbilityTree=( (AbilityName="Demolition", ApplyToWeaponSlot=eInvSlot_PrimaryWeapon), \\
(AbilityName=" "), \\
(AbilityName="IronCurtain", ApplyToWeaponSlot=eInvSlot_PrimaryWeapon), \\
  ), \\
aStatProgression=((StatType=eStat_Offense,StatAmount=2), (StatType=eStat_HP,StatAmount=0), (StatType=eStat_Hacking,StatAmount=0)),\\
 )
; staff sergeant
+SoldierRanks=(  aAbilityTree=( (AbilityName="ChainShot", ApplyToWeaponSlot=eInvSlot_PrimaryWeapon), \\
(AbilityName=" "), \\
(AbilityName="Mayhem", ApplyToWeaponSlot=eInvSlot_PrimaryWeapon), \\
  ), \\
aStatProgression=((StatType=eStat_Offense,StatAmount=3), (StatType=eStat_HP,StatAmount=1), (StatType=eStat_Hacking,StatAmount=0)),\\
 )
; tech sergeant
+SoldierRanks=(  aAbilityTree=( (AbilityName="CyclicFire", ApplyToWeaponSlot=eInvSlot_PrimaryWeapon), \\
(AbilityName=" "), \\
(AbilityName="DangerZone"), \\
  ), \\
aStatProgression=((StatType=eStat_Offense,StatAmount=2), (StatType=eStat_HP,StatAmount=0), (StatType=eStat_Hacking,StatAmount=0)),\\
 )
;  gunnery sergeant
+SoldierRanks=(  aAbilityTree=( (AbilityName=" "), \\
(AbilityName="TraverseFire", ApplyToWeaponSlot=eInvSlot_PrimaryWeapon), \\
(AbilityName=" "), \\
  ), \\
aStatProgression=((StatType=eStat_Offense,StatAmount=2), (StatType=eStat_HP,StatAmount=0), (StatType=eStat_Hacking,StatAmount=0)),\\
 )
; master sergeant
+SoldierRanks=(  aAbilityTree=( (AbilityName="SaturationFire", ApplyToWeaponSlot=eInvSlot_PrimaryWeapon), \\
(AbilityName=" "), \\
(AbilityName="KillZone", ApplyToWeaponSlot=eInvSlot_PrimaryWeapon), \\
  ), \\
aStatProgression=((StatType=eStat_Offense,StatAmount=2), (StatType=eStat_HP,StatAmount=1), (StatType=eStat_Hacking,StatAmount=0)),\\
 )
[LWD_Hacker X2SoldierClassTemplate]
+bMultiplayerOnly=0
+ClassPoints=4
+IconImage="img:///UILibrary_LWD.class_hacker"
+NumInForcedDeck=1
+NumInDeck=4
+KillAssistsPerKill=4
+SquaddieLoadout=SquaddieLWD_Hacker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(AbilityName="ShadowOps_ReverseEngineering"), \\
(AbilityName="HaywireProtocol", ApplyToWeaponSlot=eInvSlot_SecondaryWeapon), \\
\\
\\
\\
  ), \\
aStatProgression=((StatType=eStat_Offense,StatAmount=2), (StatType=eStat_HP,StatAmount=0), (StatType=eStat_Hacking,StatAmount=40), (StatType=eStat_CombatSims,StatAmount=1), (StatType=eStat_Will,StatAmount=4)),\\
 )
; lance corporal
+SoldierRanks=(  aAbilityTree=( (AbilityName="ShadowOps_StealthProtocol", ApplyToWeaponSlot=eInvSlot_SecondaryWeapon), \\
(AbilityName=" "), \\
(AbilityName="Interference", ApplyToWeaponSlot=eInvSlot_SecondaryWeapon), \\
  ), \\
aStatProgression=((StatType=eStat_Offense,StatAmount=2), (StatType=eStat_HP,StatAmount=1), (StatType=eStat_Hacking,StatAmount=5), (StatType=eStat_Will,StatAmount=4)),\\
 )
; corporal
+SoldierRanks=(  aAbilityTree=( (AbilityName=" "), \\
(AbilityName="AidProtocol", ApplyToWeaponSlot=eInvSlot_SecondaryWeapon), \\
(AbilityName=" "), \\
  ), \\
aStatProgression=((StatType=eStat_Offense,StatAmount=2), (StatType=eStat_HP,StatAmount=0), (StatType=eStat_Hacking,StatAmount=5)),\\
 )
; sergeant
+SoldierRanks=(  aAbilityTree=( (AbilityName="ThreatAssessment", ApplyToWeaponSlot=eInvSlot_Unknown), \\
(AbilityName=" "), \\
(AbilityName="CombatProtocol", ApplyToWeaponSlot=eInvSlot_SecondaryWeapon), \\
  ), \\
aStatProgression=((StatType=eStat_Offense,StatAmount=2), (StatType=eStat_HP,StatAmount=0), (StatType=eStat_Hacking,StatAmount=5)),\\
 )
; staff sergeant
+SoldierRanks=(  aAbilityTree=( (AbilityName="ShadowOps_SensorOverlays"), \\
(AbilityName=" "), \\
(AbilityName="Failsafe", ApplyToWeaponSlot=eInvSlot_SecondaryWeapon), \\
  ), \\
aStatProgression=((StatType=eStat_Offense,StatAmount=2), (StatType=eStat_HP,StatAmount=1), (StatType=eStat_Hacking,StatAmount=5)),\\
 )
; tech sergeant
+SoldierRanks=(  aAbilityTree=( (AbilityName="ScanningProtocol", ApplyToWeaponSlot=eInvSlot_SecondaryWeapon), \\
(AbilityName=" "), \\
(AbilityName="Trojan", ApplyToWeaponSlot=eInvSlot_SecondaryWeapon), \\
  ), \\
aStatProgression=((StatType=eStat_Offense,StatAmount=2), (StatType=eStat_HP,StatAmount=0), (StatType=eStat_Hacking,StatAmount=5)),\\
 )
;  gunnery sergeant
+SoldierRanks=(  aAbilityTree=( (AbilityName=" "), \\
(AbilityName="LWD_SelfAware", ApplyToWeaponSlot=eInvSlot_SecondaryWeapon), \\
(AbilityName=" "), \\
  ), \\
aStatProgression=((StatType=eStat_Offense,StatAmount=2), (StatType=eStat_HP,StatAmount=0), (StatType=eStat_Hacking,StatAmount=5)),\\
 )
; master sergeant
+SoldierRanks=(  aAbilityTree=( (AbilityName="Tradecraft"), \\
(AbilityName=" "), \\
(AbilityName="FullOverride", ApplyToWeaponSlot=eInvSlot_SecondaryWeapon), \\
  ), \\
aStatProgression=((StatType=eStat_Offense,StatAmount=2), (StatType=eStat_HP,StatAmount=1), (StatType=eStat_Hacking,StatAmount=5)),\\
 )</v>
      </c>
      <c r="W5" t="str">
        <f ca="1">_xlfn.TEXTJOIN(CHAR(10)&amp;CHAR(10),TRUE,R24:R29)</f>
        <v>[LWD_Ranger X2SoldierClassTemplate]
+DisplayName="Ranger"
+ClassSummary="The Ranger is the master of the rifle and may be trained to use it in offensive and defensive capacities. They carry a sawed-off shotgun as a backup as well."
+LeftAbilityTreeTitle="Infantry"
+RightAbilityTreeTitle="Defender"
; Nicknames
RandomNickNames[0]="Angel"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[LWD_Recon X2SoldierClassTemplate]
+DisplayName="Recon"
+ClassSummary="The Recon is our eyes and ears on the battlefield, staying out of sight, but always keeping tabs on the enemy's exact location. They carry a holo-targeter to mark targets."
+LeftAbilityTreeTitle="Scout"
+RightAbilityTreeTitle="Spotter"
; Nicknames
RandomNickNames[0]="Angel"
RandomNickNames[1]="Scope"
RandomNickNames[2]="Beta"
RandomNickNames[3]="Bishop"
RandomNickNames[4]="Bones"
RandomNickNames[5]="Breaker"
RandomNickNames[6]="Broker"
RandomNickNames[7]="Conquest"
RandomNickNames[8]="Deacon"
RandomNickNames[9]="Solo"
RandomNickNames[10]="Dr. Feelgood"
RandomNickNames[11]="Famine"
RandomNickNames[12]="Feedback"
RandomNickNames[13]="Firewall"
RandomNickNames[14]="Genius"
RandomNickNames[15]="Gizmo"
RandomNickNames[16]="Jester"
RandomNickNames[17]="Jolt"
RandomNickNames[18]="Eyes"
RandomNickNames[19]="Mayday"
RandomNickNames[20]="Binoc"
RandomNickNames[21]="Newton"
RandomNickNames[22]="Ragtime"
RandomNickNames[23]="Rascal"
RandomNickNames[24]="Rattler"
RandomNickNames[25]="Revelation"
RandomNickNames[26]="Skipper"
RandomNickNames[27]="Thunder"
RandomNickNames[28]="Cyclops"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[LWD_Sapper X2SoldierClassTemplate]
+DisplayName="Sapper"
+ClassSummary="The Sapper specializes in using their grenade launcher to control the battlefield - usually by destroying it. "
+LeftAbilityTreeTitle="Explosives"
+RightAbilityTreeTitle="Demolitions"
; Nicknames
RandomNickNames[0]="Angel"
RandomNickNames[1]="Bargain"
RandomNickNames[2]="Beta"
RandomNickNames[3]="Bishop"
RandomNickNames[4]="Bones"
RandomNickNames[5]="Breaker"
RandomNickNames[6]="Broker"
RandomNickNames[7]="Conquest"
RandomNickNames[8]="Boomtown"
RandomNickNames[9]="Doomtrain"
RandomNickNames[10]="Dr. Feelgood"
RandomNickNames[11]="Downtown"
RandomNickNames[12]="Demoman"
RandomNickNames[13]="Bulldozer"
RandomNickNames[14]="Genius"
RandomNickNames[15]="Gizmo"
RandomNickNames[16]="Jester"
RandomNickNames[17]="Jolt"
RandomNickNames[18]="Hard Hat"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[LWD_Scrapper X2SoldierClassTemplate]
+DisplayName="Scrapper"
+ClassSummary="The Scrapper wishes they didn't have to carry a gun in the first place. They like to solve things with their fists, and, if the situation is really dire, knives."
+LeftAbilityTreeTitle="Thug"
+RightAbilityTreeTitle="Brawler"
; Nicknames
RandomNickNames[0]="Facetime"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RandomNickNames[13]="Cuddles"
RandomNickNames[14]="Genius"
RandomNickNames[15]="Gizmo"
RandomNickNames[16]="Jester"
RandomNickNames[17]="Jolt"
RandomNickNames[18]="Lightning"
RandomNickNames[19]="Mayday"
RandomNickNames[20]="Mega"
RandomNickNames[21]="Judo"
RandomNickNames[22]="Ragtime"
RandomNickNames[23]="Rascal"
RandomNickNames[24]="Rattler"
RandomNickNames[25]="Hug-n-snug"
RandomNickNames[26]="Skipper"
RandomNickNames[27]="Thunder"
RandomNickNames[28]="Undertaker"
RandomNickNames[29]="War"
RandomNickNames[30]="Whoopsie"
RandomNickNames[31]="Knife"
; Male Nicknames
RandomNickNames_Male[0]="Mr. Tibbs"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[LWD_Sharpshooter X2SoldierClassTemplate]
+DisplayName="Sharpshooter"
+ClassSummary="Our Sharpshooters engage enemy targets with pinpoint accuracy from extreme range. They carry a holotargeter to mark enemies for execution."
+LeftAbilityTreeTitle="Sniper"
+RightAbilityTreeTitle="Deadeye"
; Nicknames
RandomNickNames[0]="Angel"
RandomNickNames[1]="Bargain"
RandomNickNames[2]="Beta"
RandomNickNames[3]="Bishop"
RandomNickNames[4]="Bones"
RandomNickNames[5]="Breaker"
RandomNickNames[6]="Broker"
RandomNickNames[7]="Conquest"
RandomNickNames[8]="Last Rites"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RandomNickNames[31]="Pick'em"
; Male Nicknames
RandomNickNames_Male[0]="Candyman"
RandomNickNames_Male[1]="Mr. Clean"
RandomNickNames_Male[2]="Priest"
RandomNickNames_Male[3]="Rainman"
RandomNickNames_Male[4]="Rooster"
; Female Nicknames
RandomNickNames_Female[0]="Priestess"
RandomNickNames_Female[1]="Wolfmother"
RandomNickNames_Female[2]="Black Widow"
RandomNickNames_Female[3]="Huntress"
RandomNickNames_Female[4]="Queen"
[LWD_Shinobi X2SoldierClassTemplate]
+DisplayName="Shinobi"
+ClassSummary="The Shinobi serves as a capable scouting unit, using a sword to deliver stealthy close-range attacks."
+LeftAbilityTreeTitle="Saboteur"
+RightAbilityTreeTitle="Kenshi"
; Nicknames
RandomNickNames[0]="Angel"
RandomNickNames[1]="Bargain"
RandomNickNames[2]="Nightlight"
RandomNickNames[3]="Bishop"
RandomNickNames[4]="Cloak"
RandomNickNames[5]="Breaker"
RandomNickNames[6]="Broker"
RandomNickNames[7]="Conquest"
RandomNickNames[8]="Deacon"
RandomNickNames[9]="Doomtrain"
RandomNickNames[10]="Nighttime"
RandomNickNames[11]="Famine"
RandomNickNames[12]="Feedback"
RandomNickNames[13]="Fencer"
RandomNickNames[14]="Genius"
RandomNickNames[15]="Gizmo"
RandomNickNames[16]="Jester"
RandomNickNames[17]="Jolt"
RandomNickNames[18]="Lightning"
RandomNickNames[19]="Mayday"
RandomNickNames[20]="Sensei"
RandomNickNames[21]="Judo"
RandomNickNames[22]="Kung Fu"
RandomNickNames[23]="Rascal"
RandomNickNames[24]="Rattler"
RandomNickNames[25]="Revelation"
RandomNickNames[26]="Skipper"
RandomNickNames[27]="Thunder"
RandomNickNames[28]="Undertaker"
RandomNickNames[29]="War"
RandomNickNames[30]="Whoopsie"
RandomNickNames[31]="Slip"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X5" t="s">
        <v>340</v>
      </c>
    </row>
    <row r="6" spans="1:26" x14ac:dyDescent="0.25">
      <c r="A6" t="str">
        <f>IFERROR(INDEX(Sheets,ROWS($A$3:$A6)),"")</f>
        <v>Artillery</v>
      </c>
      <c r="B6" t="str">
        <f t="shared" ref="B6:K6" si="9">IF(A6&lt;&gt;B$2,A6,"")</f>
        <v>Artillery</v>
      </c>
      <c r="C6" t="str">
        <f t="shared" si="9"/>
        <v>Artillery</v>
      </c>
      <c r="D6" t="str">
        <f t="shared" si="9"/>
        <v>Artillery</v>
      </c>
      <c r="E6" t="str">
        <f t="shared" si="9"/>
        <v>Artillery</v>
      </c>
      <c r="F6" t="str">
        <f t="shared" si="9"/>
        <v>Artillery</v>
      </c>
      <c r="G6" t="str">
        <f t="shared" si="9"/>
        <v>Artillery</v>
      </c>
      <c r="H6" t="str">
        <f t="shared" si="9"/>
        <v>Artillery</v>
      </c>
      <c r="I6" t="str">
        <f t="shared" si="9"/>
        <v>Artillery</v>
      </c>
      <c r="J6" t="str">
        <f t="shared" si="9"/>
        <v>Artillery</v>
      </c>
      <c r="K6" t="str">
        <f t="shared" si="9"/>
        <v>Artillery</v>
      </c>
      <c r="L6" t="str">
        <f t="shared" si="7"/>
        <v>Artillery</v>
      </c>
      <c r="N6" t="str">
        <f ca="1">IFERROR(_xlfn.TEXTJOIN(CHAR(10),FALSE,INDIRECT("'"&amp;L6&amp;"'!A46")),"")</f>
        <v>+SoldierClasses=LWD_Artillery</v>
      </c>
      <c r="O6" t="str">
        <f ca="1">IFERROR(_xlfn.TEXTJOIN(CHAR(10),TRUE,INDIRECT("'"&amp;L6&amp;"'!A48:A131")),"")</f>
        <v>[LWD_Artillery X2SoldierClassTemplate]
+bMultiplayerOnly=0
+ClassPoints=4
+IconImage="img:///UILibrary_LWD.class_Artillery"
+NumInForcedDeck=1
+NumInDeck=4
+KillAssistsPerKill=4
+SquaddieLoadout=SquaddieLWD_Artillery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(AbilityName="Squadsight"), \\
\\
\\
\\
\\
  ), \\
aStatProgression=((StatType=eStat_Offense,StatAmount=7), (StatType=eStat_HP,StatAmount=0), (StatType=eStat_Hacking,StatAmount=0), (StatType=eStat_CombatSims,StatAmount=1), (StatType=eStat_Will,StatAmount=3)),\\
 )
; lance corporal
+SoldierRanks=(  aAbilityTree=( (AbilityName="LWD_AntiMateriel", ApplyToWeaponSlot=eInvSlot_PrimaryWeapon), \\
(AbilityName=" "), \\
(AbilityName="JavelinRockets", ApplyToWeaponSlot=eInvSlot_SecondaryWeapon), \\
  ), \\
aStatProgression=((StatType=eStat_Offense,StatAmount=3), (StatType=eStat_HP,StatAmount=0), (StatType=eStat_Hacking,StatAmount=0), (StatType=eStat_Will,StatAmount=3)),\\
 )
; corporal
+SoldierRanks=(  aAbilityTree=( (AbilityName=" "), \\
(AbilityName="FireInTheHole", ApplyToWeaponSlot=eInvSlot_SecondaryWeapon), \\
(AbilityName=" "), \\
  ), \\
aStatProgression=((StatType=eStat_Offense,StatAmount=3), (StatType=eStat_HP,StatAmount=1), (StatType=eStat_Hacking,StatAmount=0)),\\
 )
; sergeant
+SoldierRanks=(  aAbilityTree=( (AbilityName="LWD_Gallop"), \\
(AbilityName=" "), \\
(AbilityName="BiggestBooms_LW"), \\
  ), \\
aStatProgression=((StatType=eStat_Offense,StatAmount=3), (StatType=eStat_HP,StatAmount=0), (StatType=eStat_Hacking,StatAmount=0)),\\
 )
; staff sergeant
+SoldierRanks=(  aAbilityTree=( (AbilityName="LongWatch", ApplyToWeaponSlot=eInvSlot_PrimaryWeapon), \\
(AbilityName=" "), \\
(AbilityName="LWD_FullyStocked"), \\
  ), \\
aStatProgression=((StatType=eStat_Offense,StatAmount=3), (StatType=eStat_HP,StatAmount=0), (StatType=eStat_Hacking,StatAmount=0)),\\
 )
; tech sergeant
+SoldierRanks=(  aAbilityTree=( (AbilityName="Deadeye", ApplyToWeaponSlot=eInvSlot_PrimaryWeapon), \\
(AbilityName=" "), \\
(AbilityName="TandemWarheads"), \\
  ), \\
aStatProgression=((StatType=eStat_Offense,StatAmount=3), (StatType=eStat_HP,StatAmount=0), (StatType=eStat_Hacking,StatAmount=0)),\\
 )
;  gunnery sergeant
+SoldierRanks=(  aAbilityTree=( (AbilityName=" "), \\
(AbilityName="FireandSteel", ApplyToWeaponSlot=eInvSlot_SecondaryWeapon), \\
(AbilityName=" "), \\
  ), \\
aStatProgression=((StatType=eStat_Offense,StatAmount=3), (StatType=eStat_HP,StatAmount=1), (StatType=eStat_Hacking,StatAmount=0)),\\
 )
; master sergeant
+SoldierRanks=(  aAbilityTree=( (AbilityName="AlphaMikeFoxtrot", ApplyToWeaponSlot=eInvSlot_PrimaryWeapon), \\
(AbilityName=" "), \\
(AbilityName="BunkerBuster", ApplyToWeaponSlot=eInvSlot_SecondaryWeapon), \\
  ), \\
aStatProgression=((StatType=eStat_Offense,StatAmount=3), (StatType=eStat_HP,StatAmount=0), (StatType=eStat_Hacking,StatAmount=0)),\\
 )</v>
      </c>
      <c r="P6" t="str">
        <f ca="1">IFERROR(_xlfn.TEXTJOIN(CHAR(10),FALSE,INDIRECT("'"&amp;L6&amp;"'!C46")),"")</f>
        <v>+Loadouts=(LoadoutName="SquaddieLWD_Artillery", Items[0]=(Item="SniperRifle_CV"), Items[1]=(Item="LWGauntlet_CV"))</v>
      </c>
      <c r="Q6" t="str">
        <f ca="1">IFERROR(_xlfn.TEXTJOIN(CHAR(10),FALSE,INDIRECT("'"&amp;L6&amp;"'!C49")),"")</f>
        <v>+DEBUG_StartingSoldierClasses="LWD_Artillery"</v>
      </c>
      <c r="R6" t="str">
        <f ca="1">IFERROR(_xlfn.TEXTJOIN(CHAR(10),FALSE,INDIRECT("'"&amp;L6&amp;"'!E43:E92")),"")</f>
        <v>[LWD_Artillery X2SoldierClassTemplate]
+DisplayName="Artillery"
+ClassSummary="Artillery train with sniper rifles and rocket launchers, and are at their best when their enemy is a mile away."
+LeftAbilityTreeTitle="Tankbuster"
+RightAbilityTreeTitle="Mortar"
; Nicknames
RandomNickNames[0]="Angel"
RandomNickNames[1]="Bargain"
RandomNickNames[2]="Beta"
RandomNickNames[3]="Bishop"
RandomNickNames[4]="Hometown"
RandomNickNames[5]="Breaker"
RandomNickNames[6]="Broker"
RandomNickNames[7]="Conquest"
RandomNickNames[8]="Deacon"
RandomNickNames[9]="Doomtrain"
RandomNickNames[10]="Dr. Feelgood"
RandomNickNames[11]="Famine"
RandomNickNames[12]="Feedback"
RandomNickNames[13]="Sure Thing"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6" t="s">
        <v>340</v>
      </c>
      <c r="U6" t="str">
        <f ca="1">_xlfn.TEXTJOIN(CHAR(10)&amp;CHAR(10),TRUE,O18:O23)</f>
        <v>[LWD_Hunter X2SoldierClassTemplate]
+bMultiplayerOnly=0
+ClassPoints=4
+IconImage="img:///UILibrary_SOHunter.class_hunter"
+NumInForcedDeck=1
+NumInDeck=4
+KillAssistsPerKill=5
+SquaddieLoadout=SquaddieLWD_Hunter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(AbilityName="Slash_LW", ApplyToWeaponSlot=eInvSlot_SecondaryWeapon), \\
(AbilityName="SwordSlice_LW", ApplyToWeaponSlot=eInvSlot_SecondaryWeapon), \\
(AbilityName="Squadsight"), \\
\\
\\
\\
  ), \\
aStatProgression=((StatType=eStat_Offense,StatAmount=5), (StatType=eStat_HP,StatAmount=0), (StatType=eStat_Hacking,StatAmount=0), (StatType=eStat_CombatSims,StatAmount=1), (StatType=eStat_Will,StatAmount=3)),\\
 )
; lance corporal
+SoldierRanks=(  aAbilityTree=( (AbilityName="SnapShot", ApplyToWeaponSlot=eInvSlot_PrimaryWeapon), \\
(AbilityName=" "), \\
(AbilityName="ShadowOps_Reposition", ApplyToWeaponSlot=eInvSlot_PrimaryWeapon), \\
  ), \\
aStatProgression=((StatType=eStat_Offense,StatAmount=4), (StatType=eStat_HP,StatAmount=1), (StatType=eStat_Hacking,StatAmount=0), (StatType=eStat_Will,StatAmount=3)),\\
 )
; corporal
+SoldierRanks=(  aAbilityTree=( (AbilityName=" "), \\
(AbilityName="ShadowOps_FirstStrike", ApplyToWeaponSlot=eInvSlot_PrimaryWeapon), \\
(AbilityName=" "), \\
  ), \\
aStatProgression=((StatType=eStat_Offense,StatAmount=4), (StatType=eStat_HP,StatAmount=0), (StatType=eStat_Hacking,StatAmount=0)),\\
 )
; sergeant
+SoldierRanks=(  aAbilityTree=( (AbilityName="ShadowOps_Stalker"), \\
(AbilityName=" "), \\
(AbilityName="Blademaster", ApplyToWeaponSlot=eInvSlot_SecondaryWeapon), \\
  ), \\
aStatProgression=((StatType=eStat_Offense,StatAmount=3), (StatType=eStat_HP,StatAmount=0), (StatType=eStat_Hacking,StatAmount=0)),\\
 )
; staff sergeant
+SoldierRanks=(  aAbilityTree=( (AbilityName="ShadowOps_Bullseye", ApplyToWeaponSlot=eInvSlot_PrimaryWeapon), \\
(AbilityName=" "), \\
(AbilityName="ShadowOps_Tracking"), \\
  ), \\
aStatProgression=((StatType=eStat_Offense,StatAmount=3), (StatType=eStat_HP,StatAmount=1), (StatType=eStat_Hacking,StatAmount=0)),\\
 )
; tech sergeant
+SoldierRanks=(  aAbilityTree=( (AbilityName="ShadowOps_Precision"), \\
(AbilityName=" "), \\
(AbilityName="LowProfile"), \\
  ), \\
aStatProgression=((StatType=eStat_Offense,StatAmount=3), (StatType=eStat_HP,StatAmount=0), (StatType=eStat_Hacking,StatAmount=0)),\\
 )
;  gunnery sergeant
+SoldierRanks=(  aAbilityTree=( (AbilityName=" "), \\
(AbilityName="ShadowOps_Assassin", ApplyToWeaponSlot=eInvSlot_PrimaryWeapon), \\
(AbilityName=" "), \\
  ), \\
aStatProgression=((StatType=eStat_Offense,StatAmount=3), (StatType=eStat_HP,StatAmount=0), (StatType=eStat_Hacking,StatAmount=0)),\\
 )
; master sergeant
+SoldierRanks=(  aAbilityTree=( (AbilityName="InTheZone", ApplyToWeaponSlot=eInvSlot_PrimaryWeapon), \\
(AbilityName=" "), \\
(AbilityName="ShadowOps_SliceAndDice", ApplyToWeaponSlot=eInvSlot_SecondaryWeapon), \\
  ), \\
aStatProgression=((StatType=eStat_Offense,StatAmount=3), (StatType=eStat_HP,StatAmount=1), (StatType=eStat_Hacking,StatAmount=0)),\\
 )
[LWD_Marksman X2SoldierClassTemplate]
+bMultiplayerOnly=0
+ClassPoints=4
+IconImage="img:///UILibrary_LWD.class_marksman"
+NumInForcedDeck=1
+NumInDeck=4
+KillAssistsPerKill=5
+SquaddieLoadout=SquaddieLWD_Marksman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(AbilityName="PointBlank", ApplyToWeaponSlot=eInvSlot_SecondaryWeapon), \\
(AbilityName="BothBarrels", ApplyToWeaponSlot=eInvSlot_SecondaryWeapon), \\
(AbilityName="SnapShot", ApplyToWeaponSlot=eInvSlot_PrimaryWeapon), \\
\\
\\
\\
  ), \\
aStatProgression=((StatType=eStat_Offense,StatAmount=3), (StatType=eStat_HP,StatAmount=0), (StatType=eStat_Hacking,StatAmount=0), (StatType=eStat_CombatSims,StatAmount=1), (StatType=eStat_Will,StatAmount=3)),\\
 )
; lance corporal
+SoldierRanks=(  aAbilityTree=( (AbilityName="Squadsight"), \\
(AbilityName=" "), \\
(AbilityName="LWD_SpareShells", ApplyToWeaponSlot=eInvSlot_SecondaryWeapon), \\
  ), \\
aStatProgression=((StatType=eStat_Offense,StatAmount=3), (StatType=eStat_HP,StatAmount=0), (StatType=eStat_Hacking,StatAmount=0), (StatType=eStat_Will,StatAmount=3)),\\
 )
; corporal
+SoldierRanks=(  aAbilityTree=( (AbilityName=" "), \\
(AbilityName="PrecisionShot", ApplyToWeaponSlot=eInvSlot_PrimaryWeapon), \\
(AbilityName=" "), \\
  ), \\
aStatProgression=((StatType=eStat_Offense,StatAmount=3), (StatType=eStat_HP,StatAmount=0), (StatType=eStat_Hacking,StatAmount=0)),\\
 )
; sergeant
+SoldierRanks=(  aAbilityTree=( (AbilityName="LowProfile"), \\
(AbilityName=" "), \\
(AbilityName="HitWhereItHurts", ApplyToWeaponSlot=eInvSlot_PrimaryWeapon), \\
  ), \\
aStatProgression=((StatType=eStat_Offense,StatAmount=3), (StatType=eStat_HP,StatAmount=1), (StatType=eStat_Hacking,StatAmount=0)),\\
 )
; staff sergeant
+SoldierRanks=(  aAbilityTree=( (AbilityName="CenterMass", ApplyToWeaponSlot=eInvSlot_PrimaryWeapon), \\
(AbilityName=" "), \\
(AbilityName="LWD_TightChoke", ApplyToWeaponSlot=eInvSlot_SecondaryWeapon), \\
  ), \\
aStatProgression=((StatType=eStat_Offense,StatAmount=3), (StatType=eStat_HP,StatAmount=0), (StatType=eStat_Hacking,StatAmount=0)),\\
 )
; tech sergeant
+SoldierRanks=(  aAbilityTree=( (AbilityName="GrazingFire", ApplyToWeaponSlot=eInvSlot_PrimaryWeapon), \\
(AbilityName=" "), \\
(AbilityName="Aggression", ApplyToWeaponSlot=eInvSlot_PrimaryWeapon), \\
  ), \\
aStatProgression=((StatType=eStat_Offense,StatAmount=3), (StatType=eStat_HP,StatAmount=0), (StatType=eStat_Hacking,StatAmount=0)),\\
 )
;  gunnery sergeant
+SoldierRanks=(  aAbilityTree=( (AbilityName=" "), \\
(AbilityName="HuntersInstinct", ApplyToWeaponSlot=eInvSlot_PrimaryWeapon), \\
(AbilityName=" "), \\
  ), \\
aStatProgression=((StatType=eStat_Offense,StatAmount=3), (StatType=eStat_HP,StatAmount=0), (StatType=eStat_Hacking,StatAmount=0)),\\
 )
; master sergeant
+SoldierRanks=(  aAbilityTree=( (AbilityName="DoubleTap", ApplyToWeaponSlot=eInvSlot_PrimaryWeapon), \\
(AbilityName=" "), \\
(AbilityName="LWD_WhitesOfTheirEyes", ApplyToWeaponSlot=eInvSlot_SecondaryWeapon), \\
  ), \\
aStatProgression=((StatType=eStat_Offense,StatAmount=3), (StatType=eStat_HP,StatAmount=1), (StatType=eStat_Hacking,StatAmount=0)),\\
 )
[LWD_Medic X2SoldierClassTemplate]
+bMultiplayerOnly=0
+ClassPoints=4
+IconImage="img:///UILibrary_LWD.class_medic"
+NumInForcedDeck=1
+NumInDeck=4
+KillAssistsPerKill=3
+SquaddieLoadout=SquaddieLWD_Medic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(AbilityName="AidProtocol", ApplyToWeaponSlot=eInvSlot_SecondaryWeapon), \\
(AbilityName="MedicalProtocol", ApplyToWeaponSlot=eInvSlot_SecondaryWeapon), \\
\\
\\
\\
  ), \\
aStatProgression=((StatType=eStat_Offense,StatAmount=2), (StatType=eStat_HP,StatAmount=0), (StatType=eStat_Hacking,StatAmount=0), (StatType=eStat_CombatSims,StatAmount=1), (StatType=eStat_Will,StatAmount=6)),\\
 )
; lance corporal
+SoldierRanks=(  aAbilityTree=( (AbilityName="RevivalProtocol", ApplyToWeaponSlot=eInvSlot_SecondaryWeapon), \\
(AbilityName=" "), \\
(AbilityName="ThreatAssessment", ApplyToWeaponSlot=eInvSlot_Unknown), \\
  ), \\
aStatProgression=((StatType=eStat_Offense,StatAmount=2), (StatType=eStat_HP,StatAmount=1), (StatType=eStat_Hacking,StatAmount=0), (StatType=eStat_Will,StatAmount=6)),\\
 )
; corporal
+SoldierRanks=(  aAbilityTree=( (AbilityName=" "), \\
(AbilityName="FieldSurgeon", ApplyToWeaponSlot=eInvSlot_Unknown), \\
(AbilityName=" "), \\
  ), \\
aStatProgression=((StatType=eStat_Offense,StatAmount=2), (StatType=eStat_HP,StatAmount=0), (StatType=eStat_Hacking,StatAmount=0)),\\
 )
; sergeant
+SoldierRanks=(  aAbilityTree=( (AbilityName="FieldMedic", ApplyToWeaponSlot=eInvSlot_Unknown), \\
(AbilityName=" "), \\
(AbilityName="ShadowOps_ShieldProtocol", ApplyToWeaponSlot=eInvSlot_SecondaryWeapon), \\
  ), \\
aStatProgression=((StatType=eStat_Offense,StatAmount=2), (StatType=eStat_HP,StatAmount=0), (StatType=eStat_Hacking,StatAmount=0)),\\
 )
; staff sergeant
+SoldierRanks=(  aAbilityTree=( (AbilityName="ShadowOps_CoverMe"), \\
(AbilityName=" "), \\
(AbilityName="EverVigilant", ApplyToWeaponSlot=eInvSlot_Unknown), \\
  ), \\
aStatProgression=((StatType=eStat_Offense,StatAmount=2), (StatType=eStat_HP,StatAmount=1), (StatType=eStat_Hacking,StatAmount=0)),\\
 )
; tech sergeant
+SoldierRanks=(  aAbilityTree=( (AbilityName="Savior", ApplyToWeaponSlot=eInvSlot_Unknown), \\
(AbilityName=" "), \\
(AbilityName="Sentinel", ApplyToWeaponSlot=eInvSlot_Unknown), \\
  ), \\
aStatProgression=((StatType=eStat_Offense,StatAmount=2), (StatType=eStat_HP,StatAmount=0), (StatType=eStat_Hacking,StatAmount=0)),\\
 )
;  gunnery sergeant
+SoldierRanks=(  aAbilityTree=( (AbilityName=" "), \\
(AbilityName="DeepCover"), \\
(AbilityName=" "), \\
  ), \\
aStatProgression=((StatType=eStat_Offense,StatAmount=2), (StatType=eStat_HP,StatAmount=0), (StatType=eStat_Hacking,StatAmount=0)),\\
 )
; master sergeant
+SoldierRanks=(  aAbilityTree=( (AbilityName="RestorativeMist", ApplyToWeaponSlot=eInvSlot_SecondaryWeapon), \\
(AbilityName=" "), \\
(AbilityName="ShadowOps_Focus", ApplyToWeaponSlot=eInvSlot_PrimaryWeapon), \\
  ), \\
aStatProgression=((StatType=eStat_Offense,StatAmount=2), (StatType=eStat_HP,StatAmount=1), (StatType=eStat_Hacking,StatAmount=0)),\\
 )
[LWD_Partisan X2SoldierClassTemplate]
+bMultiplayerOnly=0
+ClassPoints=4
+IconImage="img:///UILibrary_LWD.class_partisan"
+NumInForcedDeck=1
+NumInDeck=4
+KillAssistsPerKill=4
+SquaddieLoadout=SquaddieLWD_Partisan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(AbilityName="LightningReflexes_LW", ApplyToWeaponSlot=eInvSlot_Unknown), \\
\\
\\
\\
\\
  ), \\
aStatProgression=((StatType=eStat_Offense,StatAmount=2), (StatType=eStat_HP,StatAmount=0), (StatType=eStat_Hacking,StatAmount=0), (StatType=eStat_CombatSims,StatAmount=1), (StatType=eStat_Will,StatAmount=5)),\\
 )
; lance corporal
+SoldierRanks=(  aAbilityTree=( (AbilityName="LWD_GreasedLightning", ApplyToWeaponSlot=eInvSlot_SecondaryWeapon), \\
(AbilityName=" "), \\
(AbilityName="Flush", ApplyToWeaponSlot=eInvSlot_PrimaryWeapon), \\
  ), \\
aStatProgression=((StatType=eStat_Offense,StatAmount=2), (StatType=eStat_HP,StatAmount=1), (StatType=eStat_Hacking,StatAmount=0), (StatType=eStat_Will,StatAmount=5)),\\
 )
; corporal
+SoldierRanks=(  aAbilityTree=( (AbilityName=" "), \\
(AbilityName="LWD_CattleProd", ApplyToWeaponSlot=eInvSlot_SecondaryWeapon), \\
(AbilityName=" "), \\
  ), \\
aStatProgression=((StatType=eStat_Offense,StatAmount=2), (StatType=eStat_HP,StatAmount=0), (StatType=eStat_Hacking,StatAmount=0)),\\
 )
; sergeant
+SoldierRanks=(  aAbilityTree=( (AbilityName="Flashbanger"), \\
(AbilityName=" "), \\
(AbilityName="ShadowOps_DisablingShot", ApplyToWeaponSlot=eInvSlot_PrimaryWeapon), \\
  ), \\
aStatProgression=((StatType=eStat_Offense,StatAmount=2), (StatType=eStat_HP,StatAmount=0), (StatType=eStat_Hacking,StatAmount=0)),\\
 )
; staff sergeant
+SoldierRanks=(  aAbilityTree=( (AbilityName="StunGunner", ApplyToWeaponSlot=eInvSlot_SecondaryWeapon), \\
(AbilityName=" "), \\
(AbilityName="ShadowOps_Fearsome"), \\
  ), \\
aStatProgression=((StatType=eStat_Offense,StatAmount=2), (StatType=eStat_HP,StatAmount=1), (StatType=eStat_Hacking,StatAmount=0)),\\
 )
; tech sergeant
+SoldierRanks=(  aAbilityTree=( (AbilityName="StingGrenades", ApplyToWeaponSlot=eInvSlot_SecondaryWeapon), \\
(AbilityName=" "), \\
(AbilityName="IronCurtain", ApplyToWeaponSlot=eInvSlot_PrimaryWeapon), \\
  ), \\
aStatProgression=((StatType=eStat_Offense,StatAmount=2), (StatType=eStat_HP,StatAmount=0), (StatType=eStat_Hacking,StatAmount=0)),\\
 )
;  gunnery sergeant
+SoldierRanks=(  aAbilityTree=( (AbilityName=" "), \\
(AbilityName="HitAndRun", ApplyToWeaponSlot=eInvSlot_PrimaryWeapon), \\
(AbilityName=" "), \\
  ), \\
aStatProgression=((StatType=eStat_Offense,StatAmount=2), (StatType=eStat_HP,StatAmount=0), (StatType=eStat_Hacking,StatAmount=0)),\\
 )
; master sergeant
+SoldierRanks=(  aAbilityTree=( (AbilityName="ChainLightning", ApplyToWeaponSlot=eInvSlot_SecondaryWeapon), \\
(AbilityName=" "), \\
(AbilityName="BulletShred", ApplyToWeaponSlot=eInvSlot_PrimaryWeapon), \\
  ), \\
aStatProgression=((StatType=eStat_Offense,StatAmount=2), (StatType=eStat_HP,StatAmount=1), (StatType=eStat_Hacking,StatAmount=0)),\\
 )
[LWD_Protector X2SoldierClassTemplate]
+bMultiplayerOnly=0
+ClassPoints=4
+IconImage="img:///UILibrary_LWD.class_support"
+NumInForcedDeck=1
+NumInDeck=3
+KillAssistsPerKill=4
+SquaddieLoadout=SquaddieLWD_Protector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(AbilityName="ShadowOps_SmokeAndMirrors_LW2", ApplyToWeaponSlot=eInvSlot_SecondaryWeapon), \\
\\
\\
\\
\\
  ), \\
aStatProgression=((StatType=eStat_Offense,StatAmount=2), (StatType=eStat_HP,StatAmount=0), (StatType=eStat_Hacking,StatAmount=0), (StatType=eStat_CombatSims,StatAmount=1), (StatType=eStat_Will,StatAmount=4)),\\
 )
; lance corporal
+SoldierRanks=(  aAbilityTree=( (AbilityName="RapidDeployment"), \\
(AbilityName=" "), \\
(AbilityName="Flashbanger"), \\
  ), \\
aStatProgression=((StatType=eStat_Offense,StatAmount=2), (StatType=eStat_HP,StatAmount=1), (StatType=eStat_Hacking,StatAmount=0), (StatType=eStat_Will,StatAmount=4)),\\
 )
; corporal
+SoldierRanks=(  aAbilityTree=( (AbilityName=" "), \\
(AbilityName="Protector"), \\
(AbilityName=" "), \\
  ), \\
aStatProgression=((StatType=eStat_Offense,StatAmount=2), (StatType=eStat_HP,StatAmount=0), (StatType=eStat_Hacking,StatAmount=0)),\\
 )
; sergeant
+SoldierRanks=(  aAbilityTree=( (AbilityName="CoolUnderPressure", ApplyToWeaponSlot=eInvSlot_PrimaryWeapon), \\
(AbilityName=" "), \\
(AbilityName="BluescreenBombs", ApplyToWeaponSlot=eInvSlot_Unknown), \\
  ), \\
aStatProgression=((StatType=eStat_Offense,StatAmount=2), (StatType=eStat_HP,StatAmount=1), (StatType=eStat_Hacking,StatAmount=0)),\\
 )
; staff sergeant
+SoldierRanks=(  aAbilityTree=( (AbilityName="Suppression_LW", ApplyToWeaponSlot=eInvSlot_PrimaryWeapon), \\
(AbilityName=" "), \\
(AbilityName="StingGrenades", ApplyToWeaponSlot=eInvSlot_SecondaryWeapon), \\
  ), \\
aStatProgression=((StatType=eStat_Offense,StatAmount=2), (StatType=eStat_HP,StatAmount=0), (StatType=eStat_Hacking,StatAmount=0)),\\
 )
; tech sergeant
+SoldierRanks=(  aAbilityTree=( (AbilityName="ShadowOps_CombatDrugs"), \\
(AbilityName=" "), \\
(AbilityName="DenseSmoke"), \\
  ), \\
aStatProgression=((StatType=eStat_Offense,StatAmount=2), (StatType=eStat_HP,StatAmount=1), (StatType=eStat_Hacking,StatAmount=0)),\\
 )
;  gunnery sergeant
+SoldierRanks=(  aAbilityTree=( (AbilityName=" "), \\
(AbilityName="Bombard_LW", ApplyToWeaponSlot=eInvSlot_Unknown), \\
(AbilityName=" "), \\
  ), \\
aStatProgression=((StatType=eStat_Offense,StatAmount=2), (StatType=eStat_HP,StatAmount=0), (StatType=eStat_Hacking,StatAmount=0)),\\
 )
; master sergeant
+SoldierRanks=(  aAbilityTree=( (AbilityName="ShadowOps_Focus", ApplyToWeaponSlot=eInvSlot_PrimaryWeapon), \\
(AbilityName=" "), \\
(AbilityName="GhostGrenade", ApplyToWeaponSlot=eInvSlot_SecondaryWeapon), \\
  ), \\
aStatProgression=((StatType=eStat_Offense,StatAmount=2), (StatType=eStat_HP,StatAmount=1), (StatType=eStat_Hacking,StatAmount=0)),\\
 )
[LWD_Raider X2SoldierClassTemplate]
+bMultiplayerOnly=0
+ClassPoints=4
+IconImage="img:///UILibrary_LWD.class_raider"
+NumInForcedDeck=1
+NumInDeck=4
+KillAssistsPerKill=5
+SquaddieLoadout=SquaddieLWD_Raider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(AbilityName="LWD_Onslaught", ApplyToWeaponSlot=eInvSlot_PrimaryWeapon), \\
(AbilityName="LWD_Reave", ApplyToWeaponSlot=eInvSlot_SecondaryWeapon), \\
\\
\\
\\
\\
  ), \\
aStatProgression=((StatType=eStat_Offense,StatAmount=2), (StatType=eStat_HP,StatAmount=0), (StatType=eStat_Hacking,StatAmount=0), (StatType=eStat_CombatSims,StatAmount=1), (StatType=eStat_Will,StatAmount=4), (StatType=eStat_Dodge,StatAmount=1)),\\
 )
; lance corporal
+SoldierRanks=(  aAbilityTree=( (AbilityName="LWD_BattleFocus", ApplyToWeaponSlot=eInvSlot_PrimaryWeapon), \\
(AbilityName=" "), \\
(AbilityName="LWD_BattleFury", ApplyToWeaponSlot=eInvSlot_SecondaryWeapon), \\
  ), \\
aStatProgression=((StatType=eStat_Offense,StatAmount=2), (StatType=eStat_HP,StatAmount=1), (StatType=eStat_Hacking,StatAmount=0), (StatType=eStat_Will,StatAmount=4), (StatType=eStat_Dodge,StatAmount=1)),\\
 )
; corporal
+SoldierRanks=(  aAbilityTree=( (AbilityName=" "), \\
(AbilityName="LWD_CombatStance"), \\
(AbilityName=" "), \\
  ), \\
aStatProgression=((StatType=eStat_Offense,StatAmount=2), (StatType=eStat_HP,StatAmount=0), (StatType=eStat_Hacking,StatAmount=0), (StatType=eStat_Dodge,StatAmount=1)),\\
 )
; sergeant
+SoldierRanks=(  aAbilityTree=( (AbilityName="ShadowOps_Sprint"), \\
(AbilityName=" "), \\
(AbilityName="Cutthroat", ApplyToWeaponSlot=eInvSlot_SecondaryWeapon), \\
  ), \\
aStatProgression=((StatType=eStat_Offense,StatAmount=2), (StatType=eStat_HP,StatAmount=1), (StatType=eStat_Hacking,StatAmount=0)),\\
 )
; staff sergeant
+SoldierRanks=(  aAbilityTree=( (AbilityName="Untouchable"), \\
(AbilityName=" "), \\
(AbilityName="CloseAndPersonal", ApplyToWeaponSlot=eInvSlot_Unknown), \\
  ), \\
aStatProgression=((StatType=eStat_Offense,StatAmount=2), (StatType=eStat_HP,StatAmount=0), (StatType=eStat_Hacking,StatAmount=0), (StatType=eStat_Dodge,StatAmount=1)),\\
 )
; tech sergeant
+SoldierRanks=(  aAbilityTree=( (AbilityName="LWD_Warlord"), \\
(AbilityName=" "), \\
(AbilityName="LWD_Berserker"), \\
  ), \\
aStatProgression=((StatType=eStat_Offense,StatAmount=2), (StatType=eStat_HP,StatAmount=1), (StatType=eStat_Hacking,StatAmount=0)),\\
 )
;  gunnery sergeant
+SoldierRanks=(  aAbilityTree=( (AbilityName=" "), \\
(AbilityName="LWD_Viking"), \\
(AbilityName=" "), \\
  ), \\
aStatProgression=((StatType=eStat_Offense,StatAmount=2), (StatType=eStat_HP,StatAmount=0), (StatType=eStat_Hacking,StatAmount=0), (StatType=eStat_Dodge,StatAmount=1)),\\
 )
; master sergeant
+SoldierRanks=(  aAbilityTree=( (AbilityName="LWD_Ravager", ApplyToWeaponSlot=eInvSlot_PrimaryWeapon), \\
(AbilityName=" "), \\
(AbilityName="LWD_Reaver", ApplyToWeaponSlot=eInvSlot_SecondaryWeapon), \\
  ), \\
aStatProgression=((StatType=eStat_Offense,StatAmount=2), (StatType=eStat_HP,StatAmount=1), (StatType=eStat_Hacking,StatAmount=0)),\\
 )</v>
      </c>
      <c r="W6" t="str">
        <f ca="1">_xlfn.TEXTJOIN(CHAR(10)&amp;CHAR(10),TRUE,R30:R35)</f>
        <v/>
      </c>
      <c r="X6" t="s">
        <v>340</v>
      </c>
    </row>
    <row r="7" spans="1:26" x14ac:dyDescent="0.25">
      <c r="A7" t="str">
        <f>IFERROR(INDEX(Sheets,ROWS($A$3:$A7)),"")</f>
        <v>Assault</v>
      </c>
      <c r="B7" t="str">
        <f t="shared" ref="B7:K7" si="10">IF(A7&lt;&gt;B$2,A7,"")</f>
        <v>Assault</v>
      </c>
      <c r="C7" t="str">
        <f t="shared" si="10"/>
        <v>Assault</v>
      </c>
      <c r="D7" t="str">
        <f t="shared" si="10"/>
        <v>Assault</v>
      </c>
      <c r="E7" t="str">
        <f t="shared" si="10"/>
        <v>Assault</v>
      </c>
      <c r="F7" t="str">
        <f t="shared" si="10"/>
        <v>Assault</v>
      </c>
      <c r="G7" t="str">
        <f t="shared" si="10"/>
        <v>Assault</v>
      </c>
      <c r="H7" t="str">
        <f t="shared" si="10"/>
        <v>Assault</v>
      </c>
      <c r="I7" t="str">
        <f t="shared" si="10"/>
        <v>Assault</v>
      </c>
      <c r="J7" t="str">
        <f t="shared" si="10"/>
        <v>Assault</v>
      </c>
      <c r="K7" t="str">
        <f t="shared" si="10"/>
        <v>Assault</v>
      </c>
      <c r="L7" t="str">
        <f t="shared" si="7"/>
        <v>Assault</v>
      </c>
      <c r="N7" t="str">
        <f t="shared" ref="N7:N70" ca="1" si="11">IFERROR(_xlfn.TEXTJOIN(CHAR(10),FALSE,INDIRECT("'"&amp;L7&amp;"'!A46")),"")</f>
        <v>+SoldierClasses=LWD_Assault</v>
      </c>
      <c r="O7" t="str">
        <f t="shared" ref="O7:O70" ca="1" si="12">IFERROR(_xlfn.TEXTJOIN(CHAR(10),TRUE,INDIRECT("'"&amp;L7&amp;"'!A48:A131")),"")</f>
        <v>[LWD_Assault X2SoldierClassTemplate]
+bMultiplayerOnly=0
+ClassPoints=4
+IconImage="img:///UILibrary_LW_PerkPack.Class_Assault"
+NumInForcedDeck=1
+NumInDeck=4
+KillAssistsPerKill=5
+SquaddieLoadout=SquaddieLWD_Assault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(AbilityName="RunAndGun_LW"), \\
\\
\\
\\
\\
  ), \\
aStatProgression=((StatType=eStat_Offense,StatAmount=2), (StatType=eStat_HP,StatAmount=0), (StatType=eStat_Hacking,StatAmount=0), (StatType=eStat_CombatSims,StatAmount=1), (StatType=eStat_Will,StatAmount=5), (StatType=eStat_Mobility,StatAmount=1)),\\
 )
; lance corporal
+SoldierRanks=(  aAbilityTree=( (AbilityName="Electroshock", ApplyToWeaponSlot=eInvSlot_SecondaryWeapon), \\
(AbilityName=" "), \\
(AbilityName="LightningReflexes_LW", ApplyToWeaponSlot=eInvSlot_Unknown), \\
  ), \\
aStatProgression=((StatType=eStat_Offense,StatAmount=2), (StatType=eStat_HP,StatAmount=1), (StatType=eStat_Hacking,StatAmount=0), (StatType=eStat_Will,StatAmount=5)),\\
 )
; corporal
+SoldierRanks=(  aAbilityTree=( (AbilityName=" "), \\
(AbilityName="StreetSweeper", ApplyToWeaponSlot=eInvSlot_PrimaryWeapon), \\
(AbilityName=" "), \\
  ), \\
aStatProgression=((StatType=eStat_Offense,StatAmount=2), (StatType=eStat_HP,StatAmount=0), (StatType=eStat_Hacking,StatAmount=0)),\\
 )
; sergeant
+SoldierRanks=(  aAbilityTree=( (AbilityName="KillerInstinct", ApplyToWeaponSlot=eInvSlot_Unknown), \\
(AbilityName=" "), \\
(AbilityName="LWD_HandsAndFeet"), \\
  ), \\
aStatProgression=((StatType=eStat_Offense,StatAmount=2), (StatType=eStat_HP,StatAmount=1), (StatType=eStat_Hacking,StatAmount=0)),\\
 )
; staff sergeant
+SoldierRanks=(  aAbilityTree=( (AbilityName="Aggression", ApplyToWeaponSlot=eInvSlot_PrimaryWeapon), \\
(AbilityName=" "), \\
(AbilityName="CloseEncounters", ApplyToWeaponSlot=eInvSlot_PrimaryWeapon), \\
  ), \\
aStatProgression=((StatType=eStat_Offense,StatAmount=2), (StatType=eStat_HP,StatAmount=0), (StatType=eStat_Hacking,StatAmount=0)),\\
 )
; tech sergeant
+SoldierRanks=(  aAbilityTree=( (AbilityName="EMPulser", ApplyToWeaponSlot=eInvSlot_SecondaryWeapon), \\
(AbilityName=" "), \\
(AbilityName="EverVigilant", ApplyToWeaponSlot=eInvSlot_Unknown), \\
  ), \\
aStatProgression=((StatType=eStat_Offense,StatAmount=2), (StatType=eStat_HP,StatAmount=1), (StatType=eStat_Hacking,StatAmount=0)),\\
 )
;  gunnery sergeant
+SoldierRanks=(  aAbilityTree=( (AbilityName=" "), \\
(AbilityName="CloseCombatSpecialist", ApplyToWeaponSlot=eInvSlot_PrimaryWeapon), \\
(AbilityName=" "), \\
  ), \\
aStatProgression=((StatType=eStat_Offense,StatAmount=2), (StatType=eStat_HP,StatAmount=0), (StatType=eStat_Hacking,StatAmount=0)),\\
 )
; master sergeant
+SoldierRanks=(  aAbilityTree=( (AbilityName="StreetSweeper2", ApplyToWeaponSlot=eInvSlot_PrimaryWeapon), \\
(AbilityName=" "), \\
(AbilityName="ShadowOps_SlamFire", ApplyToWeaponSlot=eInvSlot_PrimaryWeapon), \\
  ), \\
aStatProgression=((StatType=eStat_Offense,StatAmount=2), (StatType=eStat_HP,StatAmount=1), (StatType=eStat_Hacking,StatAmount=0)),\\
 )</v>
      </c>
      <c r="P7" t="str">
        <f t="shared" ref="P7:P70" ca="1" si="13">IFERROR(_xlfn.TEXTJOIN(CHAR(10),FALSE,INDIRECT("'"&amp;L7&amp;"'!C46")),"")</f>
        <v>+Loadouts=(LoadoutName="SquaddieLWD_Assault", Items[0]=(Item="Shotgun_CV"), Items[1]=(Item="Arcthrower_CV"))</v>
      </c>
      <c r="Q7" t="str">
        <f t="shared" ref="Q7:Q70" ca="1" si="14">IFERROR(_xlfn.TEXTJOIN(CHAR(10),FALSE,INDIRECT("'"&amp;L7&amp;"'!C49")),"")</f>
        <v>+DEBUG_StartingSoldierClasses="LWD_Assault"</v>
      </c>
      <c r="R7" t="str">
        <f t="shared" ref="R7:R70" ca="1" si="15">IFERROR(_xlfn.TEXTJOIN(CHAR(10),FALSE,INDIRECT("'"&amp;L7&amp;"'!E43:E92")),"")</f>
        <v>[LWD_Assault X2SoldierClassTemplate]
+DisplayName="Assault"
+ClassSummary="The Assault serves as our primary close range unit, able to push in close and hold the line. They carry an arc thrower to keep the enemy on their toes."
+LeftAbilityTreeTitle="Aggressor"
+RightAbilityTreeTitle="Breacher"
; Nicknames
RandomNickNames[0]="Angel"
RandomNickNames[1]="Bargain"
RandomNickNames[2]="Beta"
RandomNickNames[3]="Bishop"
RandomNickNames[4]="Shatter"
RandomNickNames[5]="Breaker"
RandomNickNames[6]="Broker"
RandomNickNames[7]="Conquest"
RandomNickNames[8]="Deacon"
RandomNickNames[9]="Doomtrain"
RandomNickNames[10]="Dr. Feelgood"
RandomNickNames[11]="Famine"
RandomNickNames[12]="Feedback"
RandomNickNames[13]="Firewall"
RandomNickNames[14]="Genius"
RandomNickNames[15]="Mad Dog"
RandomNickNames[16]="Jester"
RandomNickNames[17]="Jolt"
RandomNickNames[18]="Lightning"
RandomNickNames[19]="Mayday"
RandomNickNames[20]="Mega"
RandomNickNames[21]="Newton"
RandomNickNames[22]="Ragtime"
RandomNickNames[23]="Dancer"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RandomNickNames_Male[3]="Mr. Go"
RandomNickNames_Male[4]="Rooster"
; Female Nicknames
RandomNickNames_Female[0]="Priestess"
RandomNickNames_Female[1]="Wolfmother"
RandomNickNames_Female[2]="Black Widow"
RandomNickNames_Female[3]="Duchess"
RandomNickNames_Female[4]="Vixen"</v>
      </c>
      <c r="S7" t="s">
        <v>340</v>
      </c>
      <c r="U7" t="str">
        <f ca="1">_xlfn.TEXTJOIN(CHAR(10)&amp;CHAR(10),TRUE,O24:O29)</f>
        <v>[LWD_Ranger X2SoldierClassTemplate]
+bMultiplayerOnly=0
+ClassPoints=4
+IconImage="img:///UILibrary_Common.class_ranger"
+NumInForcedDeck=1
+NumInDeck=4
+KillAssistsPerKill=4
+SquaddieLoadout=SquaddieLWD_Ranger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(AbilityName="PointBlank", ApplyToWeaponSlot=eInvSlot_SecondaryWeapon), \\
(AbilityName="BothBarrels", ApplyToWeaponSlot=eInvSlot_SecondaryWeapon), \\
(AbilityName="LightEmUp", ApplyToWeaponSlot=eInvSlot_PrimaryWeapon), \\
\\
\\
\\
  ), \\
aStatProgression=((StatType=eStat_Offense,StatAmount=3), (StatType=eStat_HP,StatAmount=0), (StatType=eStat_Hacking,StatAmount=0), (StatType=eStat_CombatSims,StatAmount=1), (StatType=eStat_Will,StatAmount=4)),\\
 )
; lance corporal
+SoldierRanks=(  aAbilityTree=( (AbilityName="CoolUnderPressure", ApplyToWeaponSlot=eInvSlot_PrimaryWeapon), \\
(AbilityName=" "), \\
(AbilityName="CoveringFire", ApplyToWeaponSlot=eInvSlot_PrimaryWeapon), \\
  ), \\
aStatProgression=((StatType=eStat_Offense,StatAmount=2), (StatType=eStat_HP,StatAmount=1), (StatType=eStat_Hacking,StatAmount=0), (StatType=eStat_Will,StatAmount=4)),\\
 )
; corporal
+SoldierRanks=(  aAbilityTree=( (AbilityName=" "), \\
(AbilityName="CenterMass", ApplyToWeaponSlot=eInvSlot_PrimaryWeapon), \\
(AbilityName=" "), \\
  ), \\
aStatProgression=((StatType=eStat_Offense,StatAmount=3), (StatType=eStat_HP,StatAmount=0), (StatType=eStat_Hacking,StatAmount=0)),\\
 )
; sergeant
+SoldierRanks=(  aAbilityTree=( (AbilityName="GrazingFire", ApplyToWeaponSlot=eInvSlot_PrimaryWeapon), \\
(AbilityName=" "), \\
(AbilityName="Suppression_LW", ApplyToWeaponSlot=eInvSlot_PrimaryWeapon), \\
  ), \\
aStatProgression=((StatType=eStat_Offense,StatAmount=2), (StatType=eStat_HP,StatAmount=0), (StatType=eStat_Hacking,StatAmount=0)),\\
 )
; staff sergeant
+SoldierRanks=(  aAbilityTree=( (AbilityName="BringEmOn", ApplyToWeaponSlot=eInvSlot_Unknown), \\
(AbilityName=" "), \\
(AbilityName="Fortify"), \\
  ), \\
aStatProgression=((StatType=eStat_Offense,StatAmount=3), (StatType=eStat_HP,StatAmount=1), (StatType=eStat_Hacking,StatAmount=0)),\\
 )
; tech sergeant
+SoldierRanks=(  aAbilityTree=( (AbilityName="Lethal", ApplyToWeaponSlot=eInvSlot_PrimaryWeapon), \\
(AbilityName=" "), \\
(AbilityName="ShadowOps_ReadyForAnything", ApplyToWeaponSlot=eInvSlot_PrimaryWeapon), \\
  ), \\
aStatProgression=((StatType=eStat_Offense,StatAmount=2), (StatType=eStat_HP,StatAmount=0), (StatType=eStat_Hacking,StatAmount=0)),\\
 )
;  gunnery sergeant
+SoldierRanks=(  aAbilityTree=( (AbilityName=" "), \\
(AbilityName="RapidFire", ApplyToWeaponSlot=eInvSlot_PrimaryWeapon), \\
(AbilityName=" "), \\
  ), \\
aStatProgression=((StatType=eStat_Offense,StatAmount=3), (StatType=eStat_HP,StatAmount=0), (StatType=eStat_Hacking,StatAmount=0)),\\
 )
; master sergeant
+SoldierRanks=(  aAbilityTree=( (AbilityName="CombatFitness"), \\
(AbilityName=" "), \\
(AbilityName="RapidReaction", ApplyToWeaponSlot=eInvSlot_PrimaryWeapon), \\
  ), \\
aStatProgression=((StatType=eStat_Offense,StatAmount=2), (StatType=eStat_HP,StatAmount=1), (StatType=eStat_Hacking,StatAmount=0)),\\
 )
[LWD_Recon X2SoldierClassTemplate]
+bMultiplayerOnly=0
+ClassPoints=4
+IconImage="img:///UILibrary_SOInfantry.class_recon"
+NumInForcedDeck=1
+NumInDeck=4
+KillAssistsPerKill=3
+SquaddieLoadout=SquaddieLWD_Recon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(AbilityName="Holotargeting", ApplyToWeaponSlot=eInvSlot_PrimaryWeapon), \\
(AbilityName="ShadowOps_Vanish"), \\
\\
\\
\\
\\
  ), \\
aStatProgression=((StatType=eStat_Offense,StatAmount=3), (StatType=eStat_HP,StatAmount=0), (StatType=eStat_Hacking,StatAmount=5), (StatType=eStat_CombatSims,StatAmount=1), (StatType=eStat_Will,StatAmount=3)),\\
 )
; lance corporal
+SoldierRanks=(  aAbilityTree=( (AbilityName="LWD_ScannerSweep", ApplyToWeaponSlot=eInvSlot_SecondaryWeapon), \\
(AbilityName=" "), \\
(AbilityName="HDHolo", ApplyToWeaponSlot=eInvSlot_SecondaryWeapon), \\
  ), \\
aStatProgression=((StatType=eStat_Offense,StatAmount=2), (StatType=eStat_HP,StatAmount=0), (StatType=eStat_Hacking,StatAmount=5), (StatType=eStat_Will,StatAmount=3)),\\
 )
; corporal
+SoldierRanks=(  aAbilityTree=( (AbilityName=" "), \\
(AbilityName="LWD_EagleEyes"), \\
(AbilityName=" "), \\
  ), \\
aStatProgression=((StatType=eStat_Offense,StatAmount=3), (StatType=eStat_HP,StatAmount=1), (StatType=eStat_Hacking,StatAmount=5)),\\
 )
; sergeant
+SoldierRanks=(  aAbilityTree=( (AbilityName="ShadowOps_Tracking"), \\
(AbilityName=" "), \\
(AbilityName="IndependentTracking", ApplyToWeaponSlot=eInvSlot_SecondaryWeapon), \\
  ), \\
aStatProgression=((StatType=eStat_Offense,StatAmount=2), (StatType=eStat_HP,StatAmount=0), (StatType=eStat_Hacking,StatAmount=5)),\\
 )
; staff sergeant
+SoldierRanks=(  aAbilityTree=( (AbilityName="LWD_Watchman"), \\
(AbilityName=" "), \\
(AbilityName="LWD_Lookout", ApplyToWeaponSlot=eInvSlot_SecondaryWeapon), \\
  ), \\
aStatProgression=((StatType=eStat_Offense,StatAmount=3), (StatType=eStat_HP,StatAmount=0), (StatType=eStat_Hacking,StatAmount=5)),\\
 )
; tech sergeant
+SoldierRanks=(  aAbilityTree=( (AbilityName="Tradecraft"), \\
(AbilityName=" "), \\
(AbilityName="RapidTargeting", ApplyToWeaponSlot=eInvSlot_SecondaryWeapon), \\
  ), \\
aStatProgression=((StatType=eStat_Offense,StatAmount=2), (StatType=eStat_HP,StatAmount=0), (StatType=eStat_Hacking,StatAmount=5)),\\
 )
;  gunnery sergeant
+SoldierRanks=(  aAbilityTree=( (AbilityName=" "), \\
(AbilityName="Multitargeting", ApplyToWeaponSlot=eInvSlot_SecondaryWeapon), \\
(AbilityName=" "), \\
  ), \\
aStatProgression=((StatType=eStat_Offense,StatAmount=3), (StatType=eStat_HP,StatAmount=1), (StatType=eStat_Hacking,StatAmount=5)),\\
 )
; master sergeant
+SoldierRanks=(  aAbilityTree=( (AbilityName="LWD_Ghost"), \\
(AbilityName=" "), \\
(AbilityName="ShadowOps_Airstrike", ApplyToWeaponSlot=eInvSlot_SecondaryWeapon), \\
  ), \\
aStatProgression=((StatType=eStat_Offense,StatAmount=2), (StatType=eStat_HP,StatAmount=0), (StatType=eStat_Hacking,StatAmount=5)),\\
 )
[LWD_Sapper X2SoldierClassTemplate]
+bMultiplayerOnly=0
+ClassPoints=4
+IconImage="img:///UILibrary_SOCombatEngineer.class_engineer"
+NumInForcedDeck=1
+NumInDeck=4
+KillAssistsPerKill=4
+SquaddieLoadout=SquaddieLWD_Sapper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(AbilityName="Sapper"), \\
(AbilityName="ShadowOps_Saboteur", ApplyToWeaponSlot=eInvSlot_PrimaryWeapon), \\
\\
\\
\\
  ), \\
aStatProgression=((StatType=eStat_Offense,StatAmount=2), (StatType=eStat_HP,StatAmount=0), (StatType=eStat_Hacking,StatAmount=0), (StatType=eStat_CombatSims,StatAmount=1), (StatType=eStat_Will,StatAmount=4)),\\
 )
; lance corporal
+SoldierRanks=(  aAbilityTree=( (AbilityName="NeedleGrenades"), \\
(AbilityName=" "), \\
(AbilityName="ShadowOps_Breach", ApplyToWeaponSlot=eInvSlot_PrimaryWeapon), \\
  ), \\
aStatProgression=((StatType=eStat_Offense,StatAmount=2), (StatType=eStat_HP,StatAmount=1), (StatType=eStat_Hacking,StatAmount=0), (StatType=eStat_Will,StatAmount=4)),\\
 )
; corporal
+SoldierRanks=(  aAbilityTree=( (AbilityName=" "), \\
(AbilityName="HeavyOrdnance_LW"), \\
(AbilityName=" "), \\
  ), \\
aStatProgression=((StatType=eStat_Offense,StatAmount=2), (StatType=eStat_HP,StatAmount=0), (StatType=eStat_Hacking,StatAmount=0)),\\
 )
; sergeant
+SoldierRanks=(  aAbilityTree=( (AbilityName="HeavyFrags"), \\
(AbilityName=" "), \\
(AbilityName="LWD_Dynamite"), \\
  ), \\
aStatProgression=((StatType=eStat_Offense,StatAmount=2), (StatType=eStat_HP,StatAmount=1), (StatType=eStat_Hacking,StatAmount=0)),\\
 )
; staff sergeant
+SoldierRanks=(  aAbilityTree=( (AbilityName="HEATWarheads", ApplyToWeaponSlot=eInvSlot_SecondaryWeapon), \\
(AbilityName=" "), \\
(AbilityName="TandemWarheads"), \\
  ), \\
aStatProgression=((StatType=eStat_Offense,StatAmount=2), (StatType=eStat_HP,StatAmount=0), (StatType=eStat_Hacking,StatAmount=0)),\\
 )
; tech sergeant
+SoldierRanks=(  aAbilityTree=( (AbilityName="BiggestBooms_LW"), \\
(AbilityName=" "), \\
(AbilityName="HEATWarheads", ApplyToWeaponSlot=eInvSlot_SecondaryWeapon), \\
  ), \\
aStatProgression=((StatType=eStat_Offense,StatAmount=2), (StatType=eStat_HP,StatAmount=1), (StatType=eStat_Hacking,StatAmount=0)),\\
 )
;  gunnery sergeant
+SoldierRanks=(  aAbilityTree=( (AbilityName=" "), \\
(AbilityName="Salvo", ApplyToWeaponSlot=eInvSlot_Unknown), \\
(AbilityName=" "), \\
  ), \\
aStatProgression=((StatType=eStat_Offense,StatAmount=2), (StatType=eStat_HP,StatAmount=0), (StatType=eStat_Hacking,StatAmount=0)),\\
 )
; master sergeant
+SoldierRanks=(  aAbilityTree=( (AbilityName="FullKit"), \\
(AbilityName=" "), \\
(AbilityName="CombatEngineer"), \\
  ), \\
aStatProgression=((StatType=eStat_Offense,StatAmount=2), (StatType=eStat_HP,StatAmount=1), (StatType=eStat_Hacking,StatAmount=0)),\\
 )
[LWD_Scrapper X2SoldierClassTemplate]
+bMultiplayerOnly=0
+ClassPoints=4
+IconImage="img:///UILibrary_SOCombatEngineer.class_scrapper"
+NumInForcedDeck=1
+NumInDeck=4
+KillAssistsPerKill=4
+SquaddieLoadout=SquaddieLWD_Scrapper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(AbilityName="KnifeFighter", ApplyToWeaponSlot=eInvSlot_SecondaryWeapon), \\
(AbilityName="ShadowOps_BullRush"), \\
\\
\\
\\
\\
  ), \\
aStatProgression=((StatType=eStat_Offense,StatAmount=2), (StatType=eStat_HP,StatAmount=0), (StatType=eStat_Hacking,StatAmount=0), (StatType=eStat_CombatSims,StatAmount=1), (StatType=eStat_Will,StatAmount=5), (StatType=eStat_Dodge,StatAmount=2)),\\
 )
; lance corporal
+SoldierRanks=(  aAbilityTree=( (AbilityName="CloseAndPersonal", ApplyToWeaponSlot=eInvSlot_Unknown), \\
(AbilityName=" "), \\
(AbilityName="ShadowOps_BareKnuckle"), \\
  ), \\
aStatProgression=((StatType=eStat_Offense,StatAmount=2), (StatType=eStat_HP,StatAmount=1), (StatType=eStat_Hacking,StatAmount=0), (StatType=eStat_Will,StatAmount=5), (StatType=eStat_Dodge,StatAmount=2)),\\
 )
; corporal
+SoldierRanks=(  aAbilityTree=( (AbilityName=" "), \\
(AbilityName="Combatives", ApplyToWeaponSlot=eInvSlot_SecondaryWeapon), \\
(AbilityName=" "), \\
  ), \\
aStatProgression=((StatType=eStat_Offense,StatAmount=2), (StatType=eStat_HP,StatAmount=0), (StatType=eStat_Hacking,StatAmount=0), (StatType=eStat_Dodge,StatAmount=1)),\\
 )
; sergeant
+SoldierRanks=(  aAbilityTree=( (AbilityName="ShadowOps_Pyromaniac"), \\
(AbilityName=" "), \\
(AbilityName="Shadowstep", ApplyToWeaponSlot=eInvSlot_Unknown), \\
  ), \\
aStatProgression=((StatType=eStat_Offense,StatAmount=2), (StatType=eStat_HP,StatAmount=1), (StatType=eStat_Hacking,StatAmount=0)),\\
 )
; staff sergeant
+SoldierRanks=(  aAbilityTree=( (AbilityName="ShadowOps_IronWill"), \\
(AbilityName=" "), \\
(AbilityName="Resilience"), \\
  ), \\
aStatProgression=((StatType=eStat_Offense,StatAmount=2), (StatType=eStat_HP,StatAmount=0), (StatType=eStat_Hacking,StatAmount=0)),\\
 )
; tech sergeant
+SoldierRanks=(  aAbilityTree=( (AbilityName="StreetSweeper", ApplyToWeaponSlot=eInvSlot_PrimaryWeapon), \\
(AbilityName=" "), \\
(AbilityName="Bladestorm", ApplyToWeaponSlot=eInvSlot_SecondaryWeapon), \\
  ), \\
aStatProgression=((StatType=eStat_Offense,StatAmount=2), (StatType=eStat_HP,StatAmount=1), (StatType=eStat_Hacking,StatAmount=0)),\\
 )
;  gunnery sergeant
+SoldierRanks=(  aAbilityTree=( (AbilityName=" "), \\
(AbilityName="Untouchable"), \\
(AbilityName=" "), \\
  ), \\
aStatProgression=((StatType=eStat_Offense,StatAmount=2), (StatType=eStat_HP,StatAmount=0), (StatType=eStat_Hacking,StatAmount=0)),\\
 )
; master sergeant
+SoldierRanks=(  aAbilityTree=( (AbilityName="CoupDeGrace", ApplyToWeaponSlot=eInvSlot_SecondaryWeapon), \\
(AbilityName=" "), \\
(AbilityName="ShadowOps_Butcher"), \\
  ), \\
aStatProgression=((StatType=eStat_Offense,StatAmount=2), (StatType=eStat_HP,StatAmount=1), (StatType=eStat_Hacking,StatAmount=0)),\\
 )
[LWD_Sharpshooter X2SoldierClassTemplate]
+bMultiplayerOnly=0
+ClassPoints=4
+IconImage="img:///UILibrary_Common.class_sharpshooter"
+NumInForcedDeck=1
+NumInDeck=4
+KillAssistsPerKill=5
+SquaddieLoadout=SquaddieLWD_Sharpshooter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(AbilityName="Holotargeting", ApplyToWeaponSlot=eInvSlot_PrimaryWeapon), \\
(AbilityName="Squadsight"), \\
\\
\\
\\
\\
  ), \\
aStatProgression=((StatType=eStat_Offense,StatAmount=4), (StatType=eStat_HP,StatAmount=0), (StatType=eStat_Hacking,StatAmount=0), (StatType=eStat_CombatSims,StatAmount=1), (StatType=eStat_Will,StatAmount=3)),\\
 )
; lance corporal
+SoldierRanks=(  aAbilityTree=( (AbilityName="LongWatch", ApplyToWeaponSlot=eInvSlot_PrimaryWeapon), \\
(AbilityName=" "), \\
(AbilityName="DeathFromAbove", ApplyToWeaponSlot=eInvSlot_PrimaryWeapon), \\
  ), \\
aStatProgression=((StatType=eStat_Offense,StatAmount=3), (StatType=eStat_HP,StatAmount=0), (StatType=eStat_Hacking,StatAmount=0), (StatType=eStat_Will,StatAmount=3)),\\
 )
; corporal
+SoldierRanks=(  aAbilityTree=( (AbilityName=" "), \\
(AbilityName="ShadowOps_ThisOnesMine", ApplyToWeaponSlot=eInvSlot_PrimaryWeapon), \\
(AbilityName=" "), \\
  ), \\
aStatProgression=((StatType=eStat_Offense,StatAmount=4), (StatType=eStat_HP,StatAmount=1), (StatType=eStat_Hacking,StatAmount=0)),\\
 )
; sergeant
+SoldierRanks=(  aAbilityTree=( (AbilityName="DamnGoodGround", ApplyToWeaponSlot=eInvSlot_PrimaryWeapon), \\
(AbilityName=" "), \\
(AbilityName="HDHolo", ApplyToWeaponSlot=eInvSlot_SecondaryWeapon), \\
  ), \\
aStatProgression=((StatType=eStat_Offense,StatAmount=3), (StatType=eStat_HP,StatAmount=0), (StatType=eStat_Hacking,StatAmount=0)),\\
 )
; staff sergeant
+SoldierRanks=(  aAbilityTree=( (AbilityName="Phantom"), \\
(AbilityName=" "), \\
(AbilityName="ShadowOps_WatchfulEye", ApplyToWeaponSlot=eInvSlot_PrimaryWeapon), \\
  ), \\
aStatProgression=((StatType=eStat_Offense,StatAmount=4), (StatType=eStat_HP,StatAmount=0), (StatType=eStat_Hacking,StatAmount=0)),\\
 )
; tech sergeant
+SoldierRanks=(  aAbilityTree=( (AbilityName="ShadowOps_Bullseye", ApplyToWeaponSlot=eInvSlot_PrimaryWeapon), \\
(AbilityName=" "), \\
(AbilityName="Stealth"), \\
  ), \\
aStatProgression=((StatType=eStat_Offense,StatAmount=3), (StatType=eStat_HP,StatAmount=0), (StatType=eStat_Hacking,StatAmount=0)),\\
 )
;  gunnery sergeant
+SoldierRanks=(  aAbilityTree=( (AbilityName=" "), \\
(AbilityName="Kubikuri", ApplyToWeaponSlot=eInvSlot_PrimaryWeapon), \\
(AbilityName=" "), \\
  ), \\
aStatProgression=((StatType=eStat_Offense,StatAmount=4), (StatType=eStat_HP,StatAmount=1), (StatType=eStat_Hacking,StatAmount=0)),\\
 )
; master sergeant
+SoldierRanks=(  aAbilityTree=( (AbilityName="KillZone", ApplyToWeaponSlot=eInvSlot_PrimaryWeapon), \\
(AbilityName=" "), \\
(AbilityName="AlphaMikeFoxtrot", ApplyToWeaponSlot=eInvSlot_PrimaryWeapon), \\
  ), \\
aStatProgression=((StatType=eStat_Offense,StatAmount=3), (StatType=eStat_HP,StatAmount=0), (StatType=eStat_Hacking,StatAmount=0)),\\
 )
[LWD_Shinobi X2SoldierClassTemplate]
+bMultiplayerOnly=0
+ClassPoints=4
+IconImage="img:///UILibrary_LW_PerkPack.Class_Shinobi"
+NumInForcedDeck=1
+NumInDeck=4
+KillAssistsPerKill=4
+SquaddieLoadout=SquaddieLWD_Shinobi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(AbilityName="Slash_LW", ApplyToWeaponSlot=eInvSlot_SecondaryWeapon), \\
(AbilityName="SwordSlice_LW", ApplyToWeaponSlot=eInvSlot_SecondaryWeapon), \\
(AbilityName="Phantom"), \\
\\
\\
\\
  ), \\
aStatProgression=((StatType=eStat_Offense,StatAmount=2), (StatType=eStat_HP,StatAmount=0), (StatType=eStat_Hacking,StatAmount=5), (StatType=eStat_CombatSims,StatAmount=1), (StatType=eStat_Will,StatAmount=4), (StatType=eStat_Dodge,StatAmount=2)),\\
 )
; lance corporal
+SoldierRanks=(  aAbilityTree=( (AbilityName="Ghostwalker"), \\
(AbilityName=" "), \\
(AbilityName="Cutthroat", ApplyToWeaponSlot=eInvSlot_SecondaryWeapon), \\
  ), \\
aStatProgression=((StatType=eStat_Offense,StatAmount=2), (StatType=eStat_HP,StatAmount=0), (StatType=eStat_Hacking,StatAmount=5), (StatType=eStat_Will,StatAmount=4), (StatType=eStat_Dodge,StatAmount=2)),\\
 )
; corporal
+SoldierRanks=(  aAbilityTree=( (AbilityName=" "), \\
(AbilityName="Infighter"), \\
(AbilityName=" "), \\
  ), \\
aStatProgression=((StatType=eStat_Offense,StatAmount=2), (StatType=eStat_HP,StatAmount=1), (StatType=eStat_Hacking,StatAmount=5), (StatType=eStat_Dodge,StatAmount=1)),\\
 )
; sergeant
+SoldierRanks=(  aAbilityTree=( (AbilityName="Covert"), \\
(AbilityName=" "), \\
(AbilityName="Blademaster", ApplyToWeaponSlot=eInvSlot_SecondaryWeapon), \\
  ), \\
aStatProgression=((StatType=eStat_Offense,StatAmount=2), (StatType=eStat_HP,StatAmount=0), (StatType=eStat_Hacking,StatAmount=5), (StatType=eStat_Dodge,StatAmount=1)),\\
 )
; staff sergeant
+SoldierRanks=(  aAbilityTree=( (AbilityName="Shadowstrike_LW", ApplyToWeaponSlot=eInvSlot_PrimaryWeapon ), \\
(AbilityName=" "), \\
(AbilityName="Bladestorm", ApplyToWeaponSlot=eInvSlot_SecondaryWeapon), \\
  ), \\
aStatProgression=((StatType=eStat_Offense,StatAmount=2), (StatType=eStat_HP,StatAmount=0), (StatType=eStat_Hacking,StatAmount=5), (StatType=eStat_Dodge,StatAmount=1)),\\
 )
; tech sergeant
+SoldierRanks=(  aAbilityTree=( (AbilityName="HardTarget"), \\
(AbilityName=" "), \\
(AbilityName="Whirlwind2", ApplyToWeaponSlot=eInvSlot_SecondaryWeapon), \\
  ), \\
aStatProgression=((StatType=eStat_Offense,StatAmount=2), (StatType=eStat_HP,StatAmount=0), (StatType=eStat_Hacking,StatAmount=5), (StatType=eStat_Dodge,StatAmount=1)),\\
 )
;  gunnery sergeant
+SoldierRanks=(  aAbilityTree=( (AbilityName=" "), \\
(AbilityName="Tradecraft"), \\
(AbilityName=" "), \\
  ), \\
aStatProgression=((StatType=eStat_Offense,StatAmount=2), (StatType=eStat_HP,StatAmount=1), (StatType=eStat_Hacking,StatAmount=5), (StatType=eStat_Dodge,StatAmount=1)),\\
 )
; master sergeant
+SoldierRanks=(  aAbilityTree=( (AbilityName="ShadowOps_Assassin", ApplyToWeaponSlot=eInvSlot_PrimaryWeapon), \\
(AbilityName=" "), \\
(AbilityName="Reaper", ApplyToWeaponSlot=eInvSlot_SecondaryWeapon), \\
  ), \\
aStatProgression=((StatType=eStat_Offense,StatAmount=2), (StatType=eStat_HP,StatAmount=0), (StatType=eStat_Hacking,StatAmount=5), (StatType=eStat_Dodge,StatAmount=1)),\\
 )</v>
      </c>
      <c r="W7" t="str">
        <f ca="1">_xlfn.TEXTJOIN(CHAR(10)&amp;CHAR(10),TRUE,R36:R41)</f>
        <v/>
      </c>
      <c r="X7" t="s">
        <v>340</v>
      </c>
    </row>
    <row r="8" spans="1:26" x14ac:dyDescent="0.25">
      <c r="A8" t="str">
        <f>IFERROR(INDEX(Sheets,ROWS($A$3:$A8)),"")</f>
        <v>Chemist</v>
      </c>
      <c r="B8" t="str">
        <f t="shared" ref="B8:K8" si="16">IF(A8&lt;&gt;B$2,A8,"")</f>
        <v>Chemist</v>
      </c>
      <c r="C8" t="str">
        <f t="shared" si="16"/>
        <v>Chemist</v>
      </c>
      <c r="D8" t="str">
        <f t="shared" si="16"/>
        <v>Chemist</v>
      </c>
      <c r="E8" t="str">
        <f t="shared" si="16"/>
        <v>Chemist</v>
      </c>
      <c r="F8" t="str">
        <f t="shared" si="16"/>
        <v>Chemist</v>
      </c>
      <c r="G8" t="str">
        <f t="shared" si="16"/>
        <v>Chemist</v>
      </c>
      <c r="H8" t="str">
        <f t="shared" si="16"/>
        <v>Chemist</v>
      </c>
      <c r="I8" t="str">
        <f t="shared" si="16"/>
        <v>Chemist</v>
      </c>
      <c r="J8" t="str">
        <f t="shared" si="16"/>
        <v>Chemist</v>
      </c>
      <c r="K8" t="str">
        <f t="shared" si="16"/>
        <v>Chemist</v>
      </c>
      <c r="L8" t="str">
        <f t="shared" si="7"/>
        <v>Chemist</v>
      </c>
      <c r="N8" t="str">
        <f t="shared" ca="1" si="11"/>
        <v>+SoldierClasses=LWD_Chemist</v>
      </c>
      <c r="O8" t="str">
        <f t="shared" ca="1" si="12"/>
        <v>[LWD_Chemist X2SoldierClassTemplate]
+bMultiplayerOnly=0
+ClassPoints=4
+IconImage="img:///UILibrary_LWD.class_Chemist"
+NumInForcedDeck=1
+NumInDeck=4
+KillAssistsPerKill=3
+SquaddieLoadout=SquaddieLWD_Chemist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(AbilityName="LWD_Gasser"), \\
\\
\\
\\
\\
  ), \\
aStatProgression=((StatType=eStat_Offense,StatAmount=2), (StatType=eStat_HP,StatAmount=0), (StatType=eStat_Hacking,StatAmount=0), (StatType=eStat_CombatSims,StatAmount=1), (StatType=eStat_Will,StatAmount=3)),\\
 )
; lance corporal
+SoldierRanks=(  aAbilityTree=( (AbilityName="LWD_HeightenedImmuneSystem"), \\
(AbilityName=" "), \\
(AbilityName="LWD_Cloudkill", ApplyToWeaponSlot=eInvSlot_SecondaryWeapon), \\
  ), \\
aStatProgression=((StatType=eStat_Offense,StatAmount=2), (StatType=eStat_HP,StatAmount=1), (StatType=eStat_Hacking,StatAmount=0), (StatType=eStat_Will,StatAmount=3)),\\
 )
; corporal
+SoldierRanks=(  aAbilityTree=( (AbilityName=" "), \\
(AbilityName="ShadowOps_Pyromaniac"), \\
(AbilityName=" "), \\
  ), \\
aStatProgression=((StatType=eStat_Offense,StatAmount=2), (StatType=eStat_HP,StatAmount=0), (StatType=eStat_Hacking,StatAmount=0)),\\
 )
; sergeant
+SoldierRanks=(  aAbilityTree=( (AbilityName="LWD_Pyromancer", ApplyToWeaponSlot=eInvSlot_SecondaryWeapon), \\
(AbilityName=" "), \\
(AbilityName="LWD_ThirdDegree", ApplyToWeaponSlot=eInvSlot_SecondaryWeapon), \\
  ), \\
aStatProgression=((StatType=eStat_Offense,StatAmount=2), (StatType=eStat_HP,StatAmount=0), (StatType=eStat_Hacking,StatAmount=0)),\\
 )
; staff sergeant
+SoldierRanks=(  aAbilityTree=( (AbilityName=" "), \\
(AbilityName="LWD_CausticPersonality"), \\
(AbilityName=" "), \\
  ), \\
aStatProgression=((StatType=eStat_Offense,StatAmount=2), (StatType=eStat_HP,StatAmount=1), (StatType=eStat_Hacking,StatAmount=0)),\\
 )
; tech sergeant
+SoldierRanks=(  aAbilityTree=( (AbilityName="LWD_AlkalineArmor"), \\
(AbilityName=" "), \\
(AbilityName="LWD_AcidBurns", ApplyToWeaponSlot=eInvSlot_SecondaryWeapon), \\
  ), \\
aStatProgression=((StatType=eStat_Offense,StatAmount=2), (StatType=eStat_HP,StatAmount=0), (StatType=eStat_Hacking,StatAmount=0)),\\
 )
;  gunnery sergeant
+SoldierRanks=(  aAbilityTree=( (AbilityName=" "), \\
(AbilityName="VolatileMix", ApplyToWeaponSlot=eInvSlot_Unknown), \\
(AbilityName=" "), \\
  ), \\
aStatProgression=((StatType=eStat_Offense,StatAmount=2), (StatType=eStat_HP,StatAmount=0), (StatType=eStat_Hacking,StatAmount=0)),\\
 )
; master sergeant
+SoldierRanks=(  aAbilityTree=( (AbilityName="LWD_MadChemist", ApplyToWeaponSlot=eInvSlot_SecondaryWeapon), \\
(AbilityName=" "), \\
(AbilityName="LWD_Frostlord"), \\
  ), \\
aStatProgression=((StatType=eStat_Offense,StatAmount=2), (StatType=eStat_HP,StatAmount=1), (StatType=eStat_Hacking,StatAmount=0)),\\
 )</v>
      </c>
      <c r="P8" t="str">
        <f t="shared" ca="1" si="13"/>
        <v>+Loadouts=(LoadoutName="SquaddieLWD_Chemist", Items[0]=(Item="AssaultRifle_CV"), Items[1]=(Item="GrenadeLauncher_CV"))</v>
      </c>
      <c r="Q8" t="str">
        <f t="shared" ca="1" si="14"/>
        <v>+DEBUG_StartingSoldierClasses="LWD_Chemist"</v>
      </c>
      <c r="R8" t="str">
        <f t="shared" ca="1" si="15"/>
        <v>[LWD_Chemist X2SoldierClassTemplate]
+DisplayName="Chemist"
+ClassSummary=""
+LeftAbilityTreeTitle=""
+RightAbilityTreeTitle=""
; Nicknames
RandomNickNames[0]="Maniac"
RandomNickNames[1]="Bargain"
RandomNickNames[2]="Villain"
RandomNickNames[3]="Bishop"
RandomNickNames[4]="Freak"
RandomNickNames[5]="Breaker"
RandomNickNames[6]="Broker"
RandomNickNames[7]="Conquest"
RandomNickNames[8]="Deacon"
RandomNickNames[9]="Doomtrain"
RandomNickNames[10]="Dr. Feelgood"
RandomNickNames[11]="Famine"
RandomNickNames[12]="Feedback"
RandomNickNames[13]="Sure Thing"
RandomNickNames[14]="Genius"
RandomNickNames[15]="Gizmo"
RandomNickNames[16]="Jester"
RandomNickNames[17]="Jolt"
RandomNickNames[18]="Lightning"
RandomNickNames[19]="Mayday"
RandomNickNames[20]="Arson"
RandomNickNames[21]="Newton"
RandomNickNames[22]="Laughing Gas"
RandomNickNames[23]="Rascal"
RandomNickNames[24]="Rattler"
RandomNickNames[25]="Revelation"
RandomNickNames[26]="Skipper"
RandomNickNames[27]="Thunder"
RandomNickNames[28]="Undertaker"
RandomNickNames[29]="War"
RandomNickNames[30]="Whoopsie"
RandomNickNames[31]="The Hurt"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8" t="s">
        <v>340</v>
      </c>
      <c r="U8" t="str">
        <f ca="1">_xlfn.TEXTJOIN(CHAR(10)&amp;CHAR(10),TRUE,O30:O35)</f>
        <v/>
      </c>
      <c r="W8" t="str">
        <f ca="1">_xlfn.TEXTJOIN(CHAR(10)&amp;CHAR(10),TRUE,R42:R47)</f>
        <v/>
      </c>
      <c r="X8" t="s">
        <v>340</v>
      </c>
    </row>
    <row r="9" spans="1:26" x14ac:dyDescent="0.25">
      <c r="A9" t="str">
        <f>IFERROR(INDEX(Sheets,ROWS($A$3:$A9)),"")</f>
        <v>CombatEngineer</v>
      </c>
      <c r="B9" t="str">
        <f t="shared" ref="B9:K9" si="17">IF(A9&lt;&gt;B$2,A9,"")</f>
        <v>CombatEngineer</v>
      </c>
      <c r="C9" t="str">
        <f t="shared" si="17"/>
        <v>CombatEngineer</v>
      </c>
      <c r="D9" t="str">
        <f t="shared" si="17"/>
        <v>CombatEngineer</v>
      </c>
      <c r="E9" t="str">
        <f t="shared" si="17"/>
        <v>CombatEngineer</v>
      </c>
      <c r="F9" t="str">
        <f t="shared" si="17"/>
        <v>CombatEngineer</v>
      </c>
      <c r="G9" t="str">
        <f t="shared" si="17"/>
        <v>CombatEngineer</v>
      </c>
      <c r="H9" t="str">
        <f t="shared" si="17"/>
        <v>CombatEngineer</v>
      </c>
      <c r="I9" t="str">
        <f t="shared" si="17"/>
        <v>CombatEngineer</v>
      </c>
      <c r="J9" t="str">
        <f t="shared" si="17"/>
        <v>CombatEngineer</v>
      </c>
      <c r="K9" t="str">
        <f t="shared" si="17"/>
        <v>CombatEngineer</v>
      </c>
      <c r="L9" t="str">
        <f t="shared" si="7"/>
        <v>CombatEngineer</v>
      </c>
      <c r="N9" t="str">
        <f t="shared" ca="1" si="11"/>
        <v>+SoldierClasses=LWD_CombatEngineer</v>
      </c>
      <c r="O9" t="str">
        <f t="shared" ca="1" si="12"/>
        <v>[LWD_CombatEngineer X2SoldierClassTemplate]
+bMultiplayerOnly=0
+ClassPoints=4
+IconImage="img:///UILibrary_Common.class_specialist"
+NumInForcedDeck=1
+NumInDeck=4
+KillAssistsPerKill=4
+SquaddieLoadout=SquaddieLWD_CombatEngineer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(AbilityName="CombatProtocol", ApplyToWeaponSlot=eInvSlot_SecondaryWeapon), \\
(AbilityName="ShadowOps_ShieldProtocol", ApplyToWeaponSlot=eInvSlot_SecondaryWeapon), \\
\\
\\
\\
  ), \\
aStatProgression=((StatType=eStat_Offense,StatAmount=2), (StatType=eStat_HP,StatAmount=0), (StatType=eStat_Hacking,StatAmount=40), (StatType=eStat_CombatSims,StatAmount=1), (StatType=eStat_Will,StatAmount=5)),\\
 )
; lance corporal
+SoldierRanks=(  aAbilityTree=( (AbilityName="AidProtocol", ApplyToWeaponSlot=eInvSlot_SecondaryWeapon), \\
(AbilityName=" "), \\
(AbilityName="LWD_SmartlinkProtocol", ApplyToWeaponSlot=eInvSlot_SecondaryWeapon), \\
  ), \\
aStatProgression=((StatType=eStat_Offense,StatAmount=2), (StatType=eStat_HP,StatAmount=1), (StatType=eStat_Hacking,StatAmount=5), (StatType=eStat_Will,StatAmount=5)),\\
 )
; corporal
+SoldierRanks=(  aAbilityTree=( (AbilityName=" "), \\
(AbilityName="LWD_ArtificialIntelligence"), \\
(AbilityName=" "), \\
  ), \\
aStatProgression=((StatType=eStat_Offense,StatAmount=2), (StatType=eStat_HP,StatAmount=0), (StatType=eStat_Hacking,StatAmount=5)),\\
 )
; sergeant
+SoldierRanks=(  aAbilityTree=( (AbilityName="ShadowOps_Scrounger"), \\
(AbilityName=" "), \\
(AbilityName="Airdrop", ApplyToWeaponSlot=eInvSlot_SecondaryWeapon), \\
  ), \\
aStatProgression=((StatType=eStat_Offense,StatAmount=2), (StatType=eStat_HP,StatAmount=0), (StatType=eStat_Hacking,StatAmount=5)),\\
 )
; staff sergeant
+SoldierRanks=(  aAbilityTree=( (AbilityName="ShadowOps_AdvancedShieldProtocol", ApplyToWeaponSlot=eInvSlot_SecondaryWeapon), \\
(AbilityName=" "), \\
(AbilityName="ShadowOps_RestorationProtocol", ApplyToWeaponSlot=eInvSlot_SecondaryWeapon), \\
  ), \\
aStatProgression=((StatType=eStat_Offense,StatAmount=2), (StatType=eStat_HP,StatAmount=1), (StatType=eStat_Hacking,StatAmount=5)),\\
 )
; tech sergeant
+SoldierRanks=(  aAbilityTree=( (AbilityName="ShadowOps_ShieldsUp", ApplyToWeaponSlot=eInvSlot_SecondaryWeapon), \\
(AbilityName=" "), \\
(AbilityName="ScanningProtocol", ApplyToWeaponSlot=eInvSlot_SecondaryWeapon), \\
  ), \\
aStatProgression=((StatType=eStat_Offense,StatAmount=2), (StatType=eStat_HP,StatAmount=0), (StatType=eStat_Hacking,StatAmount=5)),\\
 )
;  gunnery sergeant
+SoldierRanks=(  aAbilityTree=( (AbilityName=" "), \\
(AbilityName="ShadowOps_Aegis", ApplyToWeaponSlot=eInvSlot_SecondaryWeapon), \\
(AbilityName=" "), \\
  ), \\
aStatProgression=((StatType=eStat_Offense,StatAmount=2), (StatType=eStat_HP,StatAmount=0), (StatType=eStat_Hacking,StatAmount=5)),\\
 )
; master sergeant
+SoldierRanks=(  aAbilityTree=( (AbilityName="ShadowOps_Supercharge", ApplyToWeaponSlot=eInvSlot_SecondaryWeapon), \\
(AbilityName=" "), \\
(AbilityName="CapacitorDischarge", ApplyToWeaponSlot=eInvSlot_SecondaryWeapon), \\
  ), \\
aStatProgression=((StatType=eStat_Offense,StatAmount=2), (StatType=eStat_HP,StatAmount=1), (StatType=eStat_Hacking,StatAmount=5)),\\
 )</v>
      </c>
      <c r="P9" t="str">
        <f t="shared" ca="1" si="13"/>
        <v>+Loadouts=(LoadoutName="SquaddieLWD_CombatEngineer", Items[0]=(Item="AssaultRifle_CV"), Items[1]=(Item="Gremlin_CV"))</v>
      </c>
      <c r="Q9" t="str">
        <f t="shared" ca="1" si="14"/>
        <v>+DEBUG_StartingSoldierClasses="LWD_CombatEngineer"</v>
      </c>
      <c r="R9" t="str">
        <f t="shared" ca="1" si="15"/>
        <v>[LWD_CombatEngineer X2SoldierClassTemplate]
+DisplayName="Combat Engineer"
+ClassSummary="Some Engineers are more at home on the battlefield than the Avenger. Their technical skills with a GREMLIN come in handy, especially when protecting our soldiers and against enemy mechanical units."
+LeftAbilityTreeTitle="Armorer"
+RightAbilityTreeTitle="Technician"
; Nicknames
RandomNickNames[0]="Chum"
RandomNickNames[1]="Bargain"
RandomNickNames[2]="Beta"
RandomNickNames[3]="Bishop"
RandomNickNames[4]="Hometown"
RandomNickNames[5]="Breaker"
RandomNickNames[6]="Broker"
RandomNickNames[7]="Conquest"
RandomNickNames[8]="Deacon"
RandomNickNames[9]="Doomtrain"
RandomNickNames[10]="Eiger"
RandomNickNames[11]="Famine"
RandomNickNames[12]="Feedback"
RandomNickNames[13]="Glory"
RandomNickNames[14]="Blitz"
RandomNickNames[15]="Paco"
RandomNickNames[16]="Dante"
RandomNickNames[17]="Decker"
RandomNickNames[18]="Coyote"
RandomNickNames[19]="Mayday"
RandomNickNames[20]="Mega"
RandomNickNames[21]="Newton"
RandomNickNames[22]="Ragtime"
RandomNickNames[23]="Rascal"
RandomNickNames[24]="Gaichu"
RandomNickNames[25]="Revelation"
RandomNickNames[26]="Racter"
RandomNickNames[27]="Thunder"
RandomNickNames[28]="Undertaker"
RandomNickNames[29]="War"
RandomNickNames[30]="Whoopsie"
RandomNickNames[31]="Gobbet"
; Male Nicknames
RandomNickNames_Male[0]="Mr. Magoo"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9" t="s">
        <v>340</v>
      </c>
      <c r="U9" t="str">
        <f ca="1">_xlfn.TEXTJOIN(CHAR(10)&amp;CHAR(10),TRUE,O36:O41)</f>
        <v/>
      </c>
      <c r="X9" t="s">
        <v>340</v>
      </c>
    </row>
    <row r="10" spans="1:26" x14ac:dyDescent="0.25">
      <c r="A10" t="str">
        <f>IFERROR(INDEX(Sheets,ROWS($A$3:$A10)),"")</f>
        <v>Courser</v>
      </c>
      <c r="B10" t="str">
        <f t="shared" ref="B10:K10" si="18">IF(A10&lt;&gt;B$2,A10,"")</f>
        <v>Courser</v>
      </c>
      <c r="C10" t="str">
        <f t="shared" si="18"/>
        <v>Courser</v>
      </c>
      <c r="D10" t="str">
        <f t="shared" si="18"/>
        <v>Courser</v>
      </c>
      <c r="E10" t="str">
        <f t="shared" si="18"/>
        <v>Courser</v>
      </c>
      <c r="F10" t="str">
        <f t="shared" si="18"/>
        <v>Courser</v>
      </c>
      <c r="G10" t="str">
        <f t="shared" si="18"/>
        <v>Courser</v>
      </c>
      <c r="H10" t="str">
        <f t="shared" si="18"/>
        <v>Courser</v>
      </c>
      <c r="I10" t="str">
        <f t="shared" si="18"/>
        <v>Courser</v>
      </c>
      <c r="J10" t="str">
        <f t="shared" si="18"/>
        <v>Courser</v>
      </c>
      <c r="K10" t="str">
        <f t="shared" si="18"/>
        <v>Courser</v>
      </c>
      <c r="L10" t="str">
        <f t="shared" si="7"/>
        <v>Courser</v>
      </c>
      <c r="N10" t="str">
        <f t="shared" ca="1" si="11"/>
        <v>+SoldierClasses=LWD_Courser</v>
      </c>
      <c r="O10" t="str">
        <f t="shared" ca="1" si="12"/>
        <v>[LWD_Courser X2SoldierClassTemplate]
+bMultiplayerOnly=0
+ClassPoints=4
+IconImage="img:///UILibrary_LWD.class_courser"
+NumInForcedDeck=1
+NumInDeck=4
+KillAssistsPerKill=4
+SquaddieLoadout=SquaddieLWD_Courser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(AbilityName="Holotargeting", ApplyToWeaponSlot=eInvSlot_PrimaryWeapon), \\
(AbilityName="LowProfile"), \\
(AbilityName="LoneWolf", ApplyToWeaponSlot=eInvSlot_Unknown), \\
\\
\\
\\
  ), \\
aStatProgression=((StatType=eStat_Offense,StatAmount=3), (StatType=eStat_HP,StatAmount=0), (StatType=eStat_Hacking,StatAmount=0), (StatType=eStat_CombatSims,StatAmount=1), (StatType=eStat_Will,StatAmount=5)),\\
 )
; lance corporal
+SoldierRanks=(  aAbilityTree=( (AbilityName="StreetSweeper", ApplyToWeaponSlot=eInvSlot_PrimaryWeapon), \\
(AbilityName=" "), \\
(AbilityName="ShadowOps_SurvivalInstinct"), \\
  ), \\
aStatProgression=((StatType=eStat_Offense,StatAmount=2), (StatType=eStat_HP,StatAmount=1), (StatType=eStat_Hacking,StatAmount=0), (StatType=eStat_Will,StatAmount=5)),\\
 )
; corporal
+SoldierRanks=(  aAbilityTree=( (AbilityName=" "), \\
(AbilityName="RapidTargeting", ApplyToWeaponSlot=eInvSlot_SecondaryWeapon), \\
(AbilityName=" "), \\
  ), \\
aStatProgression=((StatType=eStat_Offense,StatAmount=3), (StatType=eStat_HP,StatAmount=0), (StatType=eStat_Hacking,StatAmount=0)),\\
 )
; sergeant
+SoldierRanks=(  aAbilityTree=( (AbilityName="Aggression", ApplyToWeaponSlot=eInvSlot_PrimaryWeapon), \\
(AbilityName=" "), \\
(AbilityName="ShadowOps_LineEmUp", ApplyToWeaponSlot=eInvSlot_PrimaryWeapon), \\
  ), \\
aStatProgression=((StatType=eStat_Offense,StatAmount=2), (StatType=eStat_HP,StatAmount=1), (StatType=eStat_Hacking,StatAmount=0)),\\
 )
; staff sergeant
+SoldierRanks=(  aAbilityTree=( (AbilityName="TacticalSense"), \\
(AbilityName=" "), \\
(AbilityName="ShadowOps_FocusedDefense"), \\
  ), \\
aStatProgression=((StatType=eStat_Offense,StatAmount=3), (StatType=eStat_HP,StatAmount=0), (StatType=eStat_Hacking,StatAmount=0)),\\
 )
; tech sergeant
+SoldierRanks=(  aAbilityTree=( (AbilityName="Multitargeting", ApplyToWeaponSlot=eInvSlot_SecondaryWeapon), \\
(AbilityName=" "), \\
(AbilityName="IndependentTracking", ApplyToWeaponSlot=eInvSlot_SecondaryWeapon), \\
  ), \\
aStatProgression=((StatType=eStat_Offense,StatAmount=2), (StatType=eStat_HP,StatAmount=0), (StatType=eStat_Hacking,StatAmount=0)),\\
 )
;  gunnery sergeant
+SoldierRanks=(  aAbilityTree=( (AbilityName=" "), \\
(AbilityName="BringEmOn", ApplyToWeaponSlot=eInvSlot_Unknown), \\
(AbilityName=" "), \\
  ), \\
aStatProgression=((StatType=eStat_Offense,StatAmount=3), (StatType=eStat_HP,StatAmount=1), (StatType=eStat_Hacking,StatAmount=0)),\\
 )
; master sergeant
+SoldierRanks=(  aAbilityTree=( (AbilityName="ShadowOps_AgainstTheOdds"), \\
(AbilityName=" "), \\
(AbilityName="AlphaMikeFoxtrot", ApplyToWeaponSlot=eInvSlot_PrimaryWeapon), \\
  ), \\
aStatProgression=((StatType=eStat_Offense,StatAmount=2), (StatType=eStat_HP,StatAmount=0), (StatType=eStat_Hacking,StatAmount=0)),\\
 )</v>
      </c>
      <c r="P10" t="str">
        <f t="shared" ca="1" si="13"/>
        <v>+Loadouts=(LoadoutName="SquaddieLWD_Courser", Items[0]=(Item="Shotgun_CV"), Items[1]=(Item="Holotargeter_CV"))</v>
      </c>
      <c r="Q10" t="str">
        <f t="shared" ca="1" si="14"/>
        <v>+DEBUG_StartingSoldierClasses="LWD_Courser"</v>
      </c>
      <c r="R10" t="str">
        <f t="shared" ca="1" si="15"/>
        <v>[LWD_Courser X2SoldierClassTemplate]
+DisplayName="Courser"
+ClassSummary="The Courser serves best offset from the rest of the squad, specializing in either taking on entire squads, or picking off stragglers. They employ a holotargeter for picking their targets."
+LeftAbilityTreeTitle="Hordebreaker"
+RightAbilityTreeTitle="Duelist"
; Nicknames
RandomNickNames[0]="Angel"
RandomNickNames[1]="Bargain"
RandomNickNames[2]="Beta"
RandomNickNames[3]="Bishop"
RandomNickNames[4]="Bones"
RandomNickNames[5]="FUBAR"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RandomNickNames[26]="Horseman"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0" t="s">
        <v>340</v>
      </c>
      <c r="U10" t="str">
        <f ca="1">_xlfn.TEXTJOIN(CHAR(10)&amp;CHAR(10),TRUE,O42:O47)</f>
        <v/>
      </c>
      <c r="X10" t="s">
        <v>340</v>
      </c>
    </row>
    <row r="11" spans="1:26" x14ac:dyDescent="0.25">
      <c r="A11" t="str">
        <f>IFERROR(INDEX(Sheets,ROWS($A$3:$A11)),"")</f>
        <v>Cowboy</v>
      </c>
      <c r="B11" t="str">
        <f t="shared" ref="B11:K11" si="19">IF(A11&lt;&gt;B$2,A11,"")</f>
        <v>Cowboy</v>
      </c>
      <c r="C11" t="str">
        <f t="shared" si="19"/>
        <v>Cowboy</v>
      </c>
      <c r="D11" t="str">
        <f t="shared" si="19"/>
        <v>Cowboy</v>
      </c>
      <c r="E11" t="str">
        <f t="shared" si="19"/>
        <v>Cowboy</v>
      </c>
      <c r="F11" t="str">
        <f t="shared" si="19"/>
        <v>Cowboy</v>
      </c>
      <c r="G11" t="str">
        <f t="shared" si="19"/>
        <v>Cowboy</v>
      </c>
      <c r="H11" t="str">
        <f t="shared" si="19"/>
        <v>Cowboy</v>
      </c>
      <c r="I11" t="str">
        <f t="shared" si="19"/>
        <v>Cowboy</v>
      </c>
      <c r="J11" t="str">
        <f t="shared" si="19"/>
        <v>Cowboy</v>
      </c>
      <c r="K11" t="str">
        <f t="shared" si="19"/>
        <v>Cowboy</v>
      </c>
      <c r="L11" t="str">
        <f t="shared" si="7"/>
        <v>Cowboy</v>
      </c>
      <c r="N11" t="str">
        <f t="shared" ca="1" si="11"/>
        <v>+SoldierClasses=LWD_Cowboy</v>
      </c>
      <c r="O11" t="str">
        <f t="shared" ca="1" si="12"/>
        <v>[LWD_Cowboy X2SoldierClassTemplate]
+bMultiplayerOnly=0
+ClassPoints=4
+IconImage="img:///UILibrary_LWD.class_Cowboy"
+NumInForcedDeck=1
+NumInDeck=4
+KillAssistsPerKill=4
+SquaddieLoadout=SquaddieLWD_Cowboy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(AbilityName="QuickStudy"), \\
(AbilityName="LWD_CoachGun", ApplyToWeaponSlot=eInvSlot_SecondaryWeapon), \\
(AbilityName="LWD_HighNoon", ApplyToWeaponSlot=eInvSlot_Utility, UtilityCat="pistol"), \\
\\
\\
\\
  ), \\
aStatProgression=((StatType=eStat_Offense,StatAmount=3), (StatType=eStat_HP,StatAmount=0), (StatType=eStat_Hacking,StatAmount=0), (StatType=eStat_CombatSims,StatAmount=1), (StatType=eStat_Will,StatAmount=3)),\\
 )
; lance corporal
+SoldierRanks=(  aAbilityTree=( (AbilityName="LWD_Shootist", ApplyToWeaponSlot=eInvSlot_Utility, UtilityCat="pistol"), \\
(AbilityName=" "), \\
(AbilityName="LWD_SpareShells", ApplyToWeaponSlot=eInvSlot_SecondaryWeapon), \\
  ), \\
aStatProgression=((StatType=eStat_Offense,StatAmount=3), (StatType=eStat_HP,StatAmount=1), (StatType=eStat_Hacking,StatAmount=0), (StatType=eStat_Will,StatAmount=3)),\\
 )
; corporal
+SoldierRanks=(  aAbilityTree=( (AbilityName=" "), \\
(AbilityName="LWD_TrueGrit"), \\
(AbilityName=" "), \\
  ), \\
aStatProgression=((StatType=eStat_Offense,StatAmount=3), (StatType=eStat_HP,StatAmount=0), (StatType=eStat_Hacking,StatAmount=0)),\\
 )
; sergeant
+SoldierRanks=(  aAbilityTree=( (AbilityName="LWD_LeadDealer", ApplyToWeaponSlot=eInvSlot_Utility, UtilityCat="pistol"), \\
(AbilityName=" "), \\
(AbilityName="LWD_Unforgiven", ApplyToWeaponSlot=eInvSlot_SecondaryWeapon), \\
  ), \\
aStatProgression=((StatType=eStat_Offense,StatAmount=3), (StatType=eStat_HP,StatAmount=0), (StatType=eStat_Hacking,StatAmount=0)),\\
 )
; staff sergeant
+SoldierRanks=(  aAbilityTree=( (AbilityName="LWD_TrickShot", ApplyToWeaponSlot=eInvSlot_Utility, UtilityCat="pistol"), \\
(AbilityName=" "), \\
(AbilityName="LWD_StoppingPower", ApplyToWeaponSlot=eInvSlot_SecondaryWeapon), \\
  ), \\
aStatProgression=((StatType=eStat_Offense,StatAmount=3), (StatType=eStat_HP,StatAmount=1), (StatType=eStat_Hacking,StatAmount=0)),\\
 )
; tech sergeant
+SoldierRanks=(  aAbilityTree=( (AbilityName="LWD_BattleMomentum", ApplyToWeaponSlot=eInvSlot_Utility, UtilityCat="pistol"), \\
(AbilityName=" "), \\
(AbilityName="LWD_HadItComing", ApplyToWeaponSlot=eInvSlot_SecondaryWeapon), \\
  ), \\
aStatProgression=((StatType=eStat_Offense,StatAmount=3), (StatType=eStat_HP,StatAmount=0), (StatType=eStat_Hacking,StatAmount=0)),\\
 )
;  gunnery sergeant
+SoldierRanks=(  aAbilityTree=( (AbilityName=" "), \\
(AbilityName="LWD_HangEmHigh"), \\
(AbilityName=" "), \\
  ), \\
aStatProgression=((StatType=eStat_Offense,StatAmount=3), (StatType=eStat_HP,StatAmount=0), (StatType=eStat_Hacking,StatAmount=0)),\\
 )
; master sergeant
+SoldierRanks=(  aAbilityTree=( (AbilityName="LWD_SixShooter", ApplyToWeaponSlot=eInvSlot_Utility, UtilityCat="pistol"), \\
(AbilityName=" "), \\
(AbilityName="LWD_QuickHands", ApplyToWeaponSlot=eInvSlot_SecondaryWeapon), \\
  ), \\
aStatProgression=((StatType=eStat_Offense,StatAmount=3), (StatType=eStat_HP,StatAmount=1), (StatType=eStat_Hacking,StatAmount=0)),\\
 )</v>
      </c>
      <c r="P11" t="str">
        <f t="shared" ca="1" si="13"/>
        <v>+Loadouts=(LoadoutName="SquaddieLWD_Cowboy", Items[0]=(Item="SniperRifle_CV"), Items[1]=(Item="SawedOffShotgun_CV"))</v>
      </c>
      <c r="Q11" t="str">
        <f t="shared" ca="1" si="14"/>
        <v>+DEBUG_StartingSoldierClasses="LWD_Cowboy"</v>
      </c>
      <c r="R11" t="str">
        <f t="shared" ca="1" si="15"/>
        <v>[LWD_Cowboy X2SoldierClassTemplate]
+DisplayName="Cowboy"
+ClassSummary="Versatile soldiers that are always ready for anything, Cowboys carry sniper rifles, pistols, and sawed-off shotguns, and are just as deadly with each of them."
+LeftAbilityTreeTitle="Pistoleer"
+RightAbilityTreeTitle="Shotgunner"
; Nicknames
RandomNickNames[0]="Skinny"
RandomNickNames[1]="Bargain"
RandomNickNames[2]="Shanghai Kid"
RandomNickNames[3]="The Kid"
RandomNickNames[4]="Hometown"
RandomNickNames[5]="Breaker"
RandomNickNames[6]="Broker"
RandomNickNames[7]="Conquest"
RandomNickNames[8]="Snake Oil"
RandomNickNames[9]="Doomtrain"
RandomNickNames[10]="Doc Holliday"
RandomNickNames[11]="Famine"
RandomNickNames[12]="Sundance"
RandomNickNames[13]="Revolver"
RandomNickNames[14]="Genius"
RandomNickNames[15]="Arkansas"
RandomNickNames[16]="Jester"
RandomNickNames[17]="Bandit"
RandomNickNames[18]="Pistolero"
RandomNickNames[19]="Mayday"
RandomNickNames[20]="Buffalo"
RandomNickNames[21]="Newton"
RandomNickNames[22]="Ragtime"
RandomNickNames[23]="Rascal"
RandomNickNames[24]="Rattlesnake"
RandomNickNames[25]="Revelation"
RandomNickNames[26]="Huckleberry"
RandomNickNames[27]="Tequila"
RandomNickNames[28]="Undertaker"
RandomNickNames[29]="Ringo"
RandomNickNames[30]="Eastwood"
RandomNickNames[31]="Unforgiven"
; Male Nicknames
RandomNickNames_Male[0]="The Duke"
RandomNickNames_Male[1]="Black Bart"
RandomNickNames_Male[2]="Padre"
RandomNickNames_Male[3]="Butch"
RandomNickNames_Male[4]="Amigo"
; Female Nicknames
RandomNickNames_Female[0]="Belle"
RandomNickNames_Female[1]="Amiga"
RandomNickNames_Female[2]="Black Widow"
RandomNickNames_Female[3]="Duchess"
RandomNickNames_Female[4]="Calamity"</v>
      </c>
      <c r="S11" t="s">
        <v>340</v>
      </c>
    </row>
    <row r="12" spans="1:26" x14ac:dyDescent="0.25">
      <c r="A12" t="str">
        <f>IFERROR(INDEX(Sheets,ROWS($A$3:$A12)),"")</f>
        <v>Dreadnought</v>
      </c>
      <c r="B12" t="str">
        <f t="shared" ref="B12:K12" si="20">IF(A12&lt;&gt;B$2,A12,"")</f>
        <v>Dreadnought</v>
      </c>
      <c r="C12" t="str">
        <f t="shared" si="20"/>
        <v>Dreadnought</v>
      </c>
      <c r="D12" t="str">
        <f t="shared" si="20"/>
        <v>Dreadnought</v>
      </c>
      <c r="E12" t="str">
        <f t="shared" si="20"/>
        <v>Dreadnought</v>
      </c>
      <c r="F12" t="str">
        <f t="shared" si="20"/>
        <v>Dreadnought</v>
      </c>
      <c r="G12" t="str">
        <f t="shared" si="20"/>
        <v>Dreadnought</v>
      </c>
      <c r="H12" t="str">
        <f t="shared" si="20"/>
        <v>Dreadnought</v>
      </c>
      <c r="I12" t="str">
        <f t="shared" si="20"/>
        <v>Dreadnought</v>
      </c>
      <c r="J12" t="str">
        <f t="shared" si="20"/>
        <v>Dreadnought</v>
      </c>
      <c r="K12" t="str">
        <f t="shared" si="20"/>
        <v>Dreadnought</v>
      </c>
      <c r="L12" t="str">
        <f t="shared" si="7"/>
        <v>Dreadnought</v>
      </c>
      <c r="N12" t="str">
        <f t="shared" ca="1" si="11"/>
        <v>+SoldierClasses=LWD_Dreadnought</v>
      </c>
      <c r="O12" t="str">
        <f t="shared" ca="1" si="12"/>
        <v>[LWD_Dreadnought X2SoldierClassTemplate]
+bMultiplayerOnly=0
+ClassPoints=4
+IconImage="img:///UILibrary_LW_PerkPack.Class_Technical"
+NumInForcedDeck=1
+NumInDeck=4
+KillAssistsPerKill=4
+SquaddieLoadout=SquaddieLWD_Dreadnought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
\\
\\
\\
\\
  ), \\
aStatProgression=((StatType=eStat_Offense,StatAmount=2), (StatType=eStat_HP,StatAmount=1), (StatType=eStat_Hacking,StatAmount=0), (StatType=eStat_CombatSims,StatAmount=1), (StatType=eStat_Defense,StatAmount=1), (StatType=eStat_Will,StatAmount=4)),\\
 )
; lance corporal
+SoldierRanks=(  aAbilityTree=( (AbilityName="Formidable"), \\
(AbilityName=" "), \\
(AbilityName="Suppression_LW", ApplyToWeaponSlot=eInvSlot_PrimaryWeapon), \\
  ), \\
aStatProgression=((StatType=eStat_Offense,StatAmount=2), (StatType=eStat_HP,StatAmount=0), (StatType=eStat_Hacking,StatAmount=0), (StatType=eStat_Defense,StatAmount=1), (StatType=eStat_Will,StatAmount=4)),\\
 )
; corporal
+SoldierRanks=(  aAbilityTree=( (AbilityName=" "), \\
(AbilityName="ShadowOps_IronWill"), \\
(AbilityName=" "), \\
  ), \\
aStatProgression=((StatType=eStat_Offense,StatAmount=2), (StatType=eStat_HP,StatAmount=1), (StatType=eStat_Hacking,StatAmount=0), (StatType=eStat_Defense,StatAmount=1)),\\
 )
; sergeant
+SoldierRanks=(  aAbilityTree=( (AbilityName="ShadowOps_HeavyArmor"), \\
(AbilityName=" "), \\
(AbilityName="Shredder", ApplyToWeaponSlot=eInvSlot_PrimaryWeapon), \\
  ), \\
aStatProgression=((StatType=eStat_Offense,StatAmount=2), (StatType=eStat_HP,StatAmount=0), (StatType=eStat_Hacking,StatAmount=0)),\\
 )
; staff sergeant
+SoldierRanks=(  aAbilityTree=( (AbilityName="ShadowOps_FocusedDefense"), \\
(AbilityName=" "), \\
(AbilityName="PhosphorusPassive", ApplyToWeaponSlot=eInvSlot_SecondaryWeapon), \\
  ), \\
aStatProgression=((StatType=eStat_Offense,StatAmount=2), (StatType=eStat_HP,StatAmount=1), (StatType=eStat_Hacking,StatAmount=0), (StatType=eStat_Defense,StatAmount=1)),\\
 )
; tech sergeant
+SoldierRanks=(  aAbilityTree=( (AbilityName="ShadowOps_Evasive"), \\
(AbilityName=" "), \\
(AbilityName="FireandSteel", ApplyToWeaponSlot=eInvSlot_SecondaryWeapon), \\
  ), \\
aStatProgression=((StatType=eStat_Offense,StatAmount=2), (StatType=eStat_HP,StatAmount=0), (StatType=eStat_Hacking,StatAmount=0)),\\
 )
;  gunnery sergeant
+SoldierRanks=(  aAbilityTree=( (AbilityName=" "), \\
(AbilityName="ShadowOps_ShieldsUp", ApplyToWeaponSlot=eInvSlot_SecondaryWeapon), \\
(AbilityName=" "), \\
  ), \\
aStatProgression=((StatType=eStat_Offense,StatAmount=2), (StatType=eStat_HP,StatAmount=1), (StatType=eStat_Hacking,StatAmount=0), (StatType=eStat_Defense,StatAmount=1)),\\
 )
; master sergeant
+SoldierRanks=(  aAbilityTree=( (AbilityName="ShadowOps_StasisField"), \\
(AbilityName=" "), \\
(AbilityName="Salvo", ApplyToWeaponSlot=eInvSlot_Unknown), \\
  ), \\
aStatProgression=((StatType=eStat_Offense,StatAmount=2), (StatType=eStat_HP,StatAmount=1), (StatType=eStat_Hacking,StatAmount=0)),\\
 )</v>
      </c>
      <c r="P12" t="str">
        <f t="shared" ca="1" si="13"/>
        <v>+Loadouts=(LoadoutName="SquaddieLWD_Dreadnought", Items[0]=(Item="Cannon_CV"), Items[1]=(Item="LWGauntlet_CV"))</v>
      </c>
      <c r="Q12" t="str">
        <f t="shared" ca="1" si="14"/>
        <v>+DEBUG_StartingSoldierClasses="LWD_Dreadnought"</v>
      </c>
      <c r="R12" t="str">
        <f t="shared" ca="1" si="15"/>
        <v>[LWD_Dreadnought X2SoldierClassTemplate]
+DisplayName="Dreadnought"
+ClassSummary="The Dreadnought is a human brick wall, who can take everything the enemy can throw at them and then throw it all back. They employ gauntlets for the really tough enemies."
+LeftAbilityTreeTitle="Immovable"
+RightAbilityTreeTitle="Unstoppable"
; Nicknames
RandomNickNames[0]="Angel"
RandomNickNames[1]="Bargain"
RandomNickNames[2]="Beta"
RandomNickNames[3]="Bishop"
RandomNickNames[4]="Bones"
RandomNickNames[5]="Breaker"
RandomNickNames[6]="Broker"
RandomNickNames[7]="Conquest"
RandomNickNames[8]="Pride"
RandomNickNames[9]="Doomtrain"
RandomNickNames[10]="Boomtown"
RandomNickNames[11]="Famine"
RandomNickNames[12]="Feedback"
RandomNickNames[13]="Firewall"
RandomNickNames[14]="Genius"
RandomNickNames[15]="Gizmo"
RandomNickNames[16]="Jester"
RandomNickNames[17]="Juggernaut"
RandomNickNames[18]="Stonewall"
RandomNickNames[19]="Mayday"
RandomNickNames[20]="Mega"
RandomNickNames[21]="Brick"
RandomNickNames[22]="Ragtime"
RandomNickNames[23]="Rascal"
RandomNickNames[24]="Rattler"
RandomNickNames[25]="Revelation"
RandomNickNames[26]="Skipper"
RandomNickNames[27]="Thunder"
RandomNickNames[28]="Undertaker"
RandomNickNames[29]="War"
RandomNickNames[30]="Whoopsie"
RandomNickNames[31]="Tank"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2" t="s">
        <v>340</v>
      </c>
    </row>
    <row r="13" spans="1:26" x14ac:dyDescent="0.25">
      <c r="A13" t="str">
        <f>IFERROR(INDEX(Sheets,ROWS($A$3:$A13)),"")</f>
        <v>FieldScientist</v>
      </c>
      <c r="B13" t="str">
        <f t="shared" ref="B13:K13" si="21">IF(A13&lt;&gt;B$2,A13,"")</f>
        <v>FieldScientist</v>
      </c>
      <c r="C13" t="str">
        <f t="shared" si="21"/>
        <v>FieldScientist</v>
      </c>
      <c r="D13" t="str">
        <f t="shared" si="21"/>
        <v>FieldScientist</v>
      </c>
      <c r="E13" t="str">
        <f t="shared" si="21"/>
        <v>FieldScientist</v>
      </c>
      <c r="F13" t="str">
        <f t="shared" si="21"/>
        <v>FieldScientist</v>
      </c>
      <c r="G13" t="str">
        <f t="shared" si="21"/>
        <v>FieldScientist</v>
      </c>
      <c r="H13" t="str">
        <f t="shared" si="21"/>
        <v>FieldScientist</v>
      </c>
      <c r="I13" t="str">
        <f t="shared" si="21"/>
        <v>FieldScientist</v>
      </c>
      <c r="J13" t="str">
        <f t="shared" si="21"/>
        <v>FieldScientist</v>
      </c>
      <c r="K13" t="str">
        <f t="shared" si="21"/>
        <v>FieldScientist</v>
      </c>
      <c r="L13" t="str">
        <f t="shared" si="7"/>
        <v>FieldScientist</v>
      </c>
      <c r="N13" t="str">
        <f t="shared" ca="1" si="11"/>
        <v>+SoldierClasses=LWD_FieldScientist</v>
      </c>
      <c r="O13" t="str">
        <f t="shared" ca="1" si="12"/>
        <v>[LWD_FieldScientist X2SoldierClassTemplate]
+bMultiplayerOnly=0
+ClassPoints=4
+IconImage="img:///UILibrary_LWD.class_fieldScientist"
+NumInForcedDeck=1
+NumInDeck=4
+KillAssistsPerKill=3
+SquaddieLoadout=SquaddieLWD_FieldScientist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(AbilityName="LWD_Hotwire", ApplyToWeaponSlot=eInvSlot_SecondaryWeapon), \\
(AbilityName="LWD_Clear", ApplyToWeaponSlot=eInvSlot_SecondaryWeapon), \\
\\
\\
\\
  ), \\
aStatProgression=((StatType=eStat_Offense,StatAmount=2), (StatType=eStat_HP,StatAmount=0), (StatType=eStat_Hacking,StatAmount=40), (StatType=eStat_CombatSims,StatAmount=1), (StatType=eStat_Will,StatAmount=4)),\\
 )
; lance corporal
+SoldierRanks=(  aAbilityTree=( (AbilityName="LWD_Juiced", ApplyToWeaponSlot=eInvSlot_SecondaryWeapon), \\
(AbilityName=" "), \\
(AbilityName="ShadowOps_SecondWind"), \\
  ), \\
aStatProgression=((StatType=eStat_Offense,StatAmount=2), (StatType=eStat_HP,StatAmount=1), (StatType=eStat_Hacking,StatAmount=5), (StatType=eStat_Will,StatAmount=4)),\\
 )
; corporal
+SoldierRanks=(  aAbilityTree=( (AbilityName=" "), \\
(AbilityName="ShadowOps_Anatomist"), \\
(AbilityName=" "), \\
  ), \\
aStatProgression=((StatType=eStat_Offense,StatAmount=2), (StatType=eStat_HP,StatAmount=0), (StatType=eStat_Hacking,StatAmount=5)),\\
 )
; sergeant
+SoldierRanks=(  aAbilityTree=( (AbilityName="StunGunner", ApplyToWeaponSlot=eInvSlot_SecondaryWeapon), \\
(AbilityName=" "), \\
(AbilityName="FieldMedic", ApplyToWeaponSlot=eInvSlot_Unknown), \\
  ), \\
aStatProgression=((StatType=eStat_Offense,StatAmount=2), (StatType=eStat_HP,StatAmount=0), (StatType=eStat_Hacking,StatAmount=5)),\\
 )
; staff sergeant
+SoldierRanks=(  aAbilityTree=( (AbilityName="LWD_ShortCircuit", ApplyToWeaponSlot=eInvSlot_SecondaryWeapon), \\
(AbilityName=" "), \\
(AbilityName="Savior", ApplyToWeaponSlot=eInvSlot_Unknown), \\
  ), \\
aStatProgression=((StatType=eStat_Offense,StatAmount=2), (StatType=eStat_HP,StatAmount=1), (StatType=eStat_Hacking,StatAmount=5)),\\
 )
; tech sergeant
+SoldierRanks=(  aAbilityTree=( (AbilityName="LWD_ScriptKiddie"), \\
(AbilityName=" "), \\
(AbilityName="LWD_Skullminer"), \\
  ), \\
aStatProgression=((StatType=eStat_Offense,StatAmount=2), (StatType=eStat_HP,StatAmount=0), (StatType=eStat_Hacking,StatAmount=5)),\\
 )
;  gunnery sergeant
+SoldierRanks=(  aAbilityTree=( (AbilityName=" "), \\
(AbilityName="LWD_ShortCircuit", ApplyToWeaponSlot=eInvSlot_SecondaryWeapon), \\
(AbilityName=" "), \\
  ), \\
aStatProgression=((StatType=eStat_Offense,StatAmount=2), (StatType=eStat_HP,StatAmount=0), (StatType=eStat_Hacking,StatAmount=5)),\\
 )
; master sergeant
+SoldierRanks=(  aAbilityTree=( (AbilityName="ChainLightning", ApplyToWeaponSlot=eInvSlot_SecondaryWeapon), \\
(AbilityName=" "), \\
(AbilityName="CombatFitness"), \\
  ), \\
aStatProgression=((StatType=eStat_Offense,StatAmount=2), (StatType=eStat_HP,StatAmount=1), (StatType=eStat_Hacking,StatAmount=5)),\\
 )</v>
      </c>
      <c r="P13" t="str">
        <f t="shared" ca="1" si="13"/>
        <v>+Loadouts=(LoadoutName="SquaddieLWD_FieldScientist", Items[0]=(Item="AssaultRifle_CV"), Items[1]=(Item="Arcthrower_CV"))</v>
      </c>
      <c r="Q13" t="str">
        <f t="shared" ca="1" si="14"/>
        <v>+DEBUG_StartingSoldierClasses="LWD_FieldScientist"</v>
      </c>
      <c r="R13" t="str">
        <f t="shared" ca="1" si="15"/>
        <v>[LWD_FieldScientist X2SoldierClassTemplate]
+DisplayName="Field Scientist"
+ClassSummary="Field Scientists forgo the lab to aid our soldiers directly on the battlefield. They've got some ways to use their arc thrower to keep our soldiers in the fight."
+LeftAbilityTreeTitle="Electrician"
+RightAbilityTreeTitle="Doctor"
; Nicknames
RandomNickNames[0]="Angel"
RandomNickNames[1]="Bargain"
RandomNickNames[2]="Beta"
RandomNickNames[3]="Bishop"
RandomNickNames[4]="Bones"
RandomNickNames[5]="Moron"
RandomNickNames[6]="Broker"
RandomNickNames[7]="Conquest"
RandomNickNames[8]="Deacon"
RandomNickNames[9]="Electrician"
RandomNickNames[10]="Dr. Feelgood"
RandomNickNames[11]="Famine"
RandomNickNames[12]="Feedback"
RandomNickNames[13]="Firewall"
RandomNickNames[14]="Genius"
RandomNickNames[15]="Gizmo"
RandomNickNames[16]="Professor"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RandomNickNames[29]="Doc"
RandomNickNames[30]="Whoopsie"
RandomNickNames[31]="Segfault"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3" t="s">
        <v>340</v>
      </c>
    </row>
    <row r="14" spans="1:26" x14ac:dyDescent="0.25">
      <c r="A14" t="str">
        <f>IFERROR(INDEX(Sheets,ROWS($A$3:$A14)),"")</f>
        <v>Fireman</v>
      </c>
      <c r="B14" t="str">
        <f t="shared" ref="B14:K14" si="22">IF(A14&lt;&gt;B$2,A14,"")</f>
        <v>Fireman</v>
      </c>
      <c r="C14" t="str">
        <f t="shared" si="22"/>
        <v>Fireman</v>
      </c>
      <c r="D14" t="str">
        <f t="shared" si="22"/>
        <v>Fireman</v>
      </c>
      <c r="E14" t="str">
        <f t="shared" si="22"/>
        <v>Fireman</v>
      </c>
      <c r="F14" t="str">
        <f t="shared" si="22"/>
        <v>Fireman</v>
      </c>
      <c r="G14" t="str">
        <f t="shared" si="22"/>
        <v>Fireman</v>
      </c>
      <c r="H14" t="str">
        <f t="shared" si="22"/>
        <v>Fireman</v>
      </c>
      <c r="I14" t="str">
        <f t="shared" si="22"/>
        <v>Fireman</v>
      </c>
      <c r="J14" t="str">
        <f t="shared" si="22"/>
        <v>Fireman</v>
      </c>
      <c r="K14" t="str">
        <f t="shared" si="22"/>
        <v>Fireman</v>
      </c>
      <c r="L14" t="str">
        <f t="shared" si="7"/>
        <v>Fireman</v>
      </c>
      <c r="N14" t="str">
        <f t="shared" ca="1" si="11"/>
        <v>+SoldierClasses=LWD_Fireman</v>
      </c>
      <c r="O14" t="str">
        <f t="shared" ca="1" si="12"/>
        <v>[LWD_Fireman X2SoldierClassTemplate]
+bMultiplayerOnly=0
+ClassPoints=4
+IconImage="img:///UILibrary_LWD.class_fireman"
+NumInForcedDeck=1
+NumInDeck=4
+KillAssistsPerKill=4
+SquaddieLoadout=SquaddieLWD_Fireman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
\\
\\
\\
\\
  ), \\
aStatProgression=((StatType=eStat_Offense,StatAmount=2), (StatType=eStat_HP,StatAmount=0), (StatType=eStat_Hacking,StatAmount=0), (StatType=eStat_CombatSims,StatAmount=1), (StatType=eStat_Will,StatAmount=4)),\\
 )
; lance corporal
+SoldierRanks=(  aAbilityTree=( (AbilityName="ShadowOps_Pyromaniac"), \\
(AbilityName=" "), \\
(AbilityName="Roust", ApplyToWeaponSlot=eInvSlot_SecondaryWeapon), \\
  ), \\
aStatProgression=((StatType=eStat_Offense,StatAmount=2), (StatType=eStat_HP,StatAmount=1), (StatType=eStat_Hacking,StatAmount=0), (StatType=eStat_Will,StatAmount=4)),\\
 )
; corporal
+SoldierRanks=(  aAbilityTree=( (AbilityName=" "), \\
(AbilityName="NapalmX", ApplyToWeaponSlot=eInvSlot_SecondaryWeapon), \\
(AbilityName=" "), \\
  ), \\
aStatProgression=((StatType=eStat_Offense,StatAmount=2), (StatType=eStat_HP,StatAmount=0), (StatType=eStat_Hacking,StatAmount=0)),\\
 )
; sergeant
+SoldierRanks=(  aAbilityTree=( (AbilityName="ShadowOps_DemoGrenades"), \\
(AbilityName=" "), \\
(AbilityName="Burnout", ApplyToWeaponSlot=eInvSlot_SecondaryWeapon), \\
  ), \\
aStatProgression=((StatType=eStat_Offense,StatAmount=2), (StatType=eStat_HP,StatAmount=1), (StatType=eStat_Hacking,StatAmount=0)),\\
 )
; staff sergeant
+SoldierRanks=(  aAbilityTree=( (AbilityName="ShadowOps_SmokeAndMirrors_LW2", ApplyToWeaponSlot=eInvSlot_SecondaryWeapon), \\
(AbilityName=" "), \\
(AbilityName="PhosphorusPassive", ApplyToWeaponSlot=eInvSlot_SecondaryWeapon), \\
  ), \\
aStatProgression=((StatType=eStat_Offense,StatAmount=2), (StatType=eStat_HP,StatAmount=0), (StatType=eStat_Hacking,StatAmount=0)),\\
 )
; tech sergeant
+SoldierRanks=(  aAbilityTree=( (AbilityName="ShadowOps_Evasive"), \\
(AbilityName=" "), \\
(AbilityName="FireandSteel", ApplyToWeaponSlot=eInvSlot_SecondaryWeapon), \\
  ), \\
aStatProgression=((StatType=eStat_Offense,StatAmount=2), (StatType=eStat_HP,StatAmount=1), (StatType=eStat_Hacking,StatAmount=0)),\\
 )
;  gunnery sergeant
+SoldierRanks=(  aAbilityTree=( (AbilityName=" "), \\
(AbilityName="Incinerator", ApplyToWeaponSlot=eInvSlot_SecondaryWeapon), \\
(AbilityName=" "), \\
  ), \\
aStatProgression=((StatType=eStat_Offense,StatAmount=2), (StatType=eStat_HP,StatAmount=0), (StatType=eStat_Hacking,StatAmount=0)),\\
 )
; master sergeant
+SoldierRanks=(  aAbilityTree=( (AbilityName="Quickburn", ApplyToWeaponSlot=eInvSlot_SecondaryWeapon), \\
(AbilityName=" "), \\
(AbilityName="Firestorm", ApplyToWeaponSlot=eInvSlot_SecondaryWeapon), \\
  ), \\
aStatProgression=((StatType=eStat_Offense,StatAmount=2), (StatType=eStat_HP,StatAmount=1), (StatType=eStat_Hacking,StatAmount=0)),\\
 )</v>
      </c>
      <c r="P14" t="str">
        <f t="shared" ca="1" si="13"/>
        <v>+Loadouts=(LoadoutName="SquaddieLWD_Fireman", Items[0]=(Item="Shotgun_CV"), Items[1]=(Item="LWGauntlet_CV"))</v>
      </c>
      <c r="Q14" t="str">
        <f t="shared" ca="1" si="14"/>
        <v>+DEBUG_StartingSoldierClasses="LWD_Fireman"</v>
      </c>
      <c r="R14" t="str">
        <f t="shared" ca="1" si="15"/>
        <v>[LWD_Fireman X2SoldierClassTemplate]
+DisplayName="Fireman"
+ClassSummary="Specializing in their gauntlet's flamethrower, Firemen can clear entire rooms of enemies, as well as blocking off chokepoints with walls of flame."
+LeftAbilityTreeTitle="Explosions"
+RightAbilityTreeTitle="Flames"
; Nicknames
RandomNickNames[0]="Angel"
RandomNickNames[1]="Bargain"
RandomNickNames[2]="Beta"
RandomNickNames[3]="Bishop"
RandomNickNames[4]="Bones"
RandomNickNames[5]="Breaker"
RandomNickNames[6]="Broker"
RandomNickNames[7]="Conquest"
RandomNickNames[8]="Deacon"
RandomNickNames[9]="Lamp"
RandomNickNames[10]="Dr. Feelgood"
RandomNickNames[11]="Famine"
RandomNickNames[12]="Feedback"
RandomNickNames[13]="Firewall"
RandomNickNames[14]="Boomtown"
RandomNickNames[15]="Flamer"
RandomNickNames[16]="Jester"
RandomNickNames[17]="Jolt"
RandomNickNames[18]="Lightning"
RandomNickNames[19]="Mayday"
RandomNickNames[20]="The Truck"
RandomNickNames[21]="Newton"
RandomNickNames[22]="Ragtime"
RandomNickNames[23]="Rascal"
RandomNickNames[24]="Rattler"
RandomNickNames[25]="Revelation"
RandomNickNames[26]="Spark"
RandomNickNames[27]="Thunder"
RandomNickNames[28]="Undertaker"
RandomNickNames[29]="War"
RandomNickNames[30]="Torch"
RandomNickNames[31]="Zulu"
; Male Nicknames
RandomNickNames_Male[0]="Waterboy"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4" t="s">
        <v>340</v>
      </c>
    </row>
    <row r="15" spans="1:26" x14ac:dyDescent="0.25">
      <c r="A15" t="str">
        <f>IFERROR(INDEX(Sheets,ROWS($A$3:$A15)),"")</f>
        <v>Guerrilla</v>
      </c>
      <c r="B15" t="str">
        <f t="shared" ref="B15:K15" si="23">IF(A15&lt;&gt;B$2,A15,"")</f>
        <v>Guerrilla</v>
      </c>
      <c r="C15" t="str">
        <f t="shared" si="23"/>
        <v>Guerrilla</v>
      </c>
      <c r="D15" t="str">
        <f t="shared" si="23"/>
        <v>Guerrilla</v>
      </c>
      <c r="E15" t="str">
        <f t="shared" si="23"/>
        <v>Guerrilla</v>
      </c>
      <c r="F15" t="str">
        <f t="shared" si="23"/>
        <v>Guerrilla</v>
      </c>
      <c r="G15" t="str">
        <f t="shared" si="23"/>
        <v>Guerrilla</v>
      </c>
      <c r="H15" t="str">
        <f t="shared" si="23"/>
        <v>Guerrilla</v>
      </c>
      <c r="I15" t="str">
        <f t="shared" si="23"/>
        <v>Guerrilla</v>
      </c>
      <c r="J15" t="str">
        <f t="shared" si="23"/>
        <v>Guerrilla</v>
      </c>
      <c r="K15" t="str">
        <f t="shared" si="23"/>
        <v>Guerrilla</v>
      </c>
      <c r="L15" t="str">
        <f t="shared" si="7"/>
        <v>Guerrilla</v>
      </c>
      <c r="N15" t="str">
        <f t="shared" ca="1" si="11"/>
        <v>+SoldierClasses=LWD_Guerrilla</v>
      </c>
      <c r="O15" t="str">
        <f t="shared" ca="1" si="12"/>
        <v>[LWD_Guerrilla X2SoldierClassTemplate]
+bMultiplayerOnly=0
+ClassPoints=4
+IconImage="img:///UILibrary_SOHunter.class_survivalist"
+NumInForcedDeck=1
+NumInDeck=4
+KillAssistsPerKill=4
+SquaddieLoadout=SquaddieLWD_Guerrilla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(AbilityName="LWD_Jab", ApplyToWeaponSlot=eInvSlot_SecondaryWeapon), \\
(AbilityName="ShadowOps_Reposition", ApplyToWeaponSlot=eInvSlot_PrimaryWeapon), \\
\\
\\
\\
\\
  ), \\
aStatProgression=((StatType=eStat_Offense,StatAmount=4), (StatType=eStat_HP,StatAmount=0), (StatType=eStat_Hacking,StatAmount=0), (StatType=eStat_CombatSims,StatAmount=1), (StatType=eStat_Will,StatAmount=4), (StatType=eStat_Dodge,StatAmount=2)),\\
 )
; lance corporal
+SoldierRanks=(  aAbilityTree=( (AbilityName="LowProfile"), \\
(AbilityName=" "), \\
(AbilityName="Cutthroat", ApplyToWeaponSlot=eInvSlot_SecondaryWeapon), \\
  ), \\
aStatProgression=((StatType=eStat_Offense,StatAmount=3), (StatType=eStat_HP,StatAmount=0), (StatType=eStat_Hacking,StatAmount=0), (StatType=eStat_Will,StatAmount=4), (StatType=eStat_Dodge,StatAmount=1)),\\
 )
; corporal
+SoldierRanks=(  aAbilityTree=( (AbilityName=" "), \\
(AbilityName="Shadowstrike_LW", ApplyToWeaponSlot=eInvSlot_PrimaryWeapon ), \\
(AbilityName=" "), \\
  ), \\
aStatProgression=((StatType=eStat_Offense,StatAmount=2), (StatType=eStat_HP,StatAmount=0), (StatType=eStat_Hacking,StatAmount=0)),\\
 )
; sergeant
+SoldierRanks=(  aAbilityTree=( (AbilityName="Shadowstep", ApplyToWeaponSlot=eInvSlot_Unknown), \\
(AbilityName=" "), \\
(AbilityName="Combatives", ApplyToWeaponSlot=eInvSlot_SecondaryWeapon), \\
  ), \\
aStatProgression=((StatType=eStat_Offense,StatAmount=3), (StatType=eStat_HP,StatAmount=1), (StatType=eStat_Hacking,StatAmount=0), (StatType=eStat_Dodge,StatAmount=1)),\\
 )
; staff sergeant
+SoldierRanks=(  aAbilityTree=( (AbilityName="ShadowOps_SnakeBlood"), \\
(AbilityName=" "), \\
(AbilityName="LWD_WhereItHurts"), \\
  ), \\
aStatProgression=((StatType=eStat_Offense,StatAmount=2), (StatType=eStat_HP,StatAmount=0), (StatType=eStat_Hacking,StatAmount=0)),\\
 )
; tech sergeant
+SoldierRanks=(  aAbilityTree=( (AbilityName="ShadowOps_FirstStrike", ApplyToWeaponSlot=eInvSlot_PrimaryWeapon), \\
(AbilityName=" "), \\
(AbilityName="CoupDeGrace", ApplyToWeaponSlot=eInvSlot_SecondaryWeapon), \\
  ), \\
aStatProgression=((StatType=eStat_Offense,StatAmount=3), (StatType=eStat_HP,StatAmount=0), (StatType=eStat_Hacking,StatAmount=0), (StatType=eStat_Dodge,StatAmount=1)),\\
 )
;  gunnery sergeant
+SoldierRanks=(  aAbilityTree=( (AbilityName=" "), \\
(AbilityName="Implacable"), \\
(AbilityName=" "), \\
  ), \\
aStatProgression=((StatType=eStat_Offense,StatAmount=2), (StatType=eStat_HP,StatAmount=0), (StatType=eStat_Hacking,StatAmount=0)),\\
 )
; master sergeant
+SoldierRanks=(  aAbilityTree=( (AbilityName="ShadowOps_Vanish"), \\
(AbilityName=" "), \\
(AbilityName="InTheZone", ApplyToWeaponSlot=eInvSlot_PrimaryWeapon), \\
  ), \\
aStatProgression=((StatType=eStat_Offense,StatAmount=3), (StatType=eStat_HP,StatAmount=1), (StatType=eStat_Hacking,StatAmount=0), (StatType=eStat_Dodge,StatAmount=1)),\\
 )</v>
      </c>
      <c r="P15" t="str">
        <f t="shared" ca="1" si="13"/>
        <v>+Loadouts=(LoadoutName="SquaddieLWD_Guerrilla", Items[0]=(Item="SniperRifle_CV"), Items[1]=(Item="CombatKnife_CV"))</v>
      </c>
      <c r="Q15" t="str">
        <f t="shared" ca="1" si="14"/>
        <v>+DEBUG_StartingSoldierClasses="LWD_Guerrilla"</v>
      </c>
      <c r="R15" t="str">
        <f t="shared" ca="1" si="15"/>
        <v>[LWD_Guerrilla X2SoldierClassTemplate]
+DisplayName="Guerrilla"
+ClassSummary="The Guerrilla is a capable assassin who stays on the move and catches the enemy off-guard. They're comfortable with a variety of firearms, and carry a knife, just in case."
+LeftAbilityTreeTitle="Bushwhacker"
+RightAbilityTreeTitle="Commando"
; Nicknames
RandomNickNames[0]="Grey Ghost"
RandomNickNames[1]="Cavalry"
RandomNickNames[2]="Hiss"
RandomNickNames[3]="Bishop"
RandomNickNames[4]="Tootsies"
RandomNickNames[5]="Breaker"
RandomNickNames[6]="Broker"
RandomNickNames[7]="Conquest"
RandomNickNames[8]="Deacon"
RandomNickNames[9]="Doomtrain"
RandomNickNames[10]="Mercury"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5" t="s">
        <v>340</v>
      </c>
    </row>
    <row r="16" spans="1:26" x14ac:dyDescent="0.25">
      <c r="A16" t="str">
        <f>IFERROR(INDEX(Sheets,ROWS($A$3:$A16)),"")</f>
        <v>Gunner</v>
      </c>
      <c r="B16" t="str">
        <f t="shared" ref="B16:K16" si="24">IF(A16&lt;&gt;B$2,A16,"")</f>
        <v>Gunner</v>
      </c>
      <c r="C16" t="str">
        <f t="shared" si="24"/>
        <v>Gunner</v>
      </c>
      <c r="D16" t="str">
        <f t="shared" si="24"/>
        <v>Gunner</v>
      </c>
      <c r="E16" t="str">
        <f t="shared" si="24"/>
        <v>Gunner</v>
      </c>
      <c r="F16" t="str">
        <f t="shared" si="24"/>
        <v>Gunner</v>
      </c>
      <c r="G16" t="str">
        <f t="shared" si="24"/>
        <v>Gunner</v>
      </c>
      <c r="H16" t="str">
        <f t="shared" si="24"/>
        <v>Gunner</v>
      </c>
      <c r="I16" t="str">
        <f t="shared" si="24"/>
        <v>Gunner</v>
      </c>
      <c r="J16" t="str">
        <f t="shared" si="24"/>
        <v>Gunner</v>
      </c>
      <c r="K16" t="str">
        <f t="shared" si="24"/>
        <v>Gunner</v>
      </c>
      <c r="L16" t="str">
        <f t="shared" si="7"/>
        <v>Gunner</v>
      </c>
      <c r="N16" t="str">
        <f t="shared" ca="1" si="11"/>
        <v>+SoldierClasses=LWD_Gunner</v>
      </c>
      <c r="O16" t="str">
        <f t="shared" ca="1" si="12"/>
        <v>[LWD_Gunner X2SoldierClassTemplate]
+bMultiplayerOnly=0
+ClassPoints=4
+IconImage="img:///UILibrary_LW_PerkPack.Class_Gunner"
+NumInForcedDeck=1
+NumInDeck=4
+KillAssistsPerKill=4
+SquaddieLoadout=SquaddieLWD_Gunner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(AbilityName="LWD_Jab", ApplyToWeaponSlot=eInvSlot_SecondaryWeapon), \\
(AbilityName="Suppression_LW", ApplyToWeaponSlot=eInvSlot_PrimaryWeapon), \\
(AbilityName="AreaSuppression", ApplyToWeaponSlot=eInvSlot_PrimaryWeapon), \\
\\
\\
\\
  ), \\
aStatProgression=((StatType=eStat_Offense,StatAmount=3), (StatType=eStat_HP,StatAmount=0), (StatType=eStat_Hacking,StatAmount=0), (StatType=eStat_CombatSims,StatAmount=1), (StatType=eStat_Will,StatAmount=4)),\\
 )
; lance corporal
+SoldierRanks=(  aAbilityTree=( (AbilityName="Shredder", ApplyToWeaponSlot=eInvSlot_PrimaryWeapon), \\
(AbilityName=" "), \\
(AbilityName="Lockdown", ApplyToWeaponSlot=eInvSlot_PrimaryWeapon), \\
  ), \\
aStatProgression=((StatType=eStat_Offense,StatAmount=2), (StatType=eStat_HP,StatAmount=1), (StatType=eStat_Hacking,StatAmount=0), (StatType=eStat_Will,StatAmount=4)),\\
 )
; corporal
+SoldierRanks=(  aAbilityTree=( (AbilityName=" "), \\
(AbilityName="ShadowOps_BurstFire", ApplyToWeaponSlot=eInvSlot_PrimaryWeapon), \\
(AbilityName=" "), \\
  ), \\
aStatProgression=((StatType=eStat_Offense,StatAmount=2), (StatType=eStat_HP,StatAmount=0), (StatType=eStat_Hacking,StatAmount=0)),\\
 )
; sergeant
+SoldierRanks=(  aAbilityTree=( (AbilityName="Demolition", ApplyToWeaponSlot=eInvSlot_PrimaryWeapon), \\
(AbilityName=" "), \\
(AbilityName="IronCurtain", ApplyToWeaponSlot=eInvSlot_PrimaryWeapon), \\
  ), \\
aStatProgression=((StatType=eStat_Offense,StatAmount=2), (StatType=eStat_HP,StatAmount=0), (StatType=eStat_Hacking,StatAmount=0)),\\
 )
; staff sergeant
+SoldierRanks=(  aAbilityTree=( (AbilityName="ChainShot", ApplyToWeaponSlot=eInvSlot_PrimaryWeapon), \\
(AbilityName=" "), \\
(AbilityName="Mayhem", ApplyToWeaponSlot=eInvSlot_PrimaryWeapon), \\
  ), \\
aStatProgression=((StatType=eStat_Offense,StatAmount=3), (StatType=eStat_HP,StatAmount=1), (StatType=eStat_Hacking,StatAmount=0)),\\
 )
; tech sergeant
+SoldierRanks=(  aAbilityTree=( (AbilityName="CyclicFire", ApplyToWeaponSlot=eInvSlot_PrimaryWeapon), \\
(AbilityName=" "), \\
(AbilityName="DangerZone"), \\
  ), \\
aStatProgression=((StatType=eStat_Offense,StatAmount=2), (StatType=eStat_HP,StatAmount=0), (StatType=eStat_Hacking,StatAmount=0)),\\
 )
;  gunnery sergeant
+SoldierRanks=(  aAbilityTree=( (AbilityName=" "), \\
(AbilityName="TraverseFire", ApplyToWeaponSlot=eInvSlot_PrimaryWeapon), \\
(AbilityName=" "), \\
  ), \\
aStatProgression=((StatType=eStat_Offense,StatAmount=2), (StatType=eStat_HP,StatAmount=0), (StatType=eStat_Hacking,StatAmount=0)),\\
 )
; master sergeant
+SoldierRanks=(  aAbilityTree=( (AbilityName="SaturationFire", ApplyToWeaponSlot=eInvSlot_PrimaryWeapon), \\
(AbilityName=" "), \\
(AbilityName="KillZone", ApplyToWeaponSlot=eInvSlot_PrimaryWeapon), \\
  ), \\
aStatProgression=((StatType=eStat_Offense,StatAmount=2), (StatType=eStat_HP,StatAmount=1), (StatType=eStat_Hacking,StatAmount=0)),\\
 )</v>
      </c>
      <c r="P16" t="str">
        <f t="shared" ca="1" si="13"/>
        <v>+Loadouts=(LoadoutName="SquaddieLWD_Gunner", Items[0]=(Item="Cannon_CV"), Items[1]=(Item="CombatKnife_CV"))</v>
      </c>
      <c r="Q16" t="str">
        <f t="shared" ca="1" si="14"/>
        <v>+DEBUG_StartingSoldierClasses="LWD_Gunner"</v>
      </c>
      <c r="R16" t="str">
        <f t="shared" ca="1" si="15"/>
        <v>[LWD_Gunner X2SoldierClassTemplate]
+DisplayName="Gunner"
+ClassSummary="The Gunner is trained to use heavy automatic weapons, able to cover the squad with suppressive fire or inflict significant damage in direct attacks. They also carry a combat knife as a backup."
+LeftAbilityTreeTitle="SAW Gunner"
+RightAbilityTreeTitle="Machinegunner"
; Nicknames
RandomNickNames[0]="Angel"
RandomNickNames[1]="Bargain"
RandomNickNames[2]="Beta"
RandomNickNames[3]="Bishop"
RandomNickNames[4]="Dakka"
RandomNickNames[5]="Breaker"
RandomNickNames[6]="Broker"
RandomNickNames[7]="Conquest"
RandomNickNames[8]="Deacon"
RandomNickNames[9]="Doomtrain"
RandomNickNames[10]="Dr. Feelgood"
RandomNickNames[11]="Famine"
RandomNickNames[12]="More"
RandomNickNames[13]="Firewall"
RandomNickNames[14]="Genius"
RandomNickNames[15]="Gizmo"
RandomNickNames[16]="Jester"
RandomNickNames[17]="Tiny"
RandomNickNames[18]="Lightning"
RandomNickNames[19]="Mayday"
RandomNickNames[20]="Mega"
RandomNickNames[21]="Newton"
RandomNickNames[22]="Ragtime"
RandomNickNames[23]="Rascal"
RandomNickNames[24]="Rattler"
RandomNickNames[25]="Revelation"
RandomNickNames[26]="Skipper"
RandomNickNames[27]="Thunder"
RandomNickNames[28]="Oak"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6" t="s">
        <v>340</v>
      </c>
    </row>
    <row r="17" spans="1:19" x14ac:dyDescent="0.25">
      <c r="A17" t="str">
        <f>IFERROR(INDEX(Sheets,ROWS($A$3:$A17)),"")</f>
        <v>Hacker</v>
      </c>
      <c r="B17" t="str">
        <f t="shared" ref="B17:K17" si="25">IF(A17&lt;&gt;B$2,A17,"")</f>
        <v>Hacker</v>
      </c>
      <c r="C17" t="str">
        <f t="shared" si="25"/>
        <v>Hacker</v>
      </c>
      <c r="D17" t="str">
        <f t="shared" si="25"/>
        <v>Hacker</v>
      </c>
      <c r="E17" t="str">
        <f t="shared" si="25"/>
        <v>Hacker</v>
      </c>
      <c r="F17" t="str">
        <f t="shared" si="25"/>
        <v>Hacker</v>
      </c>
      <c r="G17" t="str">
        <f t="shared" si="25"/>
        <v>Hacker</v>
      </c>
      <c r="H17" t="str">
        <f t="shared" si="25"/>
        <v>Hacker</v>
      </c>
      <c r="I17" t="str">
        <f t="shared" si="25"/>
        <v>Hacker</v>
      </c>
      <c r="J17" t="str">
        <f t="shared" si="25"/>
        <v>Hacker</v>
      </c>
      <c r="K17" t="str">
        <f t="shared" si="25"/>
        <v>Hacker</v>
      </c>
      <c r="L17" t="str">
        <f t="shared" si="7"/>
        <v>Hacker</v>
      </c>
      <c r="N17" t="str">
        <f t="shared" ca="1" si="11"/>
        <v>+SoldierClasses=LWD_Hacker</v>
      </c>
      <c r="O17" t="str">
        <f t="shared" ca="1" si="12"/>
        <v>[LWD_Hacker X2SoldierClassTemplate]
+bMultiplayerOnly=0
+ClassPoints=4
+IconImage="img:///UILibrary_LWD.class_hacker"
+NumInForcedDeck=1
+NumInDeck=4
+KillAssistsPerKill=4
+SquaddieLoadout=SquaddieLWD_Hacker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(AbilityName="ShadowOps_ReverseEngineering"), \\
(AbilityName="HaywireProtocol", ApplyToWeaponSlot=eInvSlot_SecondaryWeapon), \\
\\
\\
\\
  ), \\
aStatProgression=((StatType=eStat_Offense,StatAmount=2), (StatType=eStat_HP,StatAmount=0), (StatType=eStat_Hacking,StatAmount=40), (StatType=eStat_CombatSims,StatAmount=1), (StatType=eStat_Will,StatAmount=4)),\\
 )
; lance corporal
+SoldierRanks=(  aAbilityTree=( (AbilityName="ShadowOps_StealthProtocol", ApplyToWeaponSlot=eInvSlot_SecondaryWeapon), \\
(AbilityName=" "), \\
(AbilityName="Interference", ApplyToWeaponSlot=eInvSlot_SecondaryWeapon), \\
  ), \\
aStatProgression=((StatType=eStat_Offense,StatAmount=2), (StatType=eStat_HP,StatAmount=1), (StatType=eStat_Hacking,StatAmount=5), (StatType=eStat_Will,StatAmount=4)),\\
 )
; corporal
+SoldierRanks=(  aAbilityTree=( (AbilityName=" "), \\
(AbilityName="AidProtocol", ApplyToWeaponSlot=eInvSlot_SecondaryWeapon), \\
(AbilityName=" "), \\
  ), \\
aStatProgression=((StatType=eStat_Offense,StatAmount=2), (StatType=eStat_HP,StatAmount=0), (StatType=eStat_Hacking,StatAmount=5)),\\
 )
; sergeant
+SoldierRanks=(  aAbilityTree=( (AbilityName="ThreatAssessment", ApplyToWeaponSlot=eInvSlot_Unknown), \\
(AbilityName=" "), \\
(AbilityName="CombatProtocol", ApplyToWeaponSlot=eInvSlot_SecondaryWeapon), \\
  ), \\
aStatProgression=((StatType=eStat_Offense,StatAmount=2), (StatType=eStat_HP,StatAmount=0), (StatType=eStat_Hacking,StatAmount=5)),\\
 )
; staff sergeant
+SoldierRanks=(  aAbilityTree=( (AbilityName="ShadowOps_SensorOverlays"), \\
(AbilityName=" "), \\
(AbilityName="Failsafe", ApplyToWeaponSlot=eInvSlot_SecondaryWeapon), \\
  ), \\
aStatProgression=((StatType=eStat_Offense,StatAmount=2), (StatType=eStat_HP,StatAmount=1), (StatType=eStat_Hacking,StatAmount=5)),\\
 )
; tech sergeant
+SoldierRanks=(  aAbilityTree=( (AbilityName="ScanningProtocol", ApplyToWeaponSlot=eInvSlot_SecondaryWeapon), \\
(AbilityName=" "), \\
(AbilityName="Trojan", ApplyToWeaponSlot=eInvSlot_SecondaryWeapon), \\
  ), \\
aStatProgression=((StatType=eStat_Offense,StatAmount=2), (StatType=eStat_HP,StatAmount=0), (StatType=eStat_Hacking,StatAmount=5)),\\
 )
;  gunnery sergeant
+SoldierRanks=(  aAbilityTree=( (AbilityName=" "), \\
(AbilityName="LWD_SelfAware", ApplyToWeaponSlot=eInvSlot_SecondaryWeapon), \\
(AbilityName=" "), \\
  ), \\
aStatProgression=((StatType=eStat_Offense,StatAmount=2), (StatType=eStat_HP,StatAmount=0), (StatType=eStat_Hacking,StatAmount=5)),\\
 )
; master sergeant
+SoldierRanks=(  aAbilityTree=( (AbilityName="Tradecraft"), \\
(AbilityName=" "), \\
(AbilityName="FullOverride", ApplyToWeaponSlot=eInvSlot_SecondaryWeapon), \\
  ), \\
aStatProgression=((StatType=eStat_Offense,StatAmount=2), (StatType=eStat_HP,StatAmount=1), (StatType=eStat_Hacking,StatAmount=5)),\\
 )</v>
      </c>
      <c r="P17" t="str">
        <f t="shared" ca="1" si="13"/>
        <v>+Loadouts=(LoadoutName="SquaddieLWD_Hacker", Items[0]=(Item="AssaultRifle_CV"), Items[1]=(Item="Gremlin_CV"))</v>
      </c>
      <c r="Q17" t="str">
        <f t="shared" ca="1" si="14"/>
        <v>+DEBUG_StartingSoldierClasses="LWD_Hacker"</v>
      </c>
      <c r="R17" t="str">
        <f t="shared" ca="1" si="15"/>
        <v>[LWD_Hacker X2SoldierClassTemplate]
+DisplayName="Hacker"
+ClassSummary="The Hacker is a a savant when it comes to computers. They use their GREMLINs to keep Advent's systems on the fritz."
+LeftAbilityTreeTitle="Operator"
+RightAbilityTreeTitle="Decker"
; Nicknames
RandomNickNames[0]="Angel"
RandomNickNames[1]="Bargain"
RandomNickNames[2]="Beta"
RandomNickNames[3]="Bishop"
RandomNickNames[4]="Malware"
RandomNickNames[5]="Breaker"
RandomNickNames[6]="Broker"
RandomNickNames[7]="Conquest"
RandomNickNames[8]="Deacon"
RandomNickNames[9]="Professor"
RandomNickNames[10]="Spybot"
RandomNickNames[11]="Famine"
RandomNickNames[12]="Feedback"
RandomNickNames[13]="Firewall"
RandomNickNames[14]="Genius"
RandomNickNames[15]="Gizmo"
RandomNickNames[16]="Jester"
RandomNickNames[17]="Jolt"
RandomNickNames[18]="Lightning"
RandomNickNames[19]="Worm"
RandomNickNames[20]="Mega"
RandomNickNames[21]="Newton"
RandomNickNames[22]="Botnet"
RandomNickNames[23]="Rascal"
RandomNickNames[24]="Rattler"
RandomNickNames[25]="Revelation"
RandomNickNames[26]="Skipper"
RandomNickNames[27]="Thunder"
RandomNickNames[28]="Undertaker"
RandomNickNames[29]="War"
RandomNickNames[30]="Whoopsie"
RandomNickNames[31]="Virus"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7" t="s">
        <v>340</v>
      </c>
    </row>
    <row r="18" spans="1:19" x14ac:dyDescent="0.25">
      <c r="A18" t="str">
        <f>IFERROR(INDEX(Sheets,ROWS($A$3:$A18)),"")</f>
        <v>Hunter</v>
      </c>
      <c r="B18" t="str">
        <f t="shared" ref="B18:K18" si="26">IF(A18&lt;&gt;B$2,A18,"")</f>
        <v>Hunter</v>
      </c>
      <c r="C18" t="str">
        <f t="shared" si="26"/>
        <v>Hunter</v>
      </c>
      <c r="D18" t="str">
        <f t="shared" si="26"/>
        <v>Hunter</v>
      </c>
      <c r="E18" t="str">
        <f t="shared" si="26"/>
        <v>Hunter</v>
      </c>
      <c r="F18" t="str">
        <f t="shared" si="26"/>
        <v>Hunter</v>
      </c>
      <c r="G18" t="str">
        <f t="shared" si="26"/>
        <v>Hunter</v>
      </c>
      <c r="H18" t="str">
        <f t="shared" si="26"/>
        <v>Hunter</v>
      </c>
      <c r="I18" t="str">
        <f t="shared" si="26"/>
        <v>Hunter</v>
      </c>
      <c r="J18" t="str">
        <f t="shared" si="26"/>
        <v>Hunter</v>
      </c>
      <c r="K18" t="str">
        <f t="shared" si="26"/>
        <v>Hunter</v>
      </c>
      <c r="L18" t="str">
        <f t="shared" si="7"/>
        <v>Hunter</v>
      </c>
      <c r="N18" t="str">
        <f t="shared" ca="1" si="11"/>
        <v>+SoldierClasses=LWD_Hunter</v>
      </c>
      <c r="O18" t="str">
        <f t="shared" ca="1" si="12"/>
        <v>[LWD_Hunter X2SoldierClassTemplate]
+bMultiplayerOnly=0
+ClassPoints=4
+IconImage="img:///UILibrary_SOHunter.class_hunter"
+NumInForcedDeck=1
+NumInDeck=4
+KillAssistsPerKill=5
+SquaddieLoadout=SquaddieLWD_Hunter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(AbilityName="Slash_LW", ApplyToWeaponSlot=eInvSlot_SecondaryWeapon), \\
(AbilityName="SwordSlice_LW", ApplyToWeaponSlot=eInvSlot_SecondaryWeapon), \\
(AbilityName="Squadsight"), \\
\\
\\
\\
  ), \\
aStatProgression=((StatType=eStat_Offense,StatAmount=5), (StatType=eStat_HP,StatAmount=0), (StatType=eStat_Hacking,StatAmount=0), (StatType=eStat_CombatSims,StatAmount=1), (StatType=eStat_Will,StatAmount=3)),\\
 )
; lance corporal
+SoldierRanks=(  aAbilityTree=( (AbilityName="SnapShot", ApplyToWeaponSlot=eInvSlot_PrimaryWeapon), \\
(AbilityName=" "), \\
(AbilityName="ShadowOps_Reposition", ApplyToWeaponSlot=eInvSlot_PrimaryWeapon), \\
  ), \\
aStatProgression=((StatType=eStat_Offense,StatAmount=4), (StatType=eStat_HP,StatAmount=1), (StatType=eStat_Hacking,StatAmount=0), (StatType=eStat_Will,StatAmount=3)),\\
 )
; corporal
+SoldierRanks=(  aAbilityTree=( (AbilityName=" "), \\
(AbilityName="ShadowOps_FirstStrike", ApplyToWeaponSlot=eInvSlot_PrimaryWeapon), \\
(AbilityName=" "), \\
  ), \\
aStatProgression=((StatType=eStat_Offense,StatAmount=4), (StatType=eStat_HP,StatAmount=0), (StatType=eStat_Hacking,StatAmount=0)),\\
 )
; sergeant
+SoldierRanks=(  aAbilityTree=( (AbilityName="ShadowOps_Stalker"), \\
(AbilityName=" "), \\
(AbilityName="Blademaster", ApplyToWeaponSlot=eInvSlot_SecondaryWeapon), \\
  ), \\
aStatProgression=((StatType=eStat_Offense,StatAmount=3), (StatType=eStat_HP,StatAmount=0), (StatType=eStat_Hacking,StatAmount=0)),\\
 )
; staff sergeant
+SoldierRanks=(  aAbilityTree=( (AbilityName="ShadowOps_Bullseye", ApplyToWeaponSlot=eInvSlot_PrimaryWeapon), \\
(AbilityName=" "), \\
(AbilityName="ShadowOps_Tracking"), \\
  ), \\
aStatProgression=((StatType=eStat_Offense,StatAmount=3), (StatType=eStat_HP,StatAmount=1), (StatType=eStat_Hacking,StatAmount=0)),\\
 )
; tech sergeant
+SoldierRanks=(  aAbilityTree=( (AbilityName="ShadowOps_Precision"), \\
(AbilityName=" "), \\
(AbilityName="LowProfile"), \\
  ), \\
aStatProgression=((StatType=eStat_Offense,StatAmount=3), (StatType=eStat_HP,StatAmount=0), (StatType=eStat_Hacking,StatAmount=0)),\\
 )
;  gunnery sergeant
+SoldierRanks=(  aAbilityTree=( (AbilityName=" "), \\
(AbilityName="ShadowOps_Assassin", ApplyToWeaponSlot=eInvSlot_PrimaryWeapon), \\
(AbilityName=" "), \\
  ), \\
aStatProgression=((StatType=eStat_Offense,StatAmount=3), (StatType=eStat_HP,StatAmount=0), (StatType=eStat_Hacking,StatAmount=0)),\\
 )
; master sergeant
+SoldierRanks=(  aAbilityTree=( (AbilityName="InTheZone", ApplyToWeaponSlot=eInvSlot_PrimaryWeapon), \\
(AbilityName=" "), \\
(AbilityName="ShadowOps_SliceAndDice", ApplyToWeaponSlot=eInvSlot_SecondaryWeapon), \\
  ), \\
aStatProgression=((StatType=eStat_Offense,StatAmount=3), (StatType=eStat_HP,StatAmount=1), (StatType=eStat_Hacking,StatAmount=0)),\\
 )</v>
      </c>
      <c r="P18" t="str">
        <f t="shared" ca="1" si="13"/>
        <v>+Loadouts=(LoadoutName="SquaddieLWD_Hunter", Items[0]=(Item="SniperRifle_CV"), Items[1]=(Item="Sword_CV"))</v>
      </c>
      <c r="Q18" t="str">
        <f t="shared" ca="1" si="14"/>
        <v>+DEBUG_StartingSoldierClasses="LWD_Hunter"</v>
      </c>
      <c r="R18" t="str">
        <f t="shared" ca="1" si="15"/>
        <v>[LWD_Hunter X2SoldierClassTemplate]
+DisplayName="Hunter"
+ClassSummary="Our Hunters are a versatile sort, carrying sniper rifles for distant engagements, and swords for when they need to get close. They're good at staying on the move."
+LeftAbilityTreeTitle="Sportsman"
+RightAbilityTreeTitle="Survivalist"
; Nicknames
RandomNickNames[0]="Angel"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RandomNickNames[15]="Camper"
RandomNickNames[16]="Jester"
RandomNickNames[17]="Jolt"
RandomNickNames[18]="Lightning"
RandomNickNames[19]="Mayday"
RandomNickNames[20]="Eyes"
RandomNickNames[21]="Savage"
RandomNickNames[22]="Cleanup"
RandomNickNames[23]="Janitor"
RandomNickNames[24]="Rattler"
RandomNickNames[25]="Revelation"
RandomNickNames[26]="One-Shot"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8" t="s">
        <v>340</v>
      </c>
    </row>
    <row r="19" spans="1:19" x14ac:dyDescent="0.25">
      <c r="A19" t="str">
        <f>IFERROR(INDEX(Sheets,ROWS($A$3:$A19)),"")</f>
        <v>Marksman</v>
      </c>
      <c r="B19" t="str">
        <f t="shared" ref="B19:K19" si="27">IF(A19&lt;&gt;B$2,A19,"")</f>
        <v>Marksman</v>
      </c>
      <c r="C19" t="str">
        <f t="shared" si="27"/>
        <v>Marksman</v>
      </c>
      <c r="D19" t="str">
        <f t="shared" si="27"/>
        <v>Marksman</v>
      </c>
      <c r="E19" t="str">
        <f t="shared" si="27"/>
        <v>Marksman</v>
      </c>
      <c r="F19" t="str">
        <f t="shared" si="27"/>
        <v>Marksman</v>
      </c>
      <c r="G19" t="str">
        <f t="shared" si="27"/>
        <v>Marksman</v>
      </c>
      <c r="H19" t="str">
        <f t="shared" si="27"/>
        <v>Marksman</v>
      </c>
      <c r="I19" t="str">
        <f t="shared" si="27"/>
        <v>Marksman</v>
      </c>
      <c r="J19" t="str">
        <f t="shared" si="27"/>
        <v>Marksman</v>
      </c>
      <c r="K19" t="str">
        <f t="shared" si="27"/>
        <v>Marksman</v>
      </c>
      <c r="L19" t="str">
        <f t="shared" si="7"/>
        <v>Marksman</v>
      </c>
      <c r="N19" t="str">
        <f t="shared" ca="1" si="11"/>
        <v>+SoldierClasses=LWD_Marksman</v>
      </c>
      <c r="O19" t="str">
        <f t="shared" ca="1" si="12"/>
        <v>[LWD_Marksman X2SoldierClassTemplate]
+bMultiplayerOnly=0
+ClassPoints=4
+IconImage="img:///UILibrary_LWD.class_marksman"
+NumInForcedDeck=1
+NumInDeck=4
+KillAssistsPerKill=5
+SquaddieLoadout=SquaddieLWD_Marksman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(AbilityName="PointBlank", ApplyToWeaponSlot=eInvSlot_SecondaryWeapon), \\
(AbilityName="BothBarrels", ApplyToWeaponSlot=eInvSlot_SecondaryWeapon), \\
(AbilityName="SnapShot", ApplyToWeaponSlot=eInvSlot_PrimaryWeapon), \\
\\
\\
\\
  ), \\
aStatProgression=((StatType=eStat_Offense,StatAmount=3), (StatType=eStat_HP,StatAmount=0), (StatType=eStat_Hacking,StatAmount=0), (StatType=eStat_CombatSims,StatAmount=1), (StatType=eStat_Will,StatAmount=3)),\\
 )
; lance corporal
+SoldierRanks=(  aAbilityTree=( (AbilityName="Squadsight"), \\
(AbilityName=" "), \\
(AbilityName="LWD_SpareShells", ApplyToWeaponSlot=eInvSlot_SecondaryWeapon), \\
  ), \\
aStatProgression=((StatType=eStat_Offense,StatAmount=3), (StatType=eStat_HP,StatAmount=0), (StatType=eStat_Hacking,StatAmount=0), (StatType=eStat_Will,StatAmount=3)),\\
 )
; corporal
+SoldierRanks=(  aAbilityTree=( (AbilityName=" "), \\
(AbilityName="PrecisionShot", ApplyToWeaponSlot=eInvSlot_PrimaryWeapon), \\
(AbilityName=" "), \\
  ), \\
aStatProgression=((StatType=eStat_Offense,StatAmount=3), (StatType=eStat_HP,StatAmount=0), (StatType=eStat_Hacking,StatAmount=0)),\\
 )
; sergeant
+SoldierRanks=(  aAbilityTree=( (AbilityName="LowProfile"), \\
(AbilityName=" "), \\
(AbilityName="HitWhereItHurts", ApplyToWeaponSlot=eInvSlot_PrimaryWeapon), \\
  ), \\
aStatProgression=((StatType=eStat_Offense,StatAmount=3), (StatType=eStat_HP,StatAmount=1), (StatType=eStat_Hacking,StatAmount=0)),\\
 )
; staff sergeant
+SoldierRanks=(  aAbilityTree=( (AbilityName="CenterMass", ApplyToWeaponSlot=eInvSlot_PrimaryWeapon), \\
(AbilityName=" "), \\
(AbilityName="LWD_TightChoke", ApplyToWeaponSlot=eInvSlot_SecondaryWeapon), \\
  ), \\
aStatProgression=((StatType=eStat_Offense,StatAmount=3), (StatType=eStat_HP,StatAmount=0), (StatType=eStat_Hacking,StatAmount=0)),\\
 )
; tech sergeant
+SoldierRanks=(  aAbilityTree=( (AbilityName="GrazingFire", ApplyToWeaponSlot=eInvSlot_PrimaryWeapon), \\
(AbilityName=" "), \\
(AbilityName="Aggression", ApplyToWeaponSlot=eInvSlot_PrimaryWeapon), \\
  ), \\
aStatProgression=((StatType=eStat_Offense,StatAmount=3), (StatType=eStat_HP,StatAmount=0), (StatType=eStat_Hacking,StatAmount=0)),\\
 )
;  gunnery sergeant
+SoldierRanks=(  aAbilityTree=( (AbilityName=" "), \\
(AbilityName="HuntersInstinct", ApplyToWeaponSlot=eInvSlot_PrimaryWeapon), \\
(AbilityName=" "), \\
  ), \\
aStatProgression=((StatType=eStat_Offense,StatAmount=3), (StatType=eStat_HP,StatAmount=0), (StatType=eStat_Hacking,StatAmount=0)),\\
 )
; master sergeant
+SoldierRanks=(  aAbilityTree=( (AbilityName="DoubleTap", ApplyToWeaponSlot=eInvSlot_PrimaryWeapon), \\
(AbilityName=" "), \\
(AbilityName="LWD_WhitesOfTheirEyes", ApplyToWeaponSlot=eInvSlot_SecondaryWeapon), \\
  ), \\
aStatProgression=((StatType=eStat_Offense,StatAmount=3), (StatType=eStat_HP,StatAmount=1), (StatType=eStat_Hacking,StatAmount=0)),\\
 )</v>
      </c>
      <c r="P19" t="str">
        <f t="shared" ca="1" si="13"/>
        <v>+Loadouts=(LoadoutName="SquaddieLWD_Marksman", Items[0]=(Item="SniperRifle_CV"), Items[1]=(Item="SawedOffShotgun_CV"))</v>
      </c>
      <c r="Q19" t="str">
        <f t="shared" ca="1" si="14"/>
        <v>+DEBUG_StartingSoldierClasses="LWD_Marksman"</v>
      </c>
      <c r="R19" t="str">
        <f t="shared" ca="1" si="15"/>
        <v>[LWD_Marksman X2SoldierClassTemplate]
+DisplayName="Marksman"
+ClassSummary="The Marksman is more comfortable with a sniper rifle than most of our soldiers, and carries a sawed-off shotgun for closer ranges."
+LeftAbilityTreeTitle="Rifleman"
+RightAbilityTreeTitle="Shotgunner"
; Nicknames
RandomNickNames[0]="Agent"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RandomNickNames[21]="Eyes"
RandomNickNames[22]="Ragtime"
RandomNickNames[23]="Rascal"
RandomNickNames[24]="Rattler"
RandomNickNames[25]="Revelation"
RandomNickNames[26]="Hitman"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9" t="s">
        <v>340</v>
      </c>
    </row>
    <row r="20" spans="1:19" x14ac:dyDescent="0.25">
      <c r="A20" t="str">
        <f>IFERROR(INDEX(Sheets,ROWS($A$3:$A20)),"")</f>
        <v>Medic</v>
      </c>
      <c r="B20" t="str">
        <f t="shared" ref="B20:K20" si="28">IF(A20&lt;&gt;B$2,A20,"")</f>
        <v>Medic</v>
      </c>
      <c r="C20" t="str">
        <f t="shared" si="28"/>
        <v>Medic</v>
      </c>
      <c r="D20" t="str">
        <f t="shared" si="28"/>
        <v>Medic</v>
      </c>
      <c r="E20" t="str">
        <f t="shared" si="28"/>
        <v>Medic</v>
      </c>
      <c r="F20" t="str">
        <f t="shared" si="28"/>
        <v>Medic</v>
      </c>
      <c r="G20" t="str">
        <f t="shared" si="28"/>
        <v>Medic</v>
      </c>
      <c r="H20" t="str">
        <f t="shared" si="28"/>
        <v>Medic</v>
      </c>
      <c r="I20" t="str">
        <f t="shared" si="28"/>
        <v>Medic</v>
      </c>
      <c r="J20" t="str">
        <f t="shared" si="28"/>
        <v>Medic</v>
      </c>
      <c r="K20" t="str">
        <f t="shared" si="28"/>
        <v>Medic</v>
      </c>
      <c r="L20" t="str">
        <f t="shared" si="7"/>
        <v>Medic</v>
      </c>
      <c r="N20" t="str">
        <f t="shared" ca="1" si="11"/>
        <v>+SoldierClasses=LWD_Medic</v>
      </c>
      <c r="O20" t="str">
        <f t="shared" ca="1" si="12"/>
        <v>[LWD_Medic X2SoldierClassTemplate]
+bMultiplayerOnly=0
+ClassPoints=4
+IconImage="img:///UILibrary_LWD.class_medic"
+NumInForcedDeck=1
+NumInDeck=4
+KillAssistsPerKill=3
+SquaddieLoadout=SquaddieLWD_Medic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(AbilityName="AidProtocol", ApplyToWeaponSlot=eInvSlot_SecondaryWeapon), \\
(AbilityName="MedicalProtocol", ApplyToWeaponSlot=eInvSlot_SecondaryWeapon), \\
\\
\\
\\
  ), \\
aStatProgression=((StatType=eStat_Offense,StatAmount=2), (StatType=eStat_HP,StatAmount=0), (StatType=eStat_Hacking,StatAmount=0), (StatType=eStat_CombatSims,StatAmount=1), (StatType=eStat_Will,StatAmount=6)),\\
 )
; lance corporal
+SoldierRanks=(  aAbilityTree=( (AbilityName="RevivalProtocol", ApplyToWeaponSlot=eInvSlot_SecondaryWeapon), \\
(AbilityName=" "), \\
(AbilityName="ThreatAssessment", ApplyToWeaponSlot=eInvSlot_Unknown), \\
  ), \\
aStatProgression=((StatType=eStat_Offense,StatAmount=2), (StatType=eStat_HP,StatAmount=1), (StatType=eStat_Hacking,StatAmount=0), (StatType=eStat_Will,StatAmount=6)),\\
 )
; corporal
+SoldierRanks=(  aAbilityTree=( (AbilityName=" "), \\
(AbilityName="FieldSurgeon", ApplyToWeaponSlot=eInvSlot_Unknown), \\
(AbilityName=" "), \\
  ), \\
aStatProgression=((StatType=eStat_Offense,StatAmount=2), (StatType=eStat_HP,StatAmount=0), (StatType=eStat_Hacking,StatAmount=0)),\\
 )
; sergeant
+SoldierRanks=(  aAbilityTree=( (AbilityName="FieldMedic", ApplyToWeaponSlot=eInvSlot_Unknown), \\
(AbilityName=" "), \\
(AbilityName="ShadowOps_ShieldProtocol", ApplyToWeaponSlot=eInvSlot_SecondaryWeapon), \\
  ), \\
aStatProgression=((StatType=eStat_Offense,StatAmount=2), (StatType=eStat_HP,StatAmount=0), (StatType=eStat_Hacking,StatAmount=0)),\\
 )
; staff sergeant
+SoldierRanks=(  aAbilityTree=( (AbilityName="ShadowOps_CoverMe"), \\
(AbilityName=" "), \\
(AbilityName="EverVigilant", ApplyToWeaponSlot=eInvSlot_Unknown), \\
  ), \\
aStatProgression=((StatType=eStat_Offense,StatAmount=2), (StatType=eStat_HP,StatAmount=1), (StatType=eStat_Hacking,StatAmount=0)),\\
 )
; tech sergeant
+SoldierRanks=(  aAbilityTree=( (AbilityName="Savior", ApplyToWeaponSlot=eInvSlot_Unknown), \\
(AbilityName=" "), \\
(AbilityName="Sentinel", ApplyToWeaponSlot=eInvSlot_Unknown), \\
  ), \\
aStatProgression=((StatType=eStat_Offense,StatAmount=2), (StatType=eStat_HP,StatAmount=0), (StatType=eStat_Hacking,StatAmount=0)),\\
 )
;  gunnery sergeant
+SoldierRanks=(  aAbilityTree=( (AbilityName=" "), \\
(AbilityName="DeepCover"), \\
(AbilityName=" "), \\
  ), \\
aStatProgression=((StatType=eStat_Offense,StatAmount=2), (StatType=eStat_HP,StatAmount=0), (StatType=eStat_Hacking,StatAmount=0)),\\
 )
; master sergeant
+SoldierRanks=(  aAbilityTree=( (AbilityName="RestorativeMist", ApplyToWeaponSlot=eInvSlot_SecondaryWeapon), \\
(AbilityName=" "), \\
(AbilityName="ShadowOps_Focus", ApplyToWeaponSlot=eInvSlot_PrimaryWeapon), \\
  ), \\
aStatProgression=((StatType=eStat_Offense,StatAmount=2), (StatType=eStat_HP,StatAmount=1), (StatType=eStat_Hacking,StatAmount=0)),\\
 )</v>
      </c>
      <c r="P20" t="str">
        <f t="shared" ca="1" si="13"/>
        <v>+Loadouts=(LoadoutName="SquaddieLWD_Medic", Items[0]=(Item="AssaultRifle_CV"), Items[1]=(Item="Gremlin_CV"))</v>
      </c>
      <c r="Q20" t="str">
        <f t="shared" ca="1" si="14"/>
        <v>+DEBUG_StartingSoldierClasses="LWD_Medic"</v>
      </c>
      <c r="R20" t="str">
        <f t="shared" ca="1" si="15"/>
        <v>[LWD_Medic X2SoldierClassTemplate]
+DisplayName="Medic"
+ClassSummary="The Medic uses their GREMLIN to keep their squad in tip-top fighting shape. "
+LeftAbilityTreeTitle="Healer"
+RightAbilityTreeTitle="Ally"
; Nicknames
RandomNickNames[0]="Angel"
RandomNickNames[1]="Bargain"
RandomNickNames[2]="Beta"
RandomNickNames[3]="Bishop"
RandomNickNames[4]="Bones"
RandomNickNames[5]="Breaker"
RandomNickNames[6]="Broker"
RandomNickNames[7]="Doc"
RandomNickNames[8]="Deacon"
RandomNickNames[9]="Doomtrain"
RandomNickNames[10]="Dr. Feelgood"
RandomNickNames[11]="Famine"
RandomNickNames[12]="Feedback"
RandomNickNames[13]="Band-Aid"
RandomNickNames[14]="Genius"
RandomNickNames[15]="Gizmo"
RandomNickNames[16]="Jester"
RandomNickNames[17]="Jolt"
RandomNickNames[18]="Lightning"
RandomNickNames[19]="Mayday"
RandomNickNames[20]="Mega"
RandomNickNames[21]="Newton"
RandomNickNames[22]="Chance"
RandomNickNames[23]="Rascal"
RandomNickNames[24]="Rattler"
RandomNickNames[25]="Revelation"
RandomNickNames[26]="Skipper"
RandomNickNames[27]="Thunder"
RandomNickNames[28]="Undertaker"
RandomNickNames[29]="War"
RandomNickNames[30]="Whoopsie"
RandomNickNames[31]="Red Cross"
; Male Nicknames
RandomNickNames_Male[0]="Candyman"
RandomNickNames_Male[1]="Magic Man"
RandomNickNames_Male[2]="Priest"
RandomNickNames_Male[3]="Rainman"
RandomNickNames_Male[4]="Mr. Fixer"
; Female Nicknames
RandomNickNames_Female[0]="Priestess"
RandomNickNames_Female[1]="Wolfmother"
RandomNickNames_Female[2]="Black Widow"
RandomNickNames_Female[3]="Duchess"
RandomNickNames_Female[4]="Nurse Joy"</v>
      </c>
      <c r="S20" t="s">
        <v>340</v>
      </c>
    </row>
    <row r="21" spans="1:19" x14ac:dyDescent="0.25">
      <c r="A21" t="str">
        <f>IFERROR(INDEX(Sheets,ROWS($A$3:$A21)),"")</f>
        <v>Partisan</v>
      </c>
      <c r="B21" t="str">
        <f t="shared" ref="B21:K21" si="29">IF(A21&lt;&gt;B$2,A21,"")</f>
        <v>Partisan</v>
      </c>
      <c r="C21" t="str">
        <f t="shared" si="29"/>
        <v>Partisan</v>
      </c>
      <c r="D21" t="str">
        <f t="shared" si="29"/>
        <v>Partisan</v>
      </c>
      <c r="E21" t="str">
        <f t="shared" si="29"/>
        <v>Partisan</v>
      </c>
      <c r="F21" t="str">
        <f t="shared" si="29"/>
        <v>Partisan</v>
      </c>
      <c r="G21" t="str">
        <f t="shared" si="29"/>
        <v>Partisan</v>
      </c>
      <c r="H21" t="str">
        <f t="shared" si="29"/>
        <v>Partisan</v>
      </c>
      <c r="I21" t="str">
        <f t="shared" si="29"/>
        <v>Partisan</v>
      </c>
      <c r="J21" t="str">
        <f t="shared" si="29"/>
        <v>Partisan</v>
      </c>
      <c r="K21" t="str">
        <f t="shared" si="29"/>
        <v>Partisan</v>
      </c>
      <c r="L21" t="str">
        <f t="shared" si="7"/>
        <v>Partisan</v>
      </c>
      <c r="N21" t="str">
        <f t="shared" ca="1" si="11"/>
        <v>+SoldierClasses=LWD_Partisan</v>
      </c>
      <c r="O21" t="str">
        <f t="shared" ca="1" si="12"/>
        <v>[LWD_Partisan X2SoldierClassTemplate]
+bMultiplayerOnly=0
+ClassPoints=4
+IconImage="img:///UILibrary_LWD.class_partisan"
+NumInForcedDeck=1
+NumInDeck=4
+KillAssistsPerKill=4
+SquaddieLoadout=SquaddieLWD_Partisan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(AbilityName="LightningReflexes_LW", ApplyToWeaponSlot=eInvSlot_Unknown), \\
\\
\\
\\
\\
  ), \\
aStatProgression=((StatType=eStat_Offense,StatAmount=2), (StatType=eStat_HP,StatAmount=0), (StatType=eStat_Hacking,StatAmount=0), (StatType=eStat_CombatSims,StatAmount=1), (StatType=eStat_Will,StatAmount=5)),\\
 )
; lance corporal
+SoldierRanks=(  aAbilityTree=( (AbilityName="LWD_GreasedLightning", ApplyToWeaponSlot=eInvSlot_SecondaryWeapon), \\
(AbilityName=" "), \\
(AbilityName="Flush", ApplyToWeaponSlot=eInvSlot_PrimaryWeapon), \\
  ), \\
aStatProgression=((StatType=eStat_Offense,StatAmount=2), (StatType=eStat_HP,StatAmount=1), (StatType=eStat_Hacking,StatAmount=0), (StatType=eStat_Will,StatAmount=5)),\\
 )
; corporal
+SoldierRanks=(  aAbilityTree=( (AbilityName=" "), \\
(AbilityName="LWD_CattleProd", ApplyToWeaponSlot=eInvSlot_SecondaryWeapon), \\
(AbilityName=" "), \\
  ), \\
aStatProgression=((StatType=eStat_Offense,StatAmount=2), (StatType=eStat_HP,StatAmount=0), (StatType=eStat_Hacking,StatAmount=0)),\\
 )
; sergeant
+SoldierRanks=(  aAbilityTree=( (AbilityName="Flashbanger"), \\
(AbilityName=" "), \\
(AbilityName="ShadowOps_DisablingShot", ApplyToWeaponSlot=eInvSlot_PrimaryWeapon), \\
  ), \\
aStatProgression=((StatType=eStat_Offense,StatAmount=2), (StatType=eStat_HP,StatAmount=0), (StatType=eStat_Hacking,StatAmount=0)),\\
 )
; staff sergeant
+SoldierRanks=(  aAbilityTree=( (AbilityName="StunGunner", ApplyToWeaponSlot=eInvSlot_SecondaryWeapon), \\
(AbilityName=" "), \\
(AbilityName="ShadowOps_Fearsome"), \\
  ), \\
aStatProgression=((StatType=eStat_Offense,StatAmount=2), (StatType=eStat_HP,StatAmount=1), (StatType=eStat_Hacking,StatAmount=0)),\\
 )
; tech sergeant
+SoldierRanks=(  aAbilityTree=( (AbilityName="StingGrenades", ApplyToWeaponSlot=eInvSlot_SecondaryWeapon), \\
(AbilityName=" "), \\
(AbilityName="IronCurtain", ApplyToWeaponSlot=eInvSlot_PrimaryWeapon), \\
  ), \\
aStatProgression=((StatType=eStat_Offense,StatAmount=2), (StatType=eStat_HP,StatAmount=0), (StatType=eStat_Hacking,StatAmount=0)),\\
 )
;  gunnery sergeant
+SoldierRanks=(  aAbilityTree=( (AbilityName=" "), \\
(AbilityName="HitAndRun", ApplyToWeaponSlot=eInvSlot_PrimaryWeapon), \\
(AbilityName=" "), \\
  ), \\
aStatProgression=((StatType=eStat_Offense,StatAmount=2), (StatType=eStat_HP,StatAmount=0), (StatType=eStat_Hacking,StatAmount=0)),\\
 )
; master sergeant
+SoldierRanks=(  aAbilityTree=( (AbilityName="ChainLightning", ApplyToWeaponSlot=eInvSlot_SecondaryWeapon), \\
(AbilityName=" "), \\
(AbilityName="BulletShred", ApplyToWeaponSlot=eInvSlot_PrimaryWeapon), \\
  ), \\
aStatProgression=((StatType=eStat_Offense,StatAmount=2), (StatType=eStat_HP,StatAmount=1), (StatType=eStat_Hacking,StatAmount=0)),\\
 )</v>
      </c>
      <c r="P21" t="str">
        <f t="shared" ca="1" si="13"/>
        <v>+Loadouts=(LoadoutName="SquaddieLWD_Partisan", Items[0]=(Item="Shotgun_CV"), Items[1]=(Item="Arcthrower_CV"))</v>
      </c>
      <c r="Q21" t="str">
        <f t="shared" ca="1" si="14"/>
        <v>+DEBUG_StartingSoldierClasses="LWD_Partisan"</v>
      </c>
      <c r="R21" t="str">
        <f t="shared" ca="1" si="15"/>
        <v>[LWD_Partisan X2SoldierClassTemplate]
+DisplayName="Partisan"
+ClassSummary="The Partisan makes sure the enemy is never operating at 100%, through their arc thrower, stun grenades, and oppressive fire."
+LeftAbilityTreeTitle="Electrocutioner"
+RightAbilityTreeTitle="Harrasser"
; Nicknames
RandomNickNames[0]="Angel"
RandomNickNames[1]="Bargain"
RandomNickNames[2]="Beta"
RandomNickNames[3]="Bishop"
RandomNickNames[4]="Pikachu"
RandomNickNames[5]="Breaker"
RandomNickNames[6]="Broker"
RandomNickNames[7]="Conquest"
RandomNickNames[8]="Deacon"
RandomNickNames[9]="Doomtrain"
RandomNickNames[10]="Dr. Feelgood"
RandomNickNames[11]="Famine"
RandomNickNames[12]="Feedback"
RandomNickNames[13]="Firewall"
RandomNickNames[14]="Grey Ghost"
RandomNickNames[15]="Gizmo"
RandomNickNames[16]="Jester"
RandomNickNames[17]="Jolt"
RandomNickNames[18]="Lightning"
RandomNickNames[19]="Mayday"
RandomNickNames[20]="Mega"
RandomNickNames[21]="Newton"
RandomNickNames[22]="The Wall"
RandomNickNames[23]="Rascal"
RandomNickNames[24]="Rattler"
RandomNickNames[25]="Revelation"
RandomNickNames[26]="Skipper"
RandomNickNames[27]="Thunder"
RandomNickNames[28]="Undertaker"
RandomNickNames[29]="War"
RandomNickNames[30]="Whoopsie"
RandomNickNames[31]="Zap"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1" t="s">
        <v>340</v>
      </c>
    </row>
    <row r="22" spans="1:19" x14ac:dyDescent="0.25">
      <c r="A22" t="str">
        <f>IFERROR(INDEX(Sheets,ROWS($A$3:$A22)),"")</f>
        <v>Protector</v>
      </c>
      <c r="B22" t="str">
        <f t="shared" ref="B22:K22" si="30">IF(A22&lt;&gt;B$2,A22,"")</f>
        <v>Protector</v>
      </c>
      <c r="C22" t="str">
        <f t="shared" si="30"/>
        <v>Protector</v>
      </c>
      <c r="D22" t="str">
        <f t="shared" si="30"/>
        <v>Protector</v>
      </c>
      <c r="E22" t="str">
        <f t="shared" si="30"/>
        <v>Protector</v>
      </c>
      <c r="F22" t="str">
        <f t="shared" si="30"/>
        <v>Protector</v>
      </c>
      <c r="G22" t="str">
        <f t="shared" si="30"/>
        <v>Protector</v>
      </c>
      <c r="H22" t="str">
        <f t="shared" si="30"/>
        <v>Protector</v>
      </c>
      <c r="I22" t="str">
        <f t="shared" si="30"/>
        <v>Protector</v>
      </c>
      <c r="J22" t="str">
        <f t="shared" si="30"/>
        <v>Protector</v>
      </c>
      <c r="K22" t="str">
        <f t="shared" si="30"/>
        <v>Protector</v>
      </c>
      <c r="L22" t="str">
        <f t="shared" si="7"/>
        <v>Protector</v>
      </c>
      <c r="N22" t="str">
        <f t="shared" ca="1" si="11"/>
        <v>+SoldierClasses=LWD_Protector</v>
      </c>
      <c r="O22" t="str">
        <f t="shared" ca="1" si="12"/>
        <v>[LWD_Protector X2SoldierClassTemplate]
+bMultiplayerOnly=0
+ClassPoints=4
+IconImage="img:///UILibrary_LWD.class_support"
+NumInForcedDeck=1
+NumInDeck=3
+KillAssistsPerKill=4
+SquaddieLoadout=SquaddieLWD_Protector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(AbilityName="ShadowOps_SmokeAndMirrors_LW2", ApplyToWeaponSlot=eInvSlot_SecondaryWeapon), \\
\\
\\
\\
\\
  ), \\
aStatProgression=((StatType=eStat_Offense,StatAmount=2), (StatType=eStat_HP,StatAmount=0), (StatType=eStat_Hacking,StatAmount=0), (StatType=eStat_CombatSims,StatAmount=1), (StatType=eStat_Will,StatAmount=4)),\\
 )
; lance corporal
+SoldierRanks=(  aAbilityTree=( (AbilityName="RapidDeployment"), \\
(AbilityName=" "), \\
(AbilityName="Flashbanger"), \\
  ), \\
aStatProgression=((StatType=eStat_Offense,StatAmount=2), (StatType=eStat_HP,StatAmount=1), (StatType=eStat_Hacking,StatAmount=0), (StatType=eStat_Will,StatAmount=4)),\\
 )
; corporal
+SoldierRanks=(  aAbilityTree=( (AbilityName=" "), \\
(AbilityName="Protector"), \\
(AbilityName=" "), \\
  ), \\
aStatProgression=((StatType=eStat_Offense,StatAmount=2), (StatType=eStat_HP,StatAmount=0), (StatType=eStat_Hacking,StatAmount=0)),\\
 )
; sergeant
+SoldierRanks=(  aAbilityTree=( (AbilityName="CoolUnderPressure", ApplyToWeaponSlot=eInvSlot_PrimaryWeapon), \\
(AbilityName=" "), \\
(AbilityName="BluescreenBombs", ApplyToWeaponSlot=eInvSlot_Unknown), \\
  ), \\
aStatProgression=((StatType=eStat_Offense,StatAmount=2), (StatType=eStat_HP,StatAmount=1), (StatType=eStat_Hacking,StatAmount=0)),\\
 )
; staff sergeant
+SoldierRanks=(  aAbilityTree=( (AbilityName="Suppression_LW", ApplyToWeaponSlot=eInvSlot_PrimaryWeapon), \\
(AbilityName=" "), \\
(AbilityName="StingGrenades", ApplyToWeaponSlot=eInvSlot_SecondaryWeapon), \\
  ), \\
aStatProgression=((StatType=eStat_Offense,StatAmount=2), (StatType=eStat_HP,StatAmount=0), (StatType=eStat_Hacking,StatAmount=0)),\\
 )
; tech sergeant
+SoldierRanks=(  aAbilityTree=( (AbilityName="ShadowOps_CombatDrugs"), \\
(AbilityName=" "), \\
(AbilityName="DenseSmoke"), \\
  ), \\
aStatProgression=((StatType=eStat_Offense,StatAmount=2), (StatType=eStat_HP,StatAmount=1), (StatType=eStat_Hacking,StatAmount=0)),\\
 )
;  gunnery sergeant
+SoldierRanks=(  aAbilityTree=( (AbilityName=" "), \\
(AbilityName="Bombard_LW", ApplyToWeaponSlot=eInvSlot_Unknown), \\
(AbilityName=" "), \\
  ), \\
aStatProgression=((StatType=eStat_Offense,StatAmount=2), (StatType=eStat_HP,StatAmount=0), (StatType=eStat_Hacking,StatAmount=0)),\\
 )
; master sergeant
+SoldierRanks=(  aAbilityTree=( (AbilityName="ShadowOps_Focus", ApplyToWeaponSlot=eInvSlot_PrimaryWeapon), \\
(AbilityName=" "), \\
(AbilityName="GhostGrenade", ApplyToWeaponSlot=eInvSlot_SecondaryWeapon), \\
  ), \\
aStatProgression=((StatType=eStat_Offense,StatAmount=2), (StatType=eStat_HP,StatAmount=1), (StatType=eStat_Hacking,StatAmount=0)),\\
 )</v>
      </c>
      <c r="P22" t="str">
        <f t="shared" ca="1" si="13"/>
        <v>+Loadouts=(LoadoutName="SquaddieLWD_Protector", Items[0]=(Item="AssaultRifle_CV"), Items[1]=(Item="GrenadeLauncher_CV"))</v>
      </c>
      <c r="Q22" t="str">
        <f t="shared" ca="1" si="14"/>
        <v>+DEBUG_StartingSoldierClasses="LWD_Protector"</v>
      </c>
      <c r="R22" t="str">
        <f t="shared" ca="1" si="15"/>
        <v>[LWD_Protector X2SoldierClassTemplate]
+DisplayName="Protector"
+ClassSummary="The Protector carries a variety of non-lethal and defensive grenades to keep our soldiers safe on the battlefield."
+LeftAbilityTreeTitle="Fire Support"
+RightAbilityTreeTitle="Smokescreen"
; Nicknames
RandomNickNames[0]="Angel"
RandomNickNames[1]="Cover"
RandomNickNames[2]="Beta"
RandomNickNames[3]="Magician"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RandomNickNames[15]="Illusion"
RandomNickNames[16]="Jester"
RandomNickNames[17]="Jolt"
RandomNickNames[18]="Lightning"
RandomNickNames[19]="Mayday"
RandomNickNames[20]="Mega"
RandomNickNames[21]="Newton"
RandomNickNames[22]="Ragtime"
RandomNickNames[23]="Mortar"
RandomNickNames[24]="Rattler"
RandomNickNames[25]="Revelation"
RandomNickNames[26]="Skipper"
RandomNickNames[27]="Thunder"
RandomNickNames[28]="Undertaker"
RandomNickNames[29]="War"
RandomNickNames[30]="Whoopsie"
RandomNickNames[31]="Artillery"
; Male Nicknames
RandomNickNames_Male[0]="Candyman"
RandomNickNames_Male[1]="Magic Man"
RandomNickNames_Male[2]="Priest"
RandomNickNames_Male[3]="Rainman"
RandomNickNames_Male[4]="Mysterio"
; Female Nicknames
RandomNickNames_Female[0]="Priestess"
RandomNickNames_Female[1]="Wolfmother"
RandomNickNames_Female[2]="Black Widow"
RandomNickNames_Female[3]="Duchess"
RandomNickNames_Female[4]="Queen"</v>
      </c>
      <c r="S22" t="s">
        <v>340</v>
      </c>
    </row>
    <row r="23" spans="1:19" x14ac:dyDescent="0.25">
      <c r="A23" t="str">
        <f>IFERROR(INDEX(Sheets,ROWS($A$3:$A23)),"")</f>
        <v>Raider</v>
      </c>
      <c r="B23" t="str">
        <f t="shared" ref="B23:K23" si="31">IF(A23&lt;&gt;B$2,A23,"")</f>
        <v>Raider</v>
      </c>
      <c r="C23" t="str">
        <f t="shared" si="31"/>
        <v>Raider</v>
      </c>
      <c r="D23" t="str">
        <f t="shared" si="31"/>
        <v>Raider</v>
      </c>
      <c r="E23" t="str">
        <f t="shared" si="31"/>
        <v>Raider</v>
      </c>
      <c r="F23" t="str">
        <f t="shared" si="31"/>
        <v>Raider</v>
      </c>
      <c r="G23" t="str">
        <f t="shared" si="31"/>
        <v>Raider</v>
      </c>
      <c r="H23" t="str">
        <f t="shared" si="31"/>
        <v>Raider</v>
      </c>
      <c r="I23" t="str">
        <f t="shared" si="31"/>
        <v>Raider</v>
      </c>
      <c r="J23" t="str">
        <f t="shared" si="31"/>
        <v>Raider</v>
      </c>
      <c r="K23" t="str">
        <f t="shared" si="31"/>
        <v>Raider</v>
      </c>
      <c r="L23" t="str">
        <f t="shared" si="7"/>
        <v>Raider</v>
      </c>
      <c r="N23" t="str">
        <f t="shared" ca="1" si="11"/>
        <v>+SoldierClasses=LWD_Raider</v>
      </c>
      <c r="O23" t="str">
        <f t="shared" ca="1" si="12"/>
        <v>[LWD_Raider X2SoldierClassTemplate]
+bMultiplayerOnly=0
+ClassPoints=4
+IconImage="img:///UILibrary_LWD.class_raider"
+NumInForcedDeck=1
+NumInDeck=4
+KillAssistsPerKill=5
+SquaddieLoadout=SquaddieLWD_Raider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(AbilityName="LWD_Onslaught", ApplyToWeaponSlot=eInvSlot_PrimaryWeapon), \\
(AbilityName="LWD_Reave", ApplyToWeaponSlot=eInvSlot_SecondaryWeapon), \\
\\
\\
\\
\\
  ), \\
aStatProgression=((StatType=eStat_Offense,StatAmount=2), (StatType=eStat_HP,StatAmount=0), (StatType=eStat_Hacking,StatAmount=0), (StatType=eStat_CombatSims,StatAmount=1), (StatType=eStat_Will,StatAmount=4), (StatType=eStat_Dodge,StatAmount=1)),\\
 )
; lance corporal
+SoldierRanks=(  aAbilityTree=( (AbilityName="LWD_BattleFocus", ApplyToWeaponSlot=eInvSlot_PrimaryWeapon), \\
(AbilityName=" "), \\
(AbilityName="LWD_BattleFury", ApplyToWeaponSlot=eInvSlot_SecondaryWeapon), \\
  ), \\
aStatProgression=((StatType=eStat_Offense,StatAmount=2), (StatType=eStat_HP,StatAmount=1), (StatType=eStat_Hacking,StatAmount=0), (StatType=eStat_Will,StatAmount=4), (StatType=eStat_Dodge,StatAmount=1)),\\
 )
; corporal
+SoldierRanks=(  aAbilityTree=( (AbilityName=" "), \\
(AbilityName="LWD_CombatStance"), \\
(AbilityName=" "), \\
  ), \\
aStatProgression=((StatType=eStat_Offense,StatAmount=2), (StatType=eStat_HP,StatAmount=0), (StatType=eStat_Hacking,StatAmount=0), (StatType=eStat_Dodge,StatAmount=1)),\\
 )
; sergeant
+SoldierRanks=(  aAbilityTree=( (AbilityName="ShadowOps_Sprint"), \\
(AbilityName=" "), \\
(AbilityName="Cutthroat", ApplyToWeaponSlot=eInvSlot_SecondaryWeapon), \\
  ), \\
aStatProgression=((StatType=eStat_Offense,StatAmount=2), (StatType=eStat_HP,StatAmount=1), (StatType=eStat_Hacking,StatAmount=0)),\\
 )
; staff sergeant
+SoldierRanks=(  aAbilityTree=( (AbilityName="Untouchable"), \\
(AbilityName=" "), \\
(AbilityName="CloseAndPersonal", ApplyToWeaponSlot=eInvSlot_Unknown), \\
  ), \\
aStatProgression=((StatType=eStat_Offense,StatAmount=2), (StatType=eStat_HP,StatAmount=0), (StatType=eStat_Hacking,StatAmount=0), (StatType=eStat_Dodge,StatAmount=1)),\\
 )
; tech sergeant
+SoldierRanks=(  aAbilityTree=( (AbilityName="LWD_Warlord"), \\
(AbilityName=" "), \\
(AbilityName="LWD_Berserker"), \\
  ), \\
aStatProgression=((StatType=eStat_Offense,StatAmount=2), (StatType=eStat_HP,StatAmount=1), (StatType=eStat_Hacking,StatAmount=0)),\\
 )
;  gunnery sergeant
+SoldierRanks=(  aAbilityTree=( (AbilityName=" "), \\
(AbilityName="LWD_Viking"), \\
(AbilityName=" "), \\
  ), \\
aStatProgression=((StatType=eStat_Offense,StatAmount=2), (StatType=eStat_HP,StatAmount=0), (StatType=eStat_Hacking,StatAmount=0), (StatType=eStat_Dodge,StatAmount=1)),\\
 )
; master sergeant
+SoldierRanks=(  aAbilityTree=( (AbilityName="LWD_Ravager", ApplyToWeaponSlot=eInvSlot_PrimaryWeapon), \\
(AbilityName=" "), \\
(AbilityName="LWD_Reaver", ApplyToWeaponSlot=eInvSlot_SecondaryWeapon), \\
  ), \\
aStatProgression=((StatType=eStat_Offense,StatAmount=2), (StatType=eStat_HP,StatAmount=1), (StatType=eStat_Hacking,StatAmount=0)),\\
 )</v>
      </c>
      <c r="P23" t="str">
        <f t="shared" ca="1" si="13"/>
        <v>+Loadouts=(LoadoutName="SquaddieLWD_Raider", Items[0]=(Item="Shotgun_CV"), Items[1]=(Item="Sword_CV"))</v>
      </c>
      <c r="Q23" t="str">
        <f t="shared" ca="1" si="14"/>
        <v>+DEBUG_StartingSoldierClasses="LWD_Raider"</v>
      </c>
      <c r="R23" t="str">
        <f t="shared" ca="1" si="15"/>
        <v>[LWD_Raider X2SoldierClassTemplate]
+DisplayName="Raider"
+ClassSummary="The Raider is a vicious foe, keeping inside the enemy's reach with sword and shotgun, making sure they can never sit comfortable."
+LeftAbilityTreeTitle="Skirmisher"
+RightAbilityTreeTitle="Fencer"
; Nicknames
RandomNickNames[0]="Grey Ghost"
RandomNickNames[1]="Bargain"
RandomNickNames[2]="Facetime"
RandomNickNames[3]="Elvis"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RandomNickNames[17]="Pirate"
RandomNickNames[18]="Cap'n"
RandomNickNames[19]="Mayday"
RandomNickNames[20]="Mega"
RandomNickNames[21]="Viking"
RandomNickNames[22]="Ragtime"
RandomNickNames[23]="Rascal"
RandomNickNames[24]="Rattler"
RandomNickNames[25]="Revelation"
RandomNickNames[26]="Skipper"
RandomNickNames[27]="Thunder"
RandomNickNames[28]="Undertaker"
RandomNickNames[29]="War"
RandomNickNames[30]="Whoopsie"
RandomNickNames[31]="Berserk"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3" t="s">
        <v>340</v>
      </c>
    </row>
    <row r="24" spans="1:19" x14ac:dyDescent="0.25">
      <c r="A24" t="str">
        <f>IFERROR(INDEX(Sheets,ROWS($A$3:$A24)),"")</f>
        <v>Ranger</v>
      </c>
      <c r="B24" t="str">
        <f t="shared" ref="B24:K24" si="32">IF(A24&lt;&gt;B$2,A24,"")</f>
        <v>Ranger</v>
      </c>
      <c r="C24" t="str">
        <f t="shared" si="32"/>
        <v>Ranger</v>
      </c>
      <c r="D24" t="str">
        <f t="shared" si="32"/>
        <v>Ranger</v>
      </c>
      <c r="E24" t="str">
        <f t="shared" si="32"/>
        <v>Ranger</v>
      </c>
      <c r="F24" t="str">
        <f t="shared" si="32"/>
        <v>Ranger</v>
      </c>
      <c r="G24" t="str">
        <f t="shared" si="32"/>
        <v>Ranger</v>
      </c>
      <c r="H24" t="str">
        <f t="shared" si="32"/>
        <v>Ranger</v>
      </c>
      <c r="I24" t="str">
        <f t="shared" si="32"/>
        <v>Ranger</v>
      </c>
      <c r="J24" t="str">
        <f t="shared" si="32"/>
        <v>Ranger</v>
      </c>
      <c r="K24" t="str">
        <f t="shared" si="32"/>
        <v>Ranger</v>
      </c>
      <c r="L24" t="str">
        <f t="shared" si="7"/>
        <v>Ranger</v>
      </c>
      <c r="N24" t="str">
        <f t="shared" ca="1" si="11"/>
        <v>+SoldierClasses=LWD_Ranger</v>
      </c>
      <c r="O24" t="str">
        <f t="shared" ca="1" si="12"/>
        <v>[LWD_Ranger X2SoldierClassTemplate]
+bMultiplayerOnly=0
+ClassPoints=4
+IconImage="img:///UILibrary_Common.class_ranger"
+NumInForcedDeck=1
+NumInDeck=4
+KillAssistsPerKill=4
+SquaddieLoadout=SquaddieLWD_Ranger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(AbilityName="PointBlank", ApplyToWeaponSlot=eInvSlot_SecondaryWeapon), \\
(AbilityName="BothBarrels", ApplyToWeaponSlot=eInvSlot_SecondaryWeapon), \\
(AbilityName="LightEmUp", ApplyToWeaponSlot=eInvSlot_PrimaryWeapon), \\
\\
\\
\\
  ), \\
aStatProgression=((StatType=eStat_Offense,StatAmount=3), (StatType=eStat_HP,StatAmount=0), (StatType=eStat_Hacking,StatAmount=0), (StatType=eStat_CombatSims,StatAmount=1), (StatType=eStat_Will,StatAmount=4)),\\
 )
; lance corporal
+SoldierRanks=(  aAbilityTree=( (AbilityName="CoolUnderPressure", ApplyToWeaponSlot=eInvSlot_PrimaryWeapon), \\
(AbilityName=" "), \\
(AbilityName="CoveringFire", ApplyToWeaponSlot=eInvSlot_PrimaryWeapon), \\
  ), \\
aStatProgression=((StatType=eStat_Offense,StatAmount=2), (StatType=eStat_HP,StatAmount=1), (StatType=eStat_Hacking,StatAmount=0), (StatType=eStat_Will,StatAmount=4)),\\
 )
; corporal
+SoldierRanks=(  aAbilityTree=( (AbilityName=" "), \\
(AbilityName="CenterMass", ApplyToWeaponSlot=eInvSlot_PrimaryWeapon), \\
(AbilityName=" "), \\
  ), \\
aStatProgression=((StatType=eStat_Offense,StatAmount=3), (StatType=eStat_HP,StatAmount=0), (StatType=eStat_Hacking,StatAmount=0)),\\
 )
; sergeant
+SoldierRanks=(  aAbilityTree=( (AbilityName="GrazingFire", ApplyToWeaponSlot=eInvSlot_PrimaryWeapon), \\
(AbilityName=" "), \\
(AbilityName="Suppression_LW", ApplyToWeaponSlot=eInvSlot_PrimaryWeapon), \\
  ), \\
aStatProgression=((StatType=eStat_Offense,StatAmount=2), (StatType=eStat_HP,StatAmount=0), (StatType=eStat_Hacking,StatAmount=0)),\\
 )
; staff sergeant
+SoldierRanks=(  aAbilityTree=( (AbilityName="BringEmOn", ApplyToWeaponSlot=eInvSlot_Unknown), \\
(AbilityName=" "), \\
(AbilityName="Fortify"), \\
  ), \\
aStatProgression=((StatType=eStat_Offense,StatAmount=3), (StatType=eStat_HP,StatAmount=1), (StatType=eStat_Hacking,StatAmount=0)),\\
 )
; tech sergeant
+SoldierRanks=(  aAbilityTree=( (AbilityName="Lethal", ApplyToWeaponSlot=eInvSlot_PrimaryWeapon), \\
(AbilityName=" "), \\
(AbilityName="ShadowOps_ReadyForAnything", ApplyToWeaponSlot=eInvSlot_PrimaryWeapon), \\
  ), \\
aStatProgression=((StatType=eStat_Offense,StatAmount=2), (StatType=eStat_HP,StatAmount=0), (StatType=eStat_Hacking,StatAmount=0)),\\
 )
;  gunnery sergeant
+SoldierRanks=(  aAbilityTree=( (AbilityName=" "), \\
(AbilityName="RapidFire", ApplyToWeaponSlot=eInvSlot_PrimaryWeapon), \\
(AbilityName=" "), \\
  ), \\
aStatProgression=((StatType=eStat_Offense,StatAmount=3), (StatType=eStat_HP,StatAmount=0), (StatType=eStat_Hacking,StatAmount=0)),\\
 )
; master sergeant
+SoldierRanks=(  aAbilityTree=( (AbilityName="CombatFitness"), \\
(AbilityName=" "), \\
(AbilityName="RapidReaction", ApplyToWeaponSlot=eInvSlot_PrimaryWeapon), \\
  ), \\
aStatProgression=((StatType=eStat_Offense,StatAmount=2), (StatType=eStat_HP,StatAmount=1), (StatType=eStat_Hacking,StatAmount=0)),\\
 )</v>
      </c>
      <c r="P24" t="str">
        <f t="shared" ca="1" si="13"/>
        <v>+Loadouts=(LoadoutName="SquaddieLWD_Ranger", Items[0]=(Item="AssaultRifle_CV"), Items[1]=(Item="SawedOffShotgun_CV"))</v>
      </c>
      <c r="Q24" t="str">
        <f t="shared" ca="1" si="14"/>
        <v>+DEBUG_StartingSoldierClasses="LWD_Ranger"</v>
      </c>
      <c r="R24" t="str">
        <f t="shared" ca="1" si="15"/>
        <v>[LWD_Ranger X2SoldierClassTemplate]
+DisplayName="Ranger"
+ClassSummary="The Ranger is the master of the rifle and may be trained to use it in offensive and defensive capacities. They carry a sawed-off shotgun as a backup as well."
+LeftAbilityTreeTitle="Infantry"
+RightAbilityTreeTitle="Defender"
; Nicknames
RandomNickNames[0]="Angel"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4" t="s">
        <v>340</v>
      </c>
    </row>
    <row r="25" spans="1:19" x14ac:dyDescent="0.25">
      <c r="A25" t="str">
        <f>IFERROR(INDEX(Sheets,ROWS($A$3:$A25)),"")</f>
        <v>Recon</v>
      </c>
      <c r="B25" t="str">
        <f t="shared" ref="B25:K25" si="33">IF(A25&lt;&gt;B$2,A25,"")</f>
        <v>Recon</v>
      </c>
      <c r="C25" t="str">
        <f t="shared" si="33"/>
        <v>Recon</v>
      </c>
      <c r="D25" t="str">
        <f t="shared" si="33"/>
        <v>Recon</v>
      </c>
      <c r="E25" t="str">
        <f t="shared" si="33"/>
        <v>Recon</v>
      </c>
      <c r="F25" t="str">
        <f t="shared" si="33"/>
        <v>Recon</v>
      </c>
      <c r="G25" t="str">
        <f t="shared" si="33"/>
        <v>Recon</v>
      </c>
      <c r="H25" t="str">
        <f t="shared" si="33"/>
        <v>Recon</v>
      </c>
      <c r="I25" t="str">
        <f t="shared" si="33"/>
        <v>Recon</v>
      </c>
      <c r="J25" t="str">
        <f t="shared" si="33"/>
        <v>Recon</v>
      </c>
      <c r="K25" t="str">
        <f t="shared" si="33"/>
        <v>Recon</v>
      </c>
      <c r="L25" t="str">
        <f t="shared" si="7"/>
        <v>Recon</v>
      </c>
      <c r="N25" t="str">
        <f t="shared" ca="1" si="11"/>
        <v>+SoldierClasses=LWD_Recon</v>
      </c>
      <c r="O25" t="str">
        <f t="shared" ca="1" si="12"/>
        <v>[LWD_Recon X2SoldierClassTemplate]
+bMultiplayerOnly=0
+ClassPoints=4
+IconImage="img:///UILibrary_SOInfantry.class_recon"
+NumInForcedDeck=1
+NumInDeck=4
+KillAssistsPerKill=3
+SquaddieLoadout=SquaddieLWD_Recon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(AbilityName="Holotargeting", ApplyToWeaponSlot=eInvSlot_PrimaryWeapon), \\
(AbilityName="ShadowOps_Vanish"), \\
\\
\\
\\
\\
  ), \\
aStatProgression=((StatType=eStat_Offense,StatAmount=3), (StatType=eStat_HP,StatAmount=0), (StatType=eStat_Hacking,StatAmount=5), (StatType=eStat_CombatSims,StatAmount=1), (StatType=eStat_Will,StatAmount=3)),\\
 )
; lance corporal
+SoldierRanks=(  aAbilityTree=( (AbilityName="LWD_ScannerSweep", ApplyToWeaponSlot=eInvSlot_SecondaryWeapon), \\
(AbilityName=" "), \\
(AbilityName="HDHolo", ApplyToWeaponSlot=eInvSlot_SecondaryWeapon), \\
  ), \\
aStatProgression=((StatType=eStat_Offense,StatAmount=2), (StatType=eStat_HP,StatAmount=0), (StatType=eStat_Hacking,StatAmount=5), (StatType=eStat_Will,StatAmount=3)),\\
 )
; corporal
+SoldierRanks=(  aAbilityTree=( (AbilityName=" "), \\
(AbilityName="LWD_EagleEyes"), \\
(AbilityName=" "), \\
  ), \\
aStatProgression=((StatType=eStat_Offense,StatAmount=3), (StatType=eStat_HP,StatAmount=1), (StatType=eStat_Hacking,StatAmount=5)),\\
 )
; sergeant
+SoldierRanks=(  aAbilityTree=( (AbilityName="ShadowOps_Tracking"), \\
(AbilityName=" "), \\
(AbilityName="IndependentTracking", ApplyToWeaponSlot=eInvSlot_SecondaryWeapon), \\
  ), \\
aStatProgression=((StatType=eStat_Offense,StatAmount=2), (StatType=eStat_HP,StatAmount=0), (StatType=eStat_Hacking,StatAmount=5)),\\
 )
; staff sergeant
+SoldierRanks=(  aAbilityTree=( (AbilityName="LWD_Watchman"), \\
(AbilityName=" "), \\
(AbilityName="LWD_Lookout", ApplyToWeaponSlot=eInvSlot_SecondaryWeapon), \\
  ), \\
aStatProgression=((StatType=eStat_Offense,StatAmount=3), (StatType=eStat_HP,StatAmount=0), (StatType=eStat_Hacking,StatAmount=5)),\\
 )
; tech sergeant
+SoldierRanks=(  aAbilityTree=( (AbilityName="Tradecraft"), \\
(AbilityName=" "), \\
(AbilityName="RapidTargeting", ApplyToWeaponSlot=eInvSlot_SecondaryWeapon), \\
  ), \\
aStatProgression=((StatType=eStat_Offense,StatAmount=2), (StatType=eStat_HP,StatAmount=0), (StatType=eStat_Hacking,StatAmount=5)),\\
 )
;  gunnery sergeant
+SoldierRanks=(  aAbilityTree=( (AbilityName=" "), \\
(AbilityName="Multitargeting", ApplyToWeaponSlot=eInvSlot_SecondaryWeapon), \\
(AbilityName=" "), \\
  ), \\
aStatProgression=((StatType=eStat_Offense,StatAmount=3), (StatType=eStat_HP,StatAmount=1), (StatType=eStat_Hacking,StatAmount=5)),\\
 )
; master sergeant
+SoldierRanks=(  aAbilityTree=( (AbilityName="LWD_Ghost"), \\
(AbilityName=" "), \\
(AbilityName="ShadowOps_Airstrike", ApplyToWeaponSlot=eInvSlot_SecondaryWeapon), \\
  ), \\
aStatProgression=((StatType=eStat_Offense,StatAmount=2), (StatType=eStat_HP,StatAmount=0), (StatType=eStat_Hacking,StatAmount=5)),\\
 )</v>
      </c>
      <c r="P25" t="str">
        <f t="shared" ca="1" si="13"/>
        <v>+Loadouts=(LoadoutName="SquaddieLWD_Recon", Items[0]=(Item="AssaultRifle_CV"), Items[1]=(Item="Holotargeter_CV"))</v>
      </c>
      <c r="Q25" t="str">
        <f t="shared" ca="1" si="14"/>
        <v>+DEBUG_StartingSoldierClasses="LWD_Recon"</v>
      </c>
      <c r="R25" t="str">
        <f t="shared" ca="1" si="15"/>
        <v>[LWD_Recon X2SoldierClassTemplate]
+DisplayName="Recon"
+ClassSummary="The Recon is our eyes and ears on the battlefield, staying out of sight, but always keeping tabs on the enemy's exact location. They carry a holo-targeter to mark targets."
+LeftAbilityTreeTitle="Scout"
+RightAbilityTreeTitle="Spotter"
; Nicknames
RandomNickNames[0]="Angel"
RandomNickNames[1]="Scope"
RandomNickNames[2]="Beta"
RandomNickNames[3]="Bishop"
RandomNickNames[4]="Bones"
RandomNickNames[5]="Breaker"
RandomNickNames[6]="Broker"
RandomNickNames[7]="Conquest"
RandomNickNames[8]="Deacon"
RandomNickNames[9]="Solo"
RandomNickNames[10]="Dr. Feelgood"
RandomNickNames[11]="Famine"
RandomNickNames[12]="Feedback"
RandomNickNames[13]="Firewall"
RandomNickNames[14]="Genius"
RandomNickNames[15]="Gizmo"
RandomNickNames[16]="Jester"
RandomNickNames[17]="Jolt"
RandomNickNames[18]="Eyes"
RandomNickNames[19]="Mayday"
RandomNickNames[20]="Binoc"
RandomNickNames[21]="Newton"
RandomNickNames[22]="Ragtime"
RandomNickNames[23]="Rascal"
RandomNickNames[24]="Rattler"
RandomNickNames[25]="Revelation"
RandomNickNames[26]="Skipper"
RandomNickNames[27]="Thunder"
RandomNickNames[28]="Cyclops"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5" t="s">
        <v>340</v>
      </c>
    </row>
    <row r="26" spans="1:19" x14ac:dyDescent="0.25">
      <c r="A26" t="str">
        <f>IFERROR(INDEX(Sheets,ROWS($A$3:$A26)),"")</f>
        <v>Sapper</v>
      </c>
      <c r="B26" t="str">
        <f t="shared" ref="B26:K26" si="34">IF(A26&lt;&gt;B$2,A26,"")</f>
        <v>Sapper</v>
      </c>
      <c r="C26" t="str">
        <f t="shared" si="34"/>
        <v>Sapper</v>
      </c>
      <c r="D26" t="str">
        <f t="shared" si="34"/>
        <v>Sapper</v>
      </c>
      <c r="E26" t="str">
        <f t="shared" si="34"/>
        <v>Sapper</v>
      </c>
      <c r="F26" t="str">
        <f t="shared" si="34"/>
        <v>Sapper</v>
      </c>
      <c r="G26" t="str">
        <f t="shared" si="34"/>
        <v>Sapper</v>
      </c>
      <c r="H26" t="str">
        <f t="shared" si="34"/>
        <v>Sapper</v>
      </c>
      <c r="I26" t="str">
        <f t="shared" si="34"/>
        <v>Sapper</v>
      </c>
      <c r="J26" t="str">
        <f t="shared" si="34"/>
        <v>Sapper</v>
      </c>
      <c r="K26" t="str">
        <f t="shared" si="34"/>
        <v>Sapper</v>
      </c>
      <c r="L26" t="str">
        <f t="shared" si="7"/>
        <v>Sapper</v>
      </c>
      <c r="N26" t="str">
        <f t="shared" ca="1" si="11"/>
        <v>+SoldierClasses=LWD_Sapper</v>
      </c>
      <c r="O26" t="str">
        <f t="shared" ca="1" si="12"/>
        <v>[LWD_Sapper X2SoldierClassTemplate]
+bMultiplayerOnly=0
+ClassPoints=4
+IconImage="img:///UILibrary_SOCombatEngineer.class_engineer"
+NumInForcedDeck=1
+NumInDeck=4
+KillAssistsPerKill=4
+SquaddieLoadout=SquaddieLWD_Sapper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(AbilityName="Sapper"), \\
(AbilityName="ShadowOps_Saboteur", ApplyToWeaponSlot=eInvSlot_PrimaryWeapon), \\
\\
\\
\\
  ), \\
aStatProgression=((StatType=eStat_Offense,StatAmount=2), (StatType=eStat_HP,StatAmount=0), (StatType=eStat_Hacking,StatAmount=0), (StatType=eStat_CombatSims,StatAmount=1), (StatType=eStat_Will,StatAmount=4)),\\
 )
; lance corporal
+SoldierRanks=(  aAbilityTree=( (AbilityName="NeedleGrenades"), \\
(AbilityName=" "), \\
(AbilityName="ShadowOps_Breach", ApplyToWeaponSlot=eInvSlot_PrimaryWeapon), \\
  ), \\
aStatProgression=((StatType=eStat_Offense,StatAmount=2), (StatType=eStat_HP,StatAmount=1), (StatType=eStat_Hacking,StatAmount=0), (StatType=eStat_Will,StatAmount=4)),\\
 )
; corporal
+SoldierRanks=(  aAbilityTree=( (AbilityName=" "), \\
(AbilityName="HeavyOrdnance_LW"), \\
(AbilityName=" "), \\
  ), \\
aStatProgression=((StatType=eStat_Offense,StatAmount=2), (StatType=eStat_HP,StatAmount=0), (StatType=eStat_Hacking,StatAmount=0)),\\
 )
; sergeant
+SoldierRanks=(  aAbilityTree=( (AbilityName="HeavyFrags"), \\
(AbilityName=" "), \\
(AbilityName="LWD_Dynamite"), \\
  ), \\
aStatProgression=((StatType=eStat_Offense,StatAmount=2), (StatType=eStat_HP,StatAmount=1), (StatType=eStat_Hacking,StatAmount=0)),\\
 )
; staff sergeant
+SoldierRanks=(  aAbilityTree=( (AbilityName="HEATWarheads", ApplyToWeaponSlot=eInvSlot_SecondaryWeapon), \\
(AbilityName=" "), \\
(AbilityName="TandemWarheads"), \\
  ), \\
aStatProgression=((StatType=eStat_Offense,StatAmount=2), (StatType=eStat_HP,StatAmount=0), (StatType=eStat_Hacking,StatAmount=0)),\\
 )
; tech sergeant
+SoldierRanks=(  aAbilityTree=( (AbilityName="BiggestBooms_LW"), \\
(AbilityName=" "), \\
(AbilityName="HEATWarheads", ApplyToWeaponSlot=eInvSlot_SecondaryWeapon), \\
  ), \\
aStatProgression=((StatType=eStat_Offense,StatAmount=2), (StatType=eStat_HP,StatAmount=1), (StatType=eStat_Hacking,StatAmount=0)),\\
 )
;  gunnery sergeant
+SoldierRanks=(  aAbilityTree=( (AbilityName=" "), \\
(AbilityName="Salvo", ApplyToWeaponSlot=eInvSlot_Unknown), \\
(AbilityName=" "), \\
  ), \\
aStatProgression=((StatType=eStat_Offense,StatAmount=2), (StatType=eStat_HP,StatAmount=0), (StatType=eStat_Hacking,StatAmount=0)),\\
 )
; master sergeant
+SoldierRanks=(  aAbilityTree=( (AbilityName="FullKit"), \\
(AbilityName=" "), \\
(AbilityName="CombatEngineer"), \\
  ), \\
aStatProgression=((StatType=eStat_Offense,StatAmount=2), (StatType=eStat_HP,StatAmount=1), (StatType=eStat_Hacking,StatAmount=0)),\\
 )</v>
      </c>
      <c r="P26" t="str">
        <f t="shared" ca="1" si="13"/>
        <v>+Loadouts=(LoadoutName="SquaddieLWD_Sapper", Items[0]=(Item="Cannon_CV"), Items[1]=(Item="GrenadeLauncher_CV"))</v>
      </c>
      <c r="Q26" t="str">
        <f t="shared" ca="1" si="14"/>
        <v>+DEBUG_StartingSoldierClasses="LWD_Sapper"</v>
      </c>
      <c r="R26" t="str">
        <f t="shared" ca="1" si="15"/>
        <v>[LWD_Sapper X2SoldierClassTemplate]
+DisplayName="Sapper"
+ClassSummary="The Sapper specializes in using their grenade launcher to control the battlefield - usually by destroying it. "
+LeftAbilityTreeTitle="Explosives"
+RightAbilityTreeTitle="Demolitions"
; Nicknames
RandomNickNames[0]="Angel"
RandomNickNames[1]="Bargain"
RandomNickNames[2]="Beta"
RandomNickNames[3]="Bishop"
RandomNickNames[4]="Bones"
RandomNickNames[5]="Breaker"
RandomNickNames[6]="Broker"
RandomNickNames[7]="Conquest"
RandomNickNames[8]="Boomtown"
RandomNickNames[9]="Doomtrain"
RandomNickNames[10]="Dr. Feelgood"
RandomNickNames[11]="Downtown"
RandomNickNames[12]="Demoman"
RandomNickNames[13]="Bulldozer"
RandomNickNames[14]="Genius"
RandomNickNames[15]="Gizmo"
RandomNickNames[16]="Jester"
RandomNickNames[17]="Jolt"
RandomNickNames[18]="Hard Hat"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6" t="s">
        <v>340</v>
      </c>
    </row>
    <row r="27" spans="1:19" x14ac:dyDescent="0.25">
      <c r="A27" t="str">
        <f>IFERROR(INDEX(Sheets,ROWS($A$3:$A27)),"")</f>
        <v>Scrapper</v>
      </c>
      <c r="B27" t="str">
        <f t="shared" ref="B27:K27" si="35">IF(A27&lt;&gt;B$2,A27,"")</f>
        <v>Scrapper</v>
      </c>
      <c r="C27" t="str">
        <f t="shared" si="35"/>
        <v>Scrapper</v>
      </c>
      <c r="D27" t="str">
        <f t="shared" si="35"/>
        <v>Scrapper</v>
      </c>
      <c r="E27" t="str">
        <f t="shared" si="35"/>
        <v>Scrapper</v>
      </c>
      <c r="F27" t="str">
        <f t="shared" si="35"/>
        <v>Scrapper</v>
      </c>
      <c r="G27" t="str">
        <f t="shared" si="35"/>
        <v>Scrapper</v>
      </c>
      <c r="H27" t="str">
        <f t="shared" si="35"/>
        <v>Scrapper</v>
      </c>
      <c r="I27" t="str">
        <f t="shared" si="35"/>
        <v>Scrapper</v>
      </c>
      <c r="J27" t="str">
        <f t="shared" si="35"/>
        <v>Scrapper</v>
      </c>
      <c r="K27" t="str">
        <f t="shared" si="35"/>
        <v>Scrapper</v>
      </c>
      <c r="L27" t="str">
        <f t="shared" si="7"/>
        <v>Scrapper</v>
      </c>
      <c r="N27" t="str">
        <f t="shared" ca="1" si="11"/>
        <v>+SoldierClasses=LWD_Scrapper</v>
      </c>
      <c r="O27" t="str">
        <f t="shared" ca="1" si="12"/>
        <v>[LWD_Scrapper X2SoldierClassTemplate]
+bMultiplayerOnly=0
+ClassPoints=4
+IconImage="img:///UILibrary_SOCombatEngineer.class_scrapper"
+NumInForcedDeck=1
+NumInDeck=4
+KillAssistsPerKill=4
+SquaddieLoadout=SquaddieLWD_Scrapper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(AbilityName="KnifeFighter", ApplyToWeaponSlot=eInvSlot_SecondaryWeapon), \\
(AbilityName="ShadowOps_BullRush"), \\
\\
\\
\\
\\
  ), \\
aStatProgression=((StatType=eStat_Offense,StatAmount=2), (StatType=eStat_HP,StatAmount=0), (StatType=eStat_Hacking,StatAmount=0), (StatType=eStat_CombatSims,StatAmount=1), (StatType=eStat_Will,StatAmount=5), (StatType=eStat_Dodge,StatAmount=2)),\\
 )
; lance corporal
+SoldierRanks=(  aAbilityTree=( (AbilityName="CloseAndPersonal", ApplyToWeaponSlot=eInvSlot_Unknown), \\
(AbilityName=" "), \\
(AbilityName="ShadowOps_BareKnuckle"), \\
  ), \\
aStatProgression=((StatType=eStat_Offense,StatAmount=2), (StatType=eStat_HP,StatAmount=1), (StatType=eStat_Hacking,StatAmount=0), (StatType=eStat_Will,StatAmount=5), (StatType=eStat_Dodge,StatAmount=2)),\\
 )
; corporal
+SoldierRanks=(  aAbilityTree=( (AbilityName=" "), \\
(AbilityName="Combatives", ApplyToWeaponSlot=eInvSlot_SecondaryWeapon), \\
(AbilityName=" "), \\
  ), \\
aStatProgression=((StatType=eStat_Offense,StatAmount=2), (StatType=eStat_HP,StatAmount=0), (StatType=eStat_Hacking,StatAmount=0), (StatType=eStat_Dodge,StatAmount=1)),\\
 )
; sergeant
+SoldierRanks=(  aAbilityTree=( (AbilityName="ShadowOps_Pyromaniac"), \\
(AbilityName=" "), \\
(AbilityName="Shadowstep", ApplyToWeaponSlot=eInvSlot_Unknown), \\
  ), \\
aStatProgression=((StatType=eStat_Offense,StatAmount=2), (StatType=eStat_HP,StatAmount=1), (StatType=eStat_Hacking,StatAmount=0)),\\
 )
; staff sergeant
+SoldierRanks=(  aAbilityTree=( (AbilityName="ShadowOps_IronWill"), \\
(AbilityName=" "), \\
(AbilityName="Resilience"), \\
  ), \\
aStatProgression=((StatType=eStat_Offense,StatAmount=2), (StatType=eStat_HP,StatAmount=0), (StatType=eStat_Hacking,StatAmount=0)),\\
 )
; tech sergeant
+SoldierRanks=(  aAbilityTree=( (AbilityName="StreetSweeper", ApplyToWeaponSlot=eInvSlot_PrimaryWeapon), \\
(AbilityName=" "), \\
(AbilityName="Bladestorm", ApplyToWeaponSlot=eInvSlot_SecondaryWeapon), \\
  ), \\
aStatProgression=((StatType=eStat_Offense,StatAmount=2), (StatType=eStat_HP,StatAmount=1), (StatType=eStat_Hacking,StatAmount=0)),\\
 )
;  gunnery sergeant
+SoldierRanks=(  aAbilityTree=( (AbilityName=" "), \\
(AbilityName="Untouchable"), \\
(AbilityName=" "), \\
  ), \\
aStatProgression=((StatType=eStat_Offense,StatAmount=2), (StatType=eStat_HP,StatAmount=0), (StatType=eStat_Hacking,StatAmount=0)),\\
 )
; master sergeant
+SoldierRanks=(  aAbilityTree=( (AbilityName="CoupDeGrace", ApplyToWeaponSlot=eInvSlot_SecondaryWeapon), \\
(AbilityName=" "), \\
(AbilityName="ShadowOps_Butcher"), \\
  ), \\
aStatProgression=((StatType=eStat_Offense,StatAmount=2), (StatType=eStat_HP,StatAmount=1), (StatType=eStat_Hacking,StatAmount=0)),\\
 )</v>
      </c>
      <c r="P27" t="str">
        <f t="shared" ca="1" si="13"/>
        <v>+Loadouts=(LoadoutName="SquaddieLWD_Scrapper", Items[0]=(Item="Shotgun_CV"), Items[1]=(Item="CombatKnife_CV"))</v>
      </c>
      <c r="Q27" t="str">
        <f t="shared" ca="1" si="14"/>
        <v>+DEBUG_StartingSoldierClasses="LWD_Scrapper"</v>
      </c>
      <c r="R27" t="str">
        <f t="shared" ca="1" si="15"/>
        <v>[LWD_Scrapper X2SoldierClassTemplate]
+DisplayName="Scrapper"
+ClassSummary="The Scrapper wishes they didn't have to carry a gun in the first place. They like to solve things with their fists, and, if the situation is really dire, knives."
+LeftAbilityTreeTitle="Thug"
+RightAbilityTreeTitle="Brawler"
; Nicknames
RandomNickNames[0]="Facetime"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RandomNickNames[13]="Cuddles"
RandomNickNames[14]="Genius"
RandomNickNames[15]="Gizmo"
RandomNickNames[16]="Jester"
RandomNickNames[17]="Jolt"
RandomNickNames[18]="Lightning"
RandomNickNames[19]="Mayday"
RandomNickNames[20]="Mega"
RandomNickNames[21]="Judo"
RandomNickNames[22]="Ragtime"
RandomNickNames[23]="Rascal"
RandomNickNames[24]="Rattler"
RandomNickNames[25]="Hug-n-snug"
RandomNickNames[26]="Skipper"
RandomNickNames[27]="Thunder"
RandomNickNames[28]="Undertaker"
RandomNickNames[29]="War"
RandomNickNames[30]="Whoopsie"
RandomNickNames[31]="Knife"
; Male Nicknames
RandomNickNames_Male[0]="Mr. Tibbs"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7" t="s">
        <v>340</v>
      </c>
    </row>
    <row r="28" spans="1:19" x14ac:dyDescent="0.25">
      <c r="A28" t="str">
        <f>IFERROR(INDEX(Sheets,ROWS($A$3:$A28)),"")</f>
        <v>Sharpshooter</v>
      </c>
      <c r="B28" t="str">
        <f t="shared" ref="B28:K28" si="36">IF(A28&lt;&gt;B$2,A28,"")</f>
        <v>Sharpshooter</v>
      </c>
      <c r="C28" t="str">
        <f t="shared" si="36"/>
        <v>Sharpshooter</v>
      </c>
      <c r="D28" t="str">
        <f t="shared" si="36"/>
        <v>Sharpshooter</v>
      </c>
      <c r="E28" t="str">
        <f t="shared" si="36"/>
        <v>Sharpshooter</v>
      </c>
      <c r="F28" t="str">
        <f t="shared" si="36"/>
        <v>Sharpshooter</v>
      </c>
      <c r="G28" t="str">
        <f t="shared" si="36"/>
        <v>Sharpshooter</v>
      </c>
      <c r="H28" t="str">
        <f t="shared" si="36"/>
        <v>Sharpshooter</v>
      </c>
      <c r="I28" t="str">
        <f t="shared" si="36"/>
        <v>Sharpshooter</v>
      </c>
      <c r="J28" t="str">
        <f t="shared" si="36"/>
        <v>Sharpshooter</v>
      </c>
      <c r="K28" t="str">
        <f t="shared" si="36"/>
        <v>Sharpshooter</v>
      </c>
      <c r="L28" t="str">
        <f t="shared" si="7"/>
        <v>Sharpshooter</v>
      </c>
      <c r="N28" t="str">
        <f t="shared" ca="1" si="11"/>
        <v>+SoldierClasses=LWD_Sharpshooter</v>
      </c>
      <c r="O28" t="str">
        <f t="shared" ca="1" si="12"/>
        <v>[LWD_Sharpshooter X2SoldierClassTemplate]
+bMultiplayerOnly=0
+ClassPoints=4
+IconImage="img:///UILibrary_Common.class_sharpshooter"
+NumInForcedDeck=1
+NumInDeck=4
+KillAssistsPerKill=5
+SquaddieLoadout=SquaddieLWD_Sharpshooter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(AbilityName="Holotargeting", ApplyToWeaponSlot=eInvSlot_PrimaryWeapon), \\
(AbilityName="Squadsight"), \\
\\
\\
\\
\\
  ), \\
aStatProgression=((StatType=eStat_Offense,StatAmount=4), (StatType=eStat_HP,StatAmount=0), (StatType=eStat_Hacking,StatAmount=0), (StatType=eStat_CombatSims,StatAmount=1), (StatType=eStat_Will,StatAmount=3)),\\
 )
; lance corporal
+SoldierRanks=(  aAbilityTree=( (AbilityName="LongWatch", ApplyToWeaponSlot=eInvSlot_PrimaryWeapon), \\
(AbilityName=" "), \\
(AbilityName="DeathFromAbove", ApplyToWeaponSlot=eInvSlot_PrimaryWeapon), \\
  ), \\
aStatProgression=((StatType=eStat_Offense,StatAmount=3), (StatType=eStat_HP,StatAmount=0), (StatType=eStat_Hacking,StatAmount=0), (StatType=eStat_Will,StatAmount=3)),\\
 )
; corporal
+SoldierRanks=(  aAbilityTree=( (AbilityName=" "), \\
(AbilityName="ShadowOps_ThisOnesMine", ApplyToWeaponSlot=eInvSlot_PrimaryWeapon), \\
(AbilityName=" "), \\
  ), \\
aStatProgression=((StatType=eStat_Offense,StatAmount=4), (StatType=eStat_HP,StatAmount=1), (StatType=eStat_Hacking,StatAmount=0)),\\
 )
; sergeant
+SoldierRanks=(  aAbilityTree=( (AbilityName="DamnGoodGround", ApplyToWeaponSlot=eInvSlot_PrimaryWeapon), \\
(AbilityName=" "), \\
(AbilityName="HDHolo", ApplyToWeaponSlot=eInvSlot_SecondaryWeapon), \\
  ), \\
aStatProgression=((StatType=eStat_Offense,StatAmount=3), (StatType=eStat_HP,StatAmount=0), (StatType=eStat_Hacking,StatAmount=0)),\\
 )
; staff sergeant
+SoldierRanks=(  aAbilityTree=( (AbilityName="Phantom"), \\
(AbilityName=" "), \\
(AbilityName="ShadowOps_WatchfulEye", ApplyToWeaponSlot=eInvSlot_PrimaryWeapon), \\
  ), \\
aStatProgression=((StatType=eStat_Offense,StatAmount=4), (StatType=eStat_HP,StatAmount=0), (StatType=eStat_Hacking,StatAmount=0)),\\
 )
; tech sergeant
+SoldierRanks=(  aAbilityTree=( (AbilityName="ShadowOps_Bullseye", ApplyToWeaponSlot=eInvSlot_PrimaryWeapon), \\
(AbilityName=" "), \\
(AbilityName="Stealth"), \\
  ), \\
aStatProgression=((StatType=eStat_Offense,StatAmount=3), (StatType=eStat_HP,StatAmount=0), (StatType=eStat_Hacking,StatAmount=0)),\\
 )
;  gunnery sergeant
+SoldierRanks=(  aAbilityTree=( (AbilityName=" "), \\
(AbilityName="Kubikuri", ApplyToWeaponSlot=eInvSlot_PrimaryWeapon), \\
(AbilityName=" "), \\
  ), \\
aStatProgression=((StatType=eStat_Offense,StatAmount=4), (StatType=eStat_HP,StatAmount=1), (StatType=eStat_Hacking,StatAmount=0)),\\
 )
; master sergeant
+SoldierRanks=(  aAbilityTree=( (AbilityName="KillZone", ApplyToWeaponSlot=eInvSlot_PrimaryWeapon), \\
(AbilityName=" "), \\
(AbilityName="AlphaMikeFoxtrot", ApplyToWeaponSlot=eInvSlot_PrimaryWeapon), \\
  ), \\
aStatProgression=((StatType=eStat_Offense,StatAmount=3), (StatType=eStat_HP,StatAmount=0), (StatType=eStat_Hacking,StatAmount=0)),\\
 )</v>
      </c>
      <c r="P28" t="str">
        <f t="shared" ca="1" si="13"/>
        <v>+Loadouts=(LoadoutName="SquaddieLWD_Sharpshooter", Items[0]=(Item="SniperRifle_CV"), Items[1]=(Item="Holotargeter_CV"))</v>
      </c>
      <c r="Q28" t="str">
        <f t="shared" ca="1" si="14"/>
        <v>+DEBUG_StartingSoldierClasses="LWD_Sharpshooter"</v>
      </c>
      <c r="R28" t="str">
        <f t="shared" ca="1" si="15"/>
        <v>[LWD_Sharpshooter X2SoldierClassTemplate]
+DisplayName="Sharpshooter"
+ClassSummary="Our Sharpshooters engage enemy targets with pinpoint accuracy from extreme range. They carry a holotargeter to mark enemies for execution."
+LeftAbilityTreeTitle="Sniper"
+RightAbilityTreeTitle="Deadeye"
; Nicknames
RandomNickNames[0]="Angel"
RandomNickNames[1]="Bargain"
RandomNickNames[2]="Beta"
RandomNickNames[3]="Bishop"
RandomNickNames[4]="Bones"
RandomNickNames[5]="Breaker"
RandomNickNames[6]="Broker"
RandomNickNames[7]="Conquest"
RandomNickNames[8]="Last Rites"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RandomNickNames[31]="Pick'em"
; Male Nicknames
RandomNickNames_Male[0]="Candyman"
RandomNickNames_Male[1]="Mr. Clean"
RandomNickNames_Male[2]="Priest"
RandomNickNames_Male[3]="Rainman"
RandomNickNames_Male[4]="Rooster"
; Female Nicknames
RandomNickNames_Female[0]="Priestess"
RandomNickNames_Female[1]="Wolfmother"
RandomNickNames_Female[2]="Black Widow"
RandomNickNames_Female[3]="Huntress"
RandomNickNames_Female[4]="Queen"</v>
      </c>
      <c r="S28" t="s">
        <v>340</v>
      </c>
    </row>
    <row r="29" spans="1:19" x14ac:dyDescent="0.25">
      <c r="A29" t="str">
        <f>IFERROR(INDEX(Sheets,ROWS($A$3:$A29)),"")</f>
        <v>Shinobi</v>
      </c>
      <c r="B29" t="str">
        <f t="shared" ref="B29:K29" si="37">IF(A29&lt;&gt;B$2,A29,"")</f>
        <v>Shinobi</v>
      </c>
      <c r="C29" t="str">
        <f t="shared" si="37"/>
        <v>Shinobi</v>
      </c>
      <c r="D29" t="str">
        <f t="shared" si="37"/>
        <v>Shinobi</v>
      </c>
      <c r="E29" t="str">
        <f t="shared" si="37"/>
        <v>Shinobi</v>
      </c>
      <c r="F29" t="str">
        <f t="shared" si="37"/>
        <v>Shinobi</v>
      </c>
      <c r="G29" t="str">
        <f t="shared" si="37"/>
        <v>Shinobi</v>
      </c>
      <c r="H29" t="str">
        <f t="shared" si="37"/>
        <v>Shinobi</v>
      </c>
      <c r="I29" t="str">
        <f t="shared" si="37"/>
        <v>Shinobi</v>
      </c>
      <c r="J29" t="str">
        <f t="shared" si="37"/>
        <v>Shinobi</v>
      </c>
      <c r="K29" t="str">
        <f t="shared" si="37"/>
        <v>Shinobi</v>
      </c>
      <c r="L29" t="str">
        <f t="shared" si="7"/>
        <v>Shinobi</v>
      </c>
      <c r="N29" t="str">
        <f t="shared" ca="1" si="11"/>
        <v>+SoldierClasses=LWD_Shinobi</v>
      </c>
      <c r="O29" t="str">
        <f t="shared" ca="1" si="12"/>
        <v>[LWD_Shinobi X2SoldierClassTemplate]
+bMultiplayerOnly=0
+ClassPoints=4
+IconImage="img:///UILibrary_LW_PerkPack.Class_Shinobi"
+NumInForcedDeck=1
+NumInDeck=4
+KillAssistsPerKill=4
+SquaddieLoadout=SquaddieLWD_Shinobi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(AbilityName="Slash_LW", ApplyToWeaponSlot=eInvSlot_SecondaryWeapon), \\
(AbilityName="SwordSlice_LW", ApplyToWeaponSlot=eInvSlot_SecondaryWeapon), \\
(AbilityName="Phantom"), \\
\\
\\
\\
  ), \\
aStatProgression=((StatType=eStat_Offense,StatAmount=2), (StatType=eStat_HP,StatAmount=0), (StatType=eStat_Hacking,StatAmount=5), (StatType=eStat_CombatSims,StatAmount=1), (StatType=eStat_Will,StatAmount=4), (StatType=eStat_Dodge,StatAmount=2)),\\
 )
; lance corporal
+SoldierRanks=(  aAbilityTree=( (AbilityName="Ghostwalker"), \\
(AbilityName=" "), \\
(AbilityName="Cutthroat", ApplyToWeaponSlot=eInvSlot_SecondaryWeapon), \\
  ), \\
aStatProgression=((StatType=eStat_Offense,StatAmount=2), (StatType=eStat_HP,StatAmount=0), (StatType=eStat_Hacking,StatAmount=5), (StatType=eStat_Will,StatAmount=4), (StatType=eStat_Dodge,StatAmount=2)),\\
 )
; corporal
+SoldierRanks=(  aAbilityTree=( (AbilityName=" "), \\
(AbilityName="Infighter"), \\
(AbilityName=" "), \\
  ), \\
aStatProgression=((StatType=eStat_Offense,StatAmount=2), (StatType=eStat_HP,StatAmount=1), (StatType=eStat_Hacking,StatAmount=5), (StatType=eStat_Dodge,StatAmount=1)),\\
 )
; sergeant
+SoldierRanks=(  aAbilityTree=( (AbilityName="Covert"), \\
(AbilityName=" "), \\
(AbilityName="Blademaster", ApplyToWeaponSlot=eInvSlot_SecondaryWeapon), \\
  ), \\
aStatProgression=((StatType=eStat_Offense,StatAmount=2), (StatType=eStat_HP,StatAmount=0), (StatType=eStat_Hacking,StatAmount=5), (StatType=eStat_Dodge,StatAmount=1)),\\
 )
; staff sergeant
+SoldierRanks=(  aAbilityTree=( (AbilityName="Shadowstrike_LW", ApplyToWeaponSlot=eInvSlot_PrimaryWeapon ), \\
(AbilityName=" "), \\
(AbilityName="Bladestorm", ApplyToWeaponSlot=eInvSlot_SecondaryWeapon), \\
  ), \\
aStatProgression=((StatType=eStat_Offense,StatAmount=2), (StatType=eStat_HP,StatAmount=0), (StatType=eStat_Hacking,StatAmount=5), (StatType=eStat_Dodge,StatAmount=1)),\\
 )
; tech sergeant
+SoldierRanks=(  aAbilityTree=( (AbilityName="HardTarget"), \\
(AbilityName=" "), \\
(AbilityName="Whirlwind2", ApplyToWeaponSlot=eInvSlot_SecondaryWeapon), \\
  ), \\
aStatProgression=((StatType=eStat_Offense,StatAmount=2), (StatType=eStat_HP,StatAmount=0), (StatType=eStat_Hacking,StatAmount=5), (StatType=eStat_Dodge,StatAmount=1)),\\
 )
;  gunnery sergeant
+SoldierRanks=(  aAbilityTree=( (AbilityName=" "), \\
(AbilityName="Tradecraft"), \\
(AbilityName=" "), \\
  ), \\
aStatProgression=((StatType=eStat_Offense,StatAmount=2), (StatType=eStat_HP,StatAmount=1), (StatType=eStat_Hacking,StatAmount=5), (StatType=eStat_Dodge,StatAmount=1)),\\
 )
; master sergeant
+SoldierRanks=(  aAbilityTree=( (AbilityName="ShadowOps_Assassin", ApplyToWeaponSlot=eInvSlot_PrimaryWeapon), \\
(AbilityName=" "), \\
(AbilityName="Reaper", ApplyToWeaponSlot=eInvSlot_SecondaryWeapon), \\
  ), \\
aStatProgression=((StatType=eStat_Offense,StatAmount=2), (StatType=eStat_HP,StatAmount=0), (StatType=eStat_Hacking,StatAmount=5), (StatType=eStat_Dodge,StatAmount=1)),\\
 )</v>
      </c>
      <c r="P29" t="str">
        <f t="shared" ca="1" si="13"/>
        <v>+Loadouts=(LoadoutName="SquaddieLWD_Shinobi", Items[0]=(Item="AssaultRifle_CV"), Items[1]=(Item="Sword_CV"))</v>
      </c>
      <c r="Q29" t="str">
        <f t="shared" ca="1" si="14"/>
        <v>+DEBUG_StartingSoldierClasses="LWD_Shinobi"</v>
      </c>
      <c r="R29" t="str">
        <f t="shared" ca="1" si="15"/>
        <v>[LWD_Shinobi X2SoldierClassTemplate]
+DisplayName="Shinobi"
+ClassSummary="The Shinobi serves as a capable scouting unit, using a sword to deliver stealthy close-range attacks."
+LeftAbilityTreeTitle="Saboteur"
+RightAbilityTreeTitle="Kenshi"
; Nicknames
RandomNickNames[0]="Angel"
RandomNickNames[1]="Bargain"
RandomNickNames[2]="Nightlight"
RandomNickNames[3]="Bishop"
RandomNickNames[4]="Cloak"
RandomNickNames[5]="Breaker"
RandomNickNames[6]="Broker"
RandomNickNames[7]="Conquest"
RandomNickNames[8]="Deacon"
RandomNickNames[9]="Doomtrain"
RandomNickNames[10]="Nighttime"
RandomNickNames[11]="Famine"
RandomNickNames[12]="Feedback"
RandomNickNames[13]="Fencer"
RandomNickNames[14]="Genius"
RandomNickNames[15]="Gizmo"
RandomNickNames[16]="Jester"
RandomNickNames[17]="Jolt"
RandomNickNames[18]="Lightning"
RandomNickNames[19]="Mayday"
RandomNickNames[20]="Sensei"
RandomNickNames[21]="Judo"
RandomNickNames[22]="Kung Fu"
RandomNickNames[23]="Rascal"
RandomNickNames[24]="Rattler"
RandomNickNames[25]="Revelation"
RandomNickNames[26]="Skipper"
RandomNickNames[27]="Thunder"
RandomNickNames[28]="Undertaker"
RandomNickNames[29]="War"
RandomNickNames[30]="Whoopsie"
RandomNickNames[31]="Slip"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9" t="s">
        <v>340</v>
      </c>
    </row>
    <row r="30" spans="1:19" x14ac:dyDescent="0.25">
      <c r="A30" t="str">
        <f>IFERROR(INDEX(Sheets,ROWS($A$3:$A30)),"")</f>
        <v>Output</v>
      </c>
      <c r="B30" t="str">
        <f t="shared" ref="B30:K30" si="38">IF(A30&lt;&gt;B$2,A30,"")</f>
        <v>Output</v>
      </c>
      <c r="C30" t="str">
        <f t="shared" si="38"/>
        <v>Output</v>
      </c>
      <c r="D30" t="str">
        <f t="shared" si="38"/>
        <v>Output</v>
      </c>
      <c r="E30" t="str">
        <f t="shared" si="38"/>
        <v/>
      </c>
      <c r="F30" t="str">
        <f t="shared" si="38"/>
        <v/>
      </c>
      <c r="G30" t="str">
        <f t="shared" si="38"/>
        <v/>
      </c>
      <c r="H30" t="str">
        <f t="shared" si="38"/>
        <v/>
      </c>
      <c r="I30" t="str">
        <f t="shared" si="38"/>
        <v/>
      </c>
      <c r="J30" t="str">
        <f t="shared" si="38"/>
        <v/>
      </c>
      <c r="K30" t="str">
        <f t="shared" si="38"/>
        <v/>
      </c>
      <c r="L30" t="str">
        <f t="shared" si="7"/>
        <v/>
      </c>
      <c r="N30" t="str">
        <f t="shared" ca="1" si="11"/>
        <v/>
      </c>
      <c r="O30" t="str">
        <f t="shared" ca="1" si="12"/>
        <v/>
      </c>
      <c r="P30" t="str">
        <f t="shared" ca="1" si="13"/>
        <v/>
      </c>
      <c r="Q30" t="str">
        <f t="shared" ca="1" si="14"/>
        <v/>
      </c>
      <c r="R30" t="str">
        <f t="shared" ca="1" si="15"/>
        <v/>
      </c>
      <c r="S30" t="s">
        <v>340</v>
      </c>
    </row>
    <row r="31" spans="1:19" x14ac:dyDescent="0.25">
      <c r="A31" t="str">
        <f>IFERROR(INDEX(Sheets,ROWS($A$3:$A31)),"")</f>
        <v>Abilities</v>
      </c>
      <c r="B31" t="str">
        <f t="shared" ref="B31:K31" si="39">IF(A31&lt;&gt;B$2,A31,"")</f>
        <v>Abilities</v>
      </c>
      <c r="C31" t="str">
        <f t="shared" si="39"/>
        <v>Abilities</v>
      </c>
      <c r="D31" t="str">
        <f t="shared" si="39"/>
        <v>Abilities</v>
      </c>
      <c r="E31" t="str">
        <f t="shared" si="39"/>
        <v>Abilities</v>
      </c>
      <c r="F31" t="str">
        <f t="shared" si="39"/>
        <v/>
      </c>
      <c r="G31" t="str">
        <f t="shared" si="39"/>
        <v/>
      </c>
      <c r="H31" t="str">
        <f t="shared" si="39"/>
        <v/>
      </c>
      <c r="I31" t="str">
        <f t="shared" si="39"/>
        <v/>
      </c>
      <c r="J31" t="str">
        <f t="shared" si="39"/>
        <v/>
      </c>
      <c r="K31" t="str">
        <f t="shared" si="39"/>
        <v/>
      </c>
      <c r="L31" t="str">
        <f t="shared" si="7"/>
        <v/>
      </c>
      <c r="N31" t="str">
        <f t="shared" ca="1" si="11"/>
        <v/>
      </c>
      <c r="O31" t="str">
        <f t="shared" ca="1" si="12"/>
        <v/>
      </c>
      <c r="P31" t="str">
        <f t="shared" ca="1" si="13"/>
        <v/>
      </c>
      <c r="Q31" t="str">
        <f t="shared" ca="1" si="14"/>
        <v/>
      </c>
      <c r="R31" t="str">
        <f t="shared" ca="1" si="15"/>
        <v/>
      </c>
      <c r="S31" t="s">
        <v>340</v>
      </c>
    </row>
    <row r="32" spans="1:19" x14ac:dyDescent="0.25">
      <c r="A32" t="str">
        <f>IFERROR(INDEX(Sheets,ROWS($A$3:$A32)),"")</f>
        <v/>
      </c>
      <c r="B32" t="str">
        <f t="shared" ref="B32:K32" si="40">IF(A32&lt;&gt;B$2,A32,"")</f>
        <v/>
      </c>
      <c r="C32" t="str">
        <f t="shared" si="40"/>
        <v/>
      </c>
      <c r="D32" t="str">
        <f t="shared" si="40"/>
        <v/>
      </c>
      <c r="E32" t="str">
        <f t="shared" si="40"/>
        <v/>
      </c>
      <c r="F32" t="str">
        <f t="shared" si="40"/>
        <v/>
      </c>
      <c r="G32" t="str">
        <f t="shared" si="40"/>
        <v/>
      </c>
      <c r="H32" t="str">
        <f t="shared" si="40"/>
        <v/>
      </c>
      <c r="I32" t="str">
        <f t="shared" si="40"/>
        <v/>
      </c>
      <c r="J32" t="str">
        <f t="shared" si="40"/>
        <v/>
      </c>
      <c r="K32" t="str">
        <f t="shared" si="40"/>
        <v/>
      </c>
      <c r="L32" t="str">
        <f t="shared" si="7"/>
        <v/>
      </c>
      <c r="N32" t="str">
        <f t="shared" ca="1" si="11"/>
        <v/>
      </c>
      <c r="O32" t="str">
        <f t="shared" ca="1" si="12"/>
        <v/>
      </c>
      <c r="P32" t="str">
        <f t="shared" ca="1" si="13"/>
        <v/>
      </c>
      <c r="Q32" t="str">
        <f t="shared" ca="1" si="14"/>
        <v/>
      </c>
      <c r="R32" t="str">
        <f t="shared" ca="1" si="15"/>
        <v/>
      </c>
      <c r="S32" t="s">
        <v>340</v>
      </c>
    </row>
    <row r="33" spans="1:19" x14ac:dyDescent="0.25">
      <c r="A33" t="str">
        <f>IFERROR(INDEX(Sheets,ROWS($A$3:$A33)),"")</f>
        <v/>
      </c>
      <c r="B33" t="str">
        <f t="shared" ref="B33:K33" si="41">IF(A33&lt;&gt;B$2,A33,"")</f>
        <v/>
      </c>
      <c r="C33" t="str">
        <f t="shared" si="41"/>
        <v/>
      </c>
      <c r="D33" t="str">
        <f t="shared" si="41"/>
        <v/>
      </c>
      <c r="E33" t="str">
        <f t="shared" si="41"/>
        <v/>
      </c>
      <c r="F33" t="str">
        <f t="shared" si="41"/>
        <v/>
      </c>
      <c r="G33" t="str">
        <f t="shared" si="41"/>
        <v/>
      </c>
      <c r="H33" t="str">
        <f t="shared" si="41"/>
        <v/>
      </c>
      <c r="I33" t="str">
        <f t="shared" si="41"/>
        <v/>
      </c>
      <c r="J33" t="str">
        <f t="shared" si="41"/>
        <v/>
      </c>
      <c r="K33" t="str">
        <f t="shared" si="41"/>
        <v/>
      </c>
      <c r="L33" t="str">
        <f t="shared" si="7"/>
        <v/>
      </c>
      <c r="N33" t="str">
        <f t="shared" ca="1" si="11"/>
        <v/>
      </c>
      <c r="O33" t="str">
        <f t="shared" ca="1" si="12"/>
        <v/>
      </c>
      <c r="P33" t="str">
        <f t="shared" ca="1" si="13"/>
        <v/>
      </c>
      <c r="Q33" t="str">
        <f t="shared" ca="1" si="14"/>
        <v/>
      </c>
      <c r="R33" t="str">
        <f t="shared" ca="1" si="15"/>
        <v/>
      </c>
      <c r="S33" t="s">
        <v>340</v>
      </c>
    </row>
    <row r="34" spans="1:19" x14ac:dyDescent="0.25">
      <c r="A34" t="str">
        <f>IFERROR(INDEX(Sheets,ROWS($A$3:$A34)),"")</f>
        <v/>
      </c>
      <c r="B34" t="str">
        <f t="shared" ref="B34:K34" si="42">IF(A34&lt;&gt;B$2,A34,"")</f>
        <v/>
      </c>
      <c r="C34" t="str">
        <f t="shared" si="42"/>
        <v/>
      </c>
      <c r="D34" t="str">
        <f t="shared" si="42"/>
        <v/>
      </c>
      <c r="E34" t="str">
        <f t="shared" si="42"/>
        <v/>
      </c>
      <c r="F34" t="str">
        <f t="shared" si="42"/>
        <v/>
      </c>
      <c r="G34" t="str">
        <f t="shared" si="42"/>
        <v/>
      </c>
      <c r="H34" t="str">
        <f t="shared" si="42"/>
        <v/>
      </c>
      <c r="I34" t="str">
        <f t="shared" si="42"/>
        <v/>
      </c>
      <c r="J34" t="str">
        <f t="shared" si="42"/>
        <v/>
      </c>
      <c r="K34" t="str">
        <f t="shared" si="42"/>
        <v/>
      </c>
      <c r="L34" t="str">
        <f t="shared" si="7"/>
        <v/>
      </c>
      <c r="N34" t="str">
        <f t="shared" ca="1" si="11"/>
        <v/>
      </c>
      <c r="O34" t="str">
        <f t="shared" ca="1" si="12"/>
        <v/>
      </c>
      <c r="P34" t="str">
        <f t="shared" ca="1" si="13"/>
        <v/>
      </c>
      <c r="Q34" t="str">
        <f t="shared" ca="1" si="14"/>
        <v/>
      </c>
      <c r="R34" t="str">
        <f t="shared" ca="1" si="15"/>
        <v/>
      </c>
      <c r="S34" t="s">
        <v>340</v>
      </c>
    </row>
    <row r="35" spans="1:19" x14ac:dyDescent="0.25">
      <c r="A35" t="str">
        <f>IFERROR(INDEX(Sheets,ROWS($A$3:$A35)),"")</f>
        <v/>
      </c>
      <c r="B35" t="str">
        <f t="shared" ref="B35:K35" si="43">IF(A35&lt;&gt;B$2,A35,"")</f>
        <v/>
      </c>
      <c r="C35" t="str">
        <f t="shared" si="43"/>
        <v/>
      </c>
      <c r="D35" t="str">
        <f t="shared" si="43"/>
        <v/>
      </c>
      <c r="E35" t="str">
        <f t="shared" si="43"/>
        <v/>
      </c>
      <c r="F35" t="str">
        <f t="shared" si="43"/>
        <v/>
      </c>
      <c r="G35" t="str">
        <f t="shared" si="43"/>
        <v/>
      </c>
      <c r="H35" t="str">
        <f t="shared" si="43"/>
        <v/>
      </c>
      <c r="I35" t="str">
        <f t="shared" si="43"/>
        <v/>
      </c>
      <c r="J35" t="str">
        <f t="shared" si="43"/>
        <v/>
      </c>
      <c r="K35" t="str">
        <f t="shared" si="43"/>
        <v/>
      </c>
      <c r="L35" t="str">
        <f t="shared" si="7"/>
        <v/>
      </c>
      <c r="N35" t="str">
        <f t="shared" ca="1" si="11"/>
        <v/>
      </c>
      <c r="O35" t="str">
        <f t="shared" ca="1" si="12"/>
        <v/>
      </c>
      <c r="P35" t="str">
        <f t="shared" ca="1" si="13"/>
        <v/>
      </c>
      <c r="Q35" t="str">
        <f t="shared" ca="1" si="14"/>
        <v/>
      </c>
      <c r="R35" t="str">
        <f t="shared" ca="1" si="15"/>
        <v/>
      </c>
      <c r="S35" t="s">
        <v>340</v>
      </c>
    </row>
    <row r="36" spans="1:19" x14ac:dyDescent="0.25">
      <c r="A36" t="str">
        <f>IFERROR(INDEX(Sheets,ROWS($A$3:$A36)),"")</f>
        <v/>
      </c>
      <c r="B36" t="str">
        <f t="shared" ref="B36:K36" si="44">IF(A36&lt;&gt;B$2,A36,"")</f>
        <v/>
      </c>
      <c r="C36" t="str">
        <f t="shared" si="44"/>
        <v/>
      </c>
      <c r="D36" t="str">
        <f t="shared" si="44"/>
        <v/>
      </c>
      <c r="E36" t="str">
        <f t="shared" si="44"/>
        <v/>
      </c>
      <c r="F36" t="str">
        <f t="shared" si="44"/>
        <v/>
      </c>
      <c r="G36" t="str">
        <f t="shared" si="44"/>
        <v/>
      </c>
      <c r="H36" t="str">
        <f t="shared" si="44"/>
        <v/>
      </c>
      <c r="I36" t="str">
        <f t="shared" si="44"/>
        <v/>
      </c>
      <c r="J36" t="str">
        <f t="shared" si="44"/>
        <v/>
      </c>
      <c r="K36" t="str">
        <f t="shared" si="44"/>
        <v/>
      </c>
      <c r="L36" t="str">
        <f t="shared" si="7"/>
        <v/>
      </c>
      <c r="N36" t="str">
        <f t="shared" ca="1" si="11"/>
        <v/>
      </c>
      <c r="O36" t="str">
        <f t="shared" ca="1" si="12"/>
        <v/>
      </c>
      <c r="P36" t="str">
        <f t="shared" ca="1" si="13"/>
        <v/>
      </c>
      <c r="Q36" t="str">
        <f t="shared" ca="1" si="14"/>
        <v/>
      </c>
      <c r="R36" t="str">
        <f t="shared" ca="1" si="15"/>
        <v/>
      </c>
      <c r="S36" t="s">
        <v>340</v>
      </c>
    </row>
    <row r="37" spans="1:19" x14ac:dyDescent="0.25">
      <c r="A37" t="str">
        <f>IFERROR(INDEX(Sheets,ROWS($A$3:$A37)),"")</f>
        <v/>
      </c>
      <c r="B37" t="str">
        <f t="shared" ref="B37:K37" si="45">IF(A37&lt;&gt;B$2,A37,"")</f>
        <v/>
      </c>
      <c r="C37" t="str">
        <f t="shared" si="45"/>
        <v/>
      </c>
      <c r="D37" t="str">
        <f t="shared" si="45"/>
        <v/>
      </c>
      <c r="E37" t="str">
        <f t="shared" si="45"/>
        <v/>
      </c>
      <c r="F37" t="str">
        <f t="shared" si="45"/>
        <v/>
      </c>
      <c r="G37" t="str">
        <f t="shared" si="45"/>
        <v/>
      </c>
      <c r="H37" t="str">
        <f t="shared" si="45"/>
        <v/>
      </c>
      <c r="I37" t="str">
        <f t="shared" si="45"/>
        <v/>
      </c>
      <c r="J37" t="str">
        <f t="shared" si="45"/>
        <v/>
      </c>
      <c r="K37" t="str">
        <f t="shared" si="45"/>
        <v/>
      </c>
      <c r="L37" t="str">
        <f t="shared" si="7"/>
        <v/>
      </c>
      <c r="N37" t="str">
        <f t="shared" ca="1" si="11"/>
        <v/>
      </c>
      <c r="O37" t="str">
        <f t="shared" ca="1" si="12"/>
        <v/>
      </c>
      <c r="P37" t="str">
        <f t="shared" ca="1" si="13"/>
        <v/>
      </c>
      <c r="Q37" t="str">
        <f t="shared" ca="1" si="14"/>
        <v/>
      </c>
      <c r="R37" t="str">
        <f t="shared" ca="1" si="15"/>
        <v/>
      </c>
      <c r="S37" t="s">
        <v>340</v>
      </c>
    </row>
    <row r="38" spans="1:19" x14ac:dyDescent="0.25">
      <c r="A38" t="str">
        <f>IFERROR(INDEX(Sheets,ROWS($A$3:$A38)),"")</f>
        <v/>
      </c>
      <c r="B38" t="str">
        <f t="shared" ref="B38:K38" si="46">IF(A38&lt;&gt;B$2,A38,"")</f>
        <v/>
      </c>
      <c r="C38" t="str">
        <f t="shared" si="46"/>
        <v/>
      </c>
      <c r="D38" t="str">
        <f t="shared" si="46"/>
        <v/>
      </c>
      <c r="E38" t="str">
        <f t="shared" si="46"/>
        <v/>
      </c>
      <c r="F38" t="str">
        <f t="shared" si="46"/>
        <v/>
      </c>
      <c r="G38" t="str">
        <f t="shared" si="46"/>
        <v/>
      </c>
      <c r="H38" t="str">
        <f t="shared" si="46"/>
        <v/>
      </c>
      <c r="I38" t="str">
        <f t="shared" si="46"/>
        <v/>
      </c>
      <c r="J38" t="str">
        <f t="shared" si="46"/>
        <v/>
      </c>
      <c r="K38" t="str">
        <f t="shared" si="46"/>
        <v/>
      </c>
      <c r="L38" t="str">
        <f t="shared" si="7"/>
        <v/>
      </c>
      <c r="N38" t="str">
        <f t="shared" ca="1" si="11"/>
        <v/>
      </c>
      <c r="O38" t="str">
        <f t="shared" ca="1" si="12"/>
        <v/>
      </c>
      <c r="P38" t="str">
        <f t="shared" ca="1" si="13"/>
        <v/>
      </c>
      <c r="Q38" t="str">
        <f t="shared" ca="1" si="14"/>
        <v/>
      </c>
      <c r="R38" t="str">
        <f t="shared" ca="1" si="15"/>
        <v/>
      </c>
      <c r="S38" t="s">
        <v>340</v>
      </c>
    </row>
    <row r="39" spans="1:19" x14ac:dyDescent="0.25">
      <c r="A39" t="str">
        <f>IFERROR(INDEX(Sheets,ROWS($A$3:$A39)),"")</f>
        <v/>
      </c>
      <c r="B39" t="str">
        <f t="shared" ref="B39:K39" si="47">IF(A39&lt;&gt;B$2,A39,"")</f>
        <v/>
      </c>
      <c r="C39" t="str">
        <f t="shared" si="47"/>
        <v/>
      </c>
      <c r="D39" t="str">
        <f t="shared" si="47"/>
        <v/>
      </c>
      <c r="E39" t="str">
        <f t="shared" si="47"/>
        <v/>
      </c>
      <c r="F39" t="str">
        <f t="shared" si="47"/>
        <v/>
      </c>
      <c r="G39" t="str">
        <f t="shared" si="47"/>
        <v/>
      </c>
      <c r="H39" t="str">
        <f t="shared" si="47"/>
        <v/>
      </c>
      <c r="I39" t="str">
        <f t="shared" si="47"/>
        <v/>
      </c>
      <c r="J39" t="str">
        <f t="shared" si="47"/>
        <v/>
      </c>
      <c r="K39" t="str">
        <f t="shared" si="47"/>
        <v/>
      </c>
      <c r="L39" t="str">
        <f t="shared" si="7"/>
        <v/>
      </c>
      <c r="N39" t="str">
        <f t="shared" ca="1" si="11"/>
        <v/>
      </c>
      <c r="O39" t="str">
        <f t="shared" ca="1" si="12"/>
        <v/>
      </c>
      <c r="P39" t="str">
        <f t="shared" ca="1" si="13"/>
        <v/>
      </c>
      <c r="Q39" t="str">
        <f t="shared" ca="1" si="14"/>
        <v/>
      </c>
      <c r="R39" t="str">
        <f t="shared" ca="1" si="15"/>
        <v/>
      </c>
      <c r="S39" t="s">
        <v>340</v>
      </c>
    </row>
    <row r="40" spans="1:19" x14ac:dyDescent="0.25">
      <c r="A40" t="str">
        <f>IFERROR(INDEX(Sheets,ROWS($A$3:$A40)),"")</f>
        <v/>
      </c>
      <c r="B40" t="str">
        <f t="shared" ref="B40:K40" si="48">IF(A40&lt;&gt;B$2,A40,"")</f>
        <v/>
      </c>
      <c r="C40" t="str">
        <f t="shared" si="48"/>
        <v/>
      </c>
      <c r="D40" t="str">
        <f t="shared" si="48"/>
        <v/>
      </c>
      <c r="E40" t="str">
        <f t="shared" si="48"/>
        <v/>
      </c>
      <c r="F40" t="str">
        <f t="shared" si="48"/>
        <v/>
      </c>
      <c r="G40" t="str">
        <f t="shared" si="48"/>
        <v/>
      </c>
      <c r="H40" t="str">
        <f t="shared" si="48"/>
        <v/>
      </c>
      <c r="I40" t="str">
        <f t="shared" si="48"/>
        <v/>
      </c>
      <c r="J40" t="str">
        <f t="shared" si="48"/>
        <v/>
      </c>
      <c r="K40" t="str">
        <f t="shared" si="48"/>
        <v/>
      </c>
      <c r="L40" t="str">
        <f t="shared" si="7"/>
        <v/>
      </c>
      <c r="N40" t="str">
        <f t="shared" ca="1" si="11"/>
        <v/>
      </c>
      <c r="O40" t="str">
        <f t="shared" ca="1" si="12"/>
        <v/>
      </c>
      <c r="P40" t="str">
        <f t="shared" ca="1" si="13"/>
        <v/>
      </c>
      <c r="Q40" t="str">
        <f t="shared" ca="1" si="14"/>
        <v/>
      </c>
      <c r="R40" t="str">
        <f t="shared" ca="1" si="15"/>
        <v/>
      </c>
      <c r="S40" t="s">
        <v>340</v>
      </c>
    </row>
    <row r="41" spans="1:19" x14ac:dyDescent="0.25">
      <c r="A41" t="str">
        <f>IFERROR(INDEX(Sheets,ROWS($A$3:$A41)),"")</f>
        <v/>
      </c>
      <c r="B41" t="str">
        <f t="shared" ref="B41:K41" si="49">IF(A41&lt;&gt;B$2,A41,"")</f>
        <v/>
      </c>
      <c r="C41" t="str">
        <f t="shared" si="49"/>
        <v/>
      </c>
      <c r="D41" t="str">
        <f t="shared" si="49"/>
        <v/>
      </c>
      <c r="E41" t="str">
        <f t="shared" si="49"/>
        <v/>
      </c>
      <c r="F41" t="str">
        <f t="shared" si="49"/>
        <v/>
      </c>
      <c r="G41" t="str">
        <f t="shared" si="49"/>
        <v/>
      </c>
      <c r="H41" t="str">
        <f t="shared" si="49"/>
        <v/>
      </c>
      <c r="I41" t="str">
        <f t="shared" si="49"/>
        <v/>
      </c>
      <c r="J41" t="str">
        <f t="shared" si="49"/>
        <v/>
      </c>
      <c r="K41" t="str">
        <f t="shared" si="49"/>
        <v/>
      </c>
      <c r="L41" t="str">
        <f t="shared" si="7"/>
        <v/>
      </c>
      <c r="N41" t="str">
        <f t="shared" ca="1" si="11"/>
        <v/>
      </c>
      <c r="O41" t="str">
        <f t="shared" ca="1" si="12"/>
        <v/>
      </c>
      <c r="P41" t="str">
        <f t="shared" ca="1" si="13"/>
        <v/>
      </c>
      <c r="Q41" t="str">
        <f t="shared" ca="1" si="14"/>
        <v/>
      </c>
      <c r="R41" t="str">
        <f t="shared" ca="1" si="15"/>
        <v/>
      </c>
      <c r="S41" t="s">
        <v>340</v>
      </c>
    </row>
    <row r="42" spans="1:19" x14ac:dyDescent="0.25">
      <c r="A42" t="str">
        <f>IFERROR(INDEX(Sheets,ROWS($A$3:$A42)),"")</f>
        <v/>
      </c>
      <c r="B42" t="str">
        <f t="shared" ref="B42:K42" si="50">IF(A42&lt;&gt;B$2,A42,"")</f>
        <v/>
      </c>
      <c r="C42" t="str">
        <f t="shared" si="50"/>
        <v/>
      </c>
      <c r="D42" t="str">
        <f t="shared" si="50"/>
        <v/>
      </c>
      <c r="E42" t="str">
        <f t="shared" si="50"/>
        <v/>
      </c>
      <c r="F42" t="str">
        <f t="shared" si="50"/>
        <v/>
      </c>
      <c r="G42" t="str">
        <f t="shared" si="50"/>
        <v/>
      </c>
      <c r="H42" t="str">
        <f t="shared" si="50"/>
        <v/>
      </c>
      <c r="I42" t="str">
        <f t="shared" si="50"/>
        <v/>
      </c>
      <c r="J42" t="str">
        <f t="shared" si="50"/>
        <v/>
      </c>
      <c r="K42" t="str">
        <f t="shared" si="50"/>
        <v/>
      </c>
      <c r="L42" t="str">
        <f t="shared" si="7"/>
        <v/>
      </c>
      <c r="N42" t="str">
        <f t="shared" ca="1" si="11"/>
        <v/>
      </c>
      <c r="O42" t="str">
        <f t="shared" ca="1" si="12"/>
        <v/>
      </c>
      <c r="P42" t="str">
        <f t="shared" ca="1" si="13"/>
        <v/>
      </c>
      <c r="Q42" t="str">
        <f t="shared" ca="1" si="14"/>
        <v/>
      </c>
      <c r="R42" t="str">
        <f t="shared" ca="1" si="15"/>
        <v/>
      </c>
      <c r="S42" t="s">
        <v>340</v>
      </c>
    </row>
    <row r="43" spans="1:19" x14ac:dyDescent="0.25">
      <c r="A43" t="str">
        <f>IFERROR(INDEX(Sheets,ROWS($A$3:$A43)),"")</f>
        <v/>
      </c>
      <c r="B43" t="str">
        <f t="shared" ref="B43:K43" si="51">IF(A43&lt;&gt;B$2,A43,"")</f>
        <v/>
      </c>
      <c r="C43" t="str">
        <f t="shared" si="51"/>
        <v/>
      </c>
      <c r="D43" t="str">
        <f t="shared" si="51"/>
        <v/>
      </c>
      <c r="E43" t="str">
        <f t="shared" si="51"/>
        <v/>
      </c>
      <c r="F43" t="str">
        <f t="shared" si="51"/>
        <v/>
      </c>
      <c r="G43" t="str">
        <f t="shared" si="51"/>
        <v/>
      </c>
      <c r="H43" t="str">
        <f t="shared" si="51"/>
        <v/>
      </c>
      <c r="I43" t="str">
        <f t="shared" si="51"/>
        <v/>
      </c>
      <c r="J43" t="str">
        <f t="shared" si="51"/>
        <v/>
      </c>
      <c r="K43" t="str">
        <f t="shared" si="51"/>
        <v/>
      </c>
      <c r="L43" t="str">
        <f t="shared" si="7"/>
        <v/>
      </c>
      <c r="N43" t="str">
        <f t="shared" ca="1" si="11"/>
        <v/>
      </c>
      <c r="O43" t="str">
        <f t="shared" ca="1" si="12"/>
        <v/>
      </c>
      <c r="P43" t="str">
        <f t="shared" ca="1" si="13"/>
        <v/>
      </c>
      <c r="Q43" t="str">
        <f t="shared" ca="1" si="14"/>
        <v/>
      </c>
      <c r="R43" t="str">
        <f t="shared" ca="1" si="15"/>
        <v/>
      </c>
      <c r="S43" t="s">
        <v>340</v>
      </c>
    </row>
    <row r="44" spans="1:19" x14ac:dyDescent="0.25">
      <c r="A44" t="str">
        <f>IFERROR(INDEX(Sheets,ROWS($A$3:$A44)),"")</f>
        <v/>
      </c>
      <c r="B44" t="str">
        <f t="shared" ref="B44:K44" si="52">IF(A44&lt;&gt;B$2,A44,"")</f>
        <v/>
      </c>
      <c r="C44" t="str">
        <f t="shared" si="52"/>
        <v/>
      </c>
      <c r="D44" t="str">
        <f t="shared" si="52"/>
        <v/>
      </c>
      <c r="E44" t="str">
        <f t="shared" si="52"/>
        <v/>
      </c>
      <c r="F44" t="str">
        <f t="shared" si="52"/>
        <v/>
      </c>
      <c r="G44" t="str">
        <f t="shared" si="52"/>
        <v/>
      </c>
      <c r="H44" t="str">
        <f t="shared" si="52"/>
        <v/>
      </c>
      <c r="I44" t="str">
        <f t="shared" si="52"/>
        <v/>
      </c>
      <c r="J44" t="str">
        <f t="shared" si="52"/>
        <v/>
      </c>
      <c r="K44" t="str">
        <f t="shared" si="52"/>
        <v/>
      </c>
      <c r="L44" t="str">
        <f t="shared" si="7"/>
        <v/>
      </c>
      <c r="N44" t="str">
        <f t="shared" ca="1" si="11"/>
        <v/>
      </c>
      <c r="O44" t="str">
        <f t="shared" ca="1" si="12"/>
        <v/>
      </c>
      <c r="P44" t="str">
        <f t="shared" ca="1" si="13"/>
        <v/>
      </c>
      <c r="Q44" t="str">
        <f t="shared" ca="1" si="14"/>
        <v/>
      </c>
      <c r="R44" t="str">
        <f t="shared" ca="1" si="15"/>
        <v/>
      </c>
      <c r="S44" t="s">
        <v>340</v>
      </c>
    </row>
    <row r="45" spans="1:19" x14ac:dyDescent="0.25">
      <c r="A45" t="str">
        <f>IFERROR(INDEX(Sheets,ROWS($A$3:$A45)),"")</f>
        <v/>
      </c>
      <c r="B45" t="str">
        <f t="shared" ref="B45:K45" si="53">IF(A45&lt;&gt;B$2,A45,"")</f>
        <v/>
      </c>
      <c r="C45" t="str">
        <f t="shared" si="53"/>
        <v/>
      </c>
      <c r="D45" t="str">
        <f t="shared" si="53"/>
        <v/>
      </c>
      <c r="E45" t="str">
        <f t="shared" si="53"/>
        <v/>
      </c>
      <c r="F45" t="str">
        <f t="shared" si="53"/>
        <v/>
      </c>
      <c r="G45" t="str">
        <f t="shared" si="53"/>
        <v/>
      </c>
      <c r="H45" t="str">
        <f t="shared" si="53"/>
        <v/>
      </c>
      <c r="I45" t="str">
        <f t="shared" si="53"/>
        <v/>
      </c>
      <c r="J45" t="str">
        <f t="shared" si="53"/>
        <v/>
      </c>
      <c r="K45" t="str">
        <f t="shared" si="53"/>
        <v/>
      </c>
      <c r="L45" t="str">
        <f t="shared" si="7"/>
        <v/>
      </c>
      <c r="N45" t="str">
        <f t="shared" ca="1" si="11"/>
        <v/>
      </c>
      <c r="O45" t="str">
        <f t="shared" ca="1" si="12"/>
        <v/>
      </c>
      <c r="P45" t="str">
        <f t="shared" ca="1" si="13"/>
        <v/>
      </c>
      <c r="Q45" t="str">
        <f t="shared" ca="1" si="14"/>
        <v/>
      </c>
      <c r="R45" t="str">
        <f t="shared" ca="1" si="15"/>
        <v/>
      </c>
      <c r="S45" t="s">
        <v>340</v>
      </c>
    </row>
    <row r="46" spans="1:19" x14ac:dyDescent="0.25">
      <c r="A46" t="str">
        <f>IFERROR(INDEX(Sheets,ROWS($A$3:$A46)),"")</f>
        <v/>
      </c>
      <c r="B46" t="str">
        <f t="shared" ref="B46:K46" si="54">IF(A46&lt;&gt;B$2,A46,"")</f>
        <v/>
      </c>
      <c r="C46" t="str">
        <f t="shared" si="54"/>
        <v/>
      </c>
      <c r="D46" t="str">
        <f t="shared" si="54"/>
        <v/>
      </c>
      <c r="E46" t="str">
        <f t="shared" si="54"/>
        <v/>
      </c>
      <c r="F46" t="str">
        <f t="shared" si="54"/>
        <v/>
      </c>
      <c r="G46" t="str">
        <f t="shared" si="54"/>
        <v/>
      </c>
      <c r="H46" t="str">
        <f t="shared" si="54"/>
        <v/>
      </c>
      <c r="I46" t="str">
        <f t="shared" si="54"/>
        <v/>
      </c>
      <c r="J46" t="str">
        <f t="shared" si="54"/>
        <v/>
      </c>
      <c r="K46" t="str">
        <f t="shared" si="54"/>
        <v/>
      </c>
      <c r="L46" t="str">
        <f t="shared" si="7"/>
        <v/>
      </c>
      <c r="N46" t="str">
        <f t="shared" ca="1" si="11"/>
        <v/>
      </c>
      <c r="O46" t="str">
        <f t="shared" ca="1" si="12"/>
        <v/>
      </c>
      <c r="P46" t="str">
        <f t="shared" ca="1" si="13"/>
        <v/>
      </c>
      <c r="Q46" t="str">
        <f t="shared" ca="1" si="14"/>
        <v/>
      </c>
      <c r="R46" t="str">
        <f t="shared" ca="1" si="15"/>
        <v/>
      </c>
      <c r="S46" t="s">
        <v>340</v>
      </c>
    </row>
    <row r="47" spans="1:19" x14ac:dyDescent="0.25">
      <c r="A47" t="str">
        <f>IFERROR(INDEX(Sheets,ROWS($A$3:$A47)),"")</f>
        <v/>
      </c>
      <c r="B47" t="str">
        <f t="shared" ref="B47:K47" si="55">IF(A47&lt;&gt;B$2,A47,"")</f>
        <v/>
      </c>
      <c r="C47" t="str">
        <f t="shared" si="55"/>
        <v/>
      </c>
      <c r="D47" t="str">
        <f t="shared" si="55"/>
        <v/>
      </c>
      <c r="E47" t="str">
        <f t="shared" si="55"/>
        <v/>
      </c>
      <c r="F47" t="str">
        <f t="shared" si="55"/>
        <v/>
      </c>
      <c r="G47" t="str">
        <f t="shared" si="55"/>
        <v/>
      </c>
      <c r="H47" t="str">
        <f t="shared" si="55"/>
        <v/>
      </c>
      <c r="I47" t="str">
        <f t="shared" si="55"/>
        <v/>
      </c>
      <c r="J47" t="str">
        <f t="shared" si="55"/>
        <v/>
      </c>
      <c r="K47" t="str">
        <f t="shared" si="55"/>
        <v/>
      </c>
      <c r="L47" t="str">
        <f t="shared" si="7"/>
        <v/>
      </c>
      <c r="N47" t="str">
        <f t="shared" ca="1" si="11"/>
        <v/>
      </c>
      <c r="O47" t="str">
        <f t="shared" ca="1" si="12"/>
        <v/>
      </c>
      <c r="P47" t="str">
        <f t="shared" ca="1" si="13"/>
        <v/>
      </c>
      <c r="Q47" t="str">
        <f t="shared" ca="1" si="14"/>
        <v/>
      </c>
      <c r="R47" t="str">
        <f t="shared" ca="1" si="15"/>
        <v/>
      </c>
      <c r="S47" t="s">
        <v>340</v>
      </c>
    </row>
    <row r="48" spans="1:19" x14ac:dyDescent="0.25">
      <c r="A48" t="str">
        <f>IFERROR(INDEX(Sheets,ROWS($A$3:$A48)),"")</f>
        <v/>
      </c>
      <c r="B48" t="str">
        <f t="shared" ref="B48:K48" si="56">IF(A48&lt;&gt;B$2,A48,"")</f>
        <v/>
      </c>
      <c r="C48" t="str">
        <f t="shared" si="56"/>
        <v/>
      </c>
      <c r="D48" t="str">
        <f t="shared" si="56"/>
        <v/>
      </c>
      <c r="E48" t="str">
        <f t="shared" si="56"/>
        <v/>
      </c>
      <c r="F48" t="str">
        <f t="shared" si="56"/>
        <v/>
      </c>
      <c r="G48" t="str">
        <f t="shared" si="56"/>
        <v/>
      </c>
      <c r="H48" t="str">
        <f t="shared" si="56"/>
        <v/>
      </c>
      <c r="I48" t="str">
        <f t="shared" si="56"/>
        <v/>
      </c>
      <c r="J48" t="str">
        <f t="shared" si="56"/>
        <v/>
      </c>
      <c r="K48" t="str">
        <f t="shared" si="56"/>
        <v/>
      </c>
      <c r="L48" t="str">
        <f t="shared" si="7"/>
        <v/>
      </c>
      <c r="N48" t="str">
        <f t="shared" ca="1" si="11"/>
        <v/>
      </c>
      <c r="O48" t="str">
        <f t="shared" ca="1" si="12"/>
        <v/>
      </c>
      <c r="P48" t="str">
        <f t="shared" ca="1" si="13"/>
        <v/>
      </c>
      <c r="Q48" t="str">
        <f t="shared" ca="1" si="14"/>
        <v/>
      </c>
      <c r="R48" t="str">
        <f t="shared" ca="1" si="15"/>
        <v/>
      </c>
      <c r="S48" t="s">
        <v>340</v>
      </c>
    </row>
    <row r="49" spans="1:19" x14ac:dyDescent="0.25">
      <c r="A49" t="str">
        <f>IFERROR(INDEX(Sheets,ROWS($A$3:$A49)),"")</f>
        <v/>
      </c>
      <c r="B49" t="str">
        <f t="shared" ref="B49:K49" si="57">IF(A49&lt;&gt;B$2,A49,"")</f>
        <v/>
      </c>
      <c r="C49" t="str">
        <f t="shared" si="57"/>
        <v/>
      </c>
      <c r="D49" t="str">
        <f t="shared" si="57"/>
        <v/>
      </c>
      <c r="E49" t="str">
        <f t="shared" si="57"/>
        <v/>
      </c>
      <c r="F49" t="str">
        <f t="shared" si="57"/>
        <v/>
      </c>
      <c r="G49" t="str">
        <f t="shared" si="57"/>
        <v/>
      </c>
      <c r="H49" t="str">
        <f t="shared" si="57"/>
        <v/>
      </c>
      <c r="I49" t="str">
        <f t="shared" si="57"/>
        <v/>
      </c>
      <c r="J49" t="str">
        <f t="shared" si="57"/>
        <v/>
      </c>
      <c r="K49" t="str">
        <f t="shared" si="57"/>
        <v/>
      </c>
      <c r="L49" t="str">
        <f t="shared" si="7"/>
        <v/>
      </c>
      <c r="N49" t="str">
        <f t="shared" ca="1" si="11"/>
        <v/>
      </c>
      <c r="O49" t="str">
        <f t="shared" ca="1" si="12"/>
        <v/>
      </c>
      <c r="P49" t="str">
        <f t="shared" ca="1" si="13"/>
        <v/>
      </c>
      <c r="Q49" t="str">
        <f t="shared" ca="1" si="14"/>
        <v/>
      </c>
      <c r="R49" t="str">
        <f t="shared" ca="1" si="15"/>
        <v/>
      </c>
      <c r="S49" t="s">
        <v>340</v>
      </c>
    </row>
    <row r="50" spans="1:19" x14ac:dyDescent="0.25">
      <c r="A50" t="str">
        <f>IFERROR(INDEX(Sheets,ROWS($A$3:$A50)),"")</f>
        <v/>
      </c>
      <c r="B50" t="str">
        <f t="shared" ref="B50:K50" si="58">IF(A50&lt;&gt;B$2,A50,"")</f>
        <v/>
      </c>
      <c r="C50" t="str">
        <f t="shared" si="58"/>
        <v/>
      </c>
      <c r="D50" t="str">
        <f t="shared" si="58"/>
        <v/>
      </c>
      <c r="E50" t="str">
        <f t="shared" si="58"/>
        <v/>
      </c>
      <c r="F50" t="str">
        <f t="shared" si="58"/>
        <v/>
      </c>
      <c r="G50" t="str">
        <f t="shared" si="58"/>
        <v/>
      </c>
      <c r="H50" t="str">
        <f t="shared" si="58"/>
        <v/>
      </c>
      <c r="I50" t="str">
        <f t="shared" si="58"/>
        <v/>
      </c>
      <c r="J50" t="str">
        <f t="shared" si="58"/>
        <v/>
      </c>
      <c r="K50" t="str">
        <f t="shared" si="58"/>
        <v/>
      </c>
      <c r="L50" t="str">
        <f t="shared" si="7"/>
        <v/>
      </c>
      <c r="N50" t="str">
        <f t="shared" ca="1" si="11"/>
        <v/>
      </c>
      <c r="O50" t="str">
        <f t="shared" ca="1" si="12"/>
        <v/>
      </c>
      <c r="P50" t="str">
        <f t="shared" ca="1" si="13"/>
        <v/>
      </c>
      <c r="Q50" t="str">
        <f t="shared" ca="1" si="14"/>
        <v/>
      </c>
      <c r="R50" t="str">
        <f t="shared" ca="1" si="15"/>
        <v/>
      </c>
      <c r="S50" t="s">
        <v>340</v>
      </c>
    </row>
    <row r="51" spans="1:19" x14ac:dyDescent="0.25">
      <c r="A51" t="str">
        <f>IFERROR(INDEX(Sheets,ROWS($A$3:$A51)),"")</f>
        <v/>
      </c>
      <c r="B51" t="str">
        <f t="shared" ref="B51:K51" si="59">IF(A51&lt;&gt;B$2,A51,"")</f>
        <v/>
      </c>
      <c r="C51" t="str">
        <f t="shared" si="59"/>
        <v/>
      </c>
      <c r="D51" t="str">
        <f t="shared" si="59"/>
        <v/>
      </c>
      <c r="E51" t="str">
        <f t="shared" si="59"/>
        <v/>
      </c>
      <c r="F51" t="str">
        <f t="shared" si="59"/>
        <v/>
      </c>
      <c r="G51" t="str">
        <f t="shared" si="59"/>
        <v/>
      </c>
      <c r="H51" t="str">
        <f t="shared" si="59"/>
        <v/>
      </c>
      <c r="I51" t="str">
        <f t="shared" si="59"/>
        <v/>
      </c>
      <c r="J51" t="str">
        <f t="shared" si="59"/>
        <v/>
      </c>
      <c r="K51" t="str">
        <f t="shared" si="59"/>
        <v/>
      </c>
      <c r="L51" t="str">
        <f t="shared" si="7"/>
        <v/>
      </c>
      <c r="N51" t="str">
        <f t="shared" ca="1" si="11"/>
        <v/>
      </c>
      <c r="O51" t="str">
        <f t="shared" ca="1" si="12"/>
        <v/>
      </c>
      <c r="P51" t="str">
        <f t="shared" ca="1" si="13"/>
        <v/>
      </c>
      <c r="Q51" t="str">
        <f t="shared" ca="1" si="14"/>
        <v/>
      </c>
      <c r="R51" t="str">
        <f t="shared" ca="1" si="15"/>
        <v/>
      </c>
      <c r="S51" t="s">
        <v>340</v>
      </c>
    </row>
    <row r="52" spans="1:19" x14ac:dyDescent="0.25">
      <c r="A52" t="str">
        <f>IFERROR(INDEX(Sheets,ROWS($A$3:$A52)),"")</f>
        <v/>
      </c>
      <c r="B52" t="str">
        <f t="shared" ref="B52:K52" si="60">IF(A52&lt;&gt;B$2,A52,"")</f>
        <v/>
      </c>
      <c r="C52" t="str">
        <f t="shared" si="60"/>
        <v/>
      </c>
      <c r="D52" t="str">
        <f t="shared" si="60"/>
        <v/>
      </c>
      <c r="E52" t="str">
        <f t="shared" si="60"/>
        <v/>
      </c>
      <c r="F52" t="str">
        <f t="shared" si="60"/>
        <v/>
      </c>
      <c r="G52" t="str">
        <f t="shared" si="60"/>
        <v/>
      </c>
      <c r="H52" t="str">
        <f t="shared" si="60"/>
        <v/>
      </c>
      <c r="I52" t="str">
        <f t="shared" si="60"/>
        <v/>
      </c>
      <c r="J52" t="str">
        <f t="shared" si="60"/>
        <v/>
      </c>
      <c r="K52" t="str">
        <f t="shared" si="60"/>
        <v/>
      </c>
      <c r="L52" t="str">
        <f t="shared" si="7"/>
        <v/>
      </c>
      <c r="N52" t="str">
        <f t="shared" ca="1" si="11"/>
        <v/>
      </c>
      <c r="O52" t="str">
        <f t="shared" ca="1" si="12"/>
        <v/>
      </c>
      <c r="P52" t="str">
        <f t="shared" ca="1" si="13"/>
        <v/>
      </c>
      <c r="Q52" t="str">
        <f t="shared" ca="1" si="14"/>
        <v/>
      </c>
      <c r="R52" t="str">
        <f t="shared" ca="1" si="15"/>
        <v/>
      </c>
      <c r="S52" t="s">
        <v>340</v>
      </c>
    </row>
    <row r="53" spans="1:19" x14ac:dyDescent="0.25">
      <c r="A53" t="str">
        <f>IFERROR(INDEX(Sheets,ROWS($A$3:$A53)),"")</f>
        <v/>
      </c>
      <c r="B53" t="str">
        <f t="shared" ref="B53:K53" si="61">IF(A53&lt;&gt;B$2,A53,"")</f>
        <v/>
      </c>
      <c r="C53" t="str">
        <f t="shared" si="61"/>
        <v/>
      </c>
      <c r="D53" t="str">
        <f t="shared" si="61"/>
        <v/>
      </c>
      <c r="E53" t="str">
        <f t="shared" si="61"/>
        <v/>
      </c>
      <c r="F53" t="str">
        <f t="shared" si="61"/>
        <v/>
      </c>
      <c r="G53" t="str">
        <f t="shared" si="61"/>
        <v/>
      </c>
      <c r="H53" t="str">
        <f t="shared" si="61"/>
        <v/>
      </c>
      <c r="I53" t="str">
        <f t="shared" si="61"/>
        <v/>
      </c>
      <c r="J53" t="str">
        <f t="shared" si="61"/>
        <v/>
      </c>
      <c r="K53" t="str">
        <f t="shared" si="61"/>
        <v/>
      </c>
      <c r="L53" t="str">
        <f t="shared" si="7"/>
        <v/>
      </c>
      <c r="N53" t="str">
        <f t="shared" ca="1" si="11"/>
        <v/>
      </c>
      <c r="O53" t="str">
        <f t="shared" ca="1" si="12"/>
        <v/>
      </c>
      <c r="P53" t="str">
        <f t="shared" ca="1" si="13"/>
        <v/>
      </c>
      <c r="Q53" t="str">
        <f t="shared" ca="1" si="14"/>
        <v/>
      </c>
      <c r="R53" t="str">
        <f t="shared" ca="1" si="15"/>
        <v/>
      </c>
      <c r="S53" t="s">
        <v>340</v>
      </c>
    </row>
    <row r="54" spans="1:19" x14ac:dyDescent="0.25">
      <c r="A54" t="str">
        <f>IFERROR(INDEX(Sheets,ROWS($A$3:$A54)),"")</f>
        <v/>
      </c>
      <c r="B54" t="str">
        <f t="shared" ref="B54:K54" si="62">IF(A54&lt;&gt;B$2,A54,"")</f>
        <v/>
      </c>
      <c r="C54" t="str">
        <f t="shared" si="62"/>
        <v/>
      </c>
      <c r="D54" t="str">
        <f t="shared" si="62"/>
        <v/>
      </c>
      <c r="E54" t="str">
        <f t="shared" si="62"/>
        <v/>
      </c>
      <c r="F54" t="str">
        <f t="shared" si="62"/>
        <v/>
      </c>
      <c r="G54" t="str">
        <f t="shared" si="62"/>
        <v/>
      </c>
      <c r="H54" t="str">
        <f t="shared" si="62"/>
        <v/>
      </c>
      <c r="I54" t="str">
        <f t="shared" si="62"/>
        <v/>
      </c>
      <c r="J54" t="str">
        <f t="shared" si="62"/>
        <v/>
      </c>
      <c r="K54" t="str">
        <f t="shared" si="62"/>
        <v/>
      </c>
      <c r="L54" t="str">
        <f t="shared" si="7"/>
        <v/>
      </c>
      <c r="N54" t="str">
        <f t="shared" ca="1" si="11"/>
        <v/>
      </c>
      <c r="O54" t="str">
        <f t="shared" ca="1" si="12"/>
        <v/>
      </c>
      <c r="P54" t="str">
        <f t="shared" ca="1" si="13"/>
        <v/>
      </c>
      <c r="Q54" t="str">
        <f t="shared" ca="1" si="14"/>
        <v/>
      </c>
      <c r="R54" t="str">
        <f t="shared" ca="1" si="15"/>
        <v/>
      </c>
      <c r="S54" t="s">
        <v>340</v>
      </c>
    </row>
    <row r="55" spans="1:19" x14ac:dyDescent="0.25">
      <c r="A55" t="str">
        <f>IFERROR(INDEX(Sheets,ROWS($A$3:$A55)),"")</f>
        <v/>
      </c>
      <c r="B55" t="str">
        <f t="shared" ref="B55:K55" si="63">IF(A55&lt;&gt;B$2,A55,"")</f>
        <v/>
      </c>
      <c r="C55" t="str">
        <f t="shared" si="63"/>
        <v/>
      </c>
      <c r="D55" t="str">
        <f t="shared" si="63"/>
        <v/>
      </c>
      <c r="E55" t="str">
        <f t="shared" si="63"/>
        <v/>
      </c>
      <c r="F55" t="str">
        <f t="shared" si="63"/>
        <v/>
      </c>
      <c r="G55" t="str">
        <f t="shared" si="63"/>
        <v/>
      </c>
      <c r="H55" t="str">
        <f t="shared" si="63"/>
        <v/>
      </c>
      <c r="I55" t="str">
        <f t="shared" si="63"/>
        <v/>
      </c>
      <c r="J55" t="str">
        <f t="shared" si="63"/>
        <v/>
      </c>
      <c r="K55" t="str">
        <f t="shared" si="63"/>
        <v/>
      </c>
      <c r="L55" t="str">
        <f t="shared" si="7"/>
        <v/>
      </c>
      <c r="N55" t="str">
        <f t="shared" ca="1" si="11"/>
        <v/>
      </c>
      <c r="O55" t="str">
        <f t="shared" ca="1" si="12"/>
        <v/>
      </c>
      <c r="P55" t="str">
        <f t="shared" ca="1" si="13"/>
        <v/>
      </c>
      <c r="Q55" t="str">
        <f t="shared" ca="1" si="14"/>
        <v/>
      </c>
      <c r="R55" t="str">
        <f t="shared" ca="1" si="15"/>
        <v/>
      </c>
      <c r="S55" t="s">
        <v>340</v>
      </c>
    </row>
    <row r="56" spans="1:19" x14ac:dyDescent="0.25">
      <c r="A56" t="str">
        <f>IFERROR(INDEX(Sheets,ROWS($A$3:$A56)),"")</f>
        <v/>
      </c>
      <c r="B56" t="str">
        <f t="shared" ref="B56:K56" si="64">IF(A56&lt;&gt;B$2,A56,"")</f>
        <v/>
      </c>
      <c r="C56" t="str">
        <f t="shared" si="64"/>
        <v/>
      </c>
      <c r="D56" t="str">
        <f t="shared" si="64"/>
        <v/>
      </c>
      <c r="E56" t="str">
        <f t="shared" si="64"/>
        <v/>
      </c>
      <c r="F56" t="str">
        <f t="shared" si="64"/>
        <v/>
      </c>
      <c r="G56" t="str">
        <f t="shared" si="64"/>
        <v/>
      </c>
      <c r="H56" t="str">
        <f t="shared" si="64"/>
        <v/>
      </c>
      <c r="I56" t="str">
        <f t="shared" si="64"/>
        <v/>
      </c>
      <c r="J56" t="str">
        <f t="shared" si="64"/>
        <v/>
      </c>
      <c r="K56" t="str">
        <f t="shared" si="64"/>
        <v/>
      </c>
      <c r="L56" t="str">
        <f t="shared" si="7"/>
        <v/>
      </c>
      <c r="N56" t="str">
        <f t="shared" ca="1" si="11"/>
        <v/>
      </c>
      <c r="O56" t="str">
        <f t="shared" ca="1" si="12"/>
        <v/>
      </c>
      <c r="P56" t="str">
        <f t="shared" ca="1" si="13"/>
        <v/>
      </c>
      <c r="Q56" t="str">
        <f t="shared" ca="1" si="14"/>
        <v/>
      </c>
      <c r="R56" t="str">
        <f t="shared" ca="1" si="15"/>
        <v/>
      </c>
      <c r="S56" t="s">
        <v>340</v>
      </c>
    </row>
    <row r="57" spans="1:19" x14ac:dyDescent="0.25">
      <c r="A57" t="str">
        <f>IFERROR(INDEX(Sheets,ROWS($A$3:$A57)),"")</f>
        <v/>
      </c>
      <c r="B57" t="str">
        <f t="shared" ref="B57:K57" si="65">IF(A57&lt;&gt;B$2,A57,"")</f>
        <v/>
      </c>
      <c r="C57" t="str">
        <f t="shared" si="65"/>
        <v/>
      </c>
      <c r="D57" t="str">
        <f t="shared" si="65"/>
        <v/>
      </c>
      <c r="E57" t="str">
        <f t="shared" si="65"/>
        <v/>
      </c>
      <c r="F57" t="str">
        <f t="shared" si="65"/>
        <v/>
      </c>
      <c r="G57" t="str">
        <f t="shared" si="65"/>
        <v/>
      </c>
      <c r="H57" t="str">
        <f t="shared" si="65"/>
        <v/>
      </c>
      <c r="I57" t="str">
        <f t="shared" si="65"/>
        <v/>
      </c>
      <c r="J57" t="str">
        <f t="shared" si="65"/>
        <v/>
      </c>
      <c r="K57" t="str">
        <f t="shared" si="65"/>
        <v/>
      </c>
      <c r="L57" t="str">
        <f t="shared" si="7"/>
        <v/>
      </c>
      <c r="N57" t="str">
        <f t="shared" ca="1" si="11"/>
        <v/>
      </c>
      <c r="O57" t="str">
        <f t="shared" ca="1" si="12"/>
        <v/>
      </c>
      <c r="P57" t="str">
        <f t="shared" ca="1" si="13"/>
        <v/>
      </c>
      <c r="Q57" t="str">
        <f t="shared" ca="1" si="14"/>
        <v/>
      </c>
      <c r="R57" t="str">
        <f t="shared" ca="1" si="15"/>
        <v/>
      </c>
      <c r="S57" t="s">
        <v>340</v>
      </c>
    </row>
    <row r="58" spans="1:19" x14ac:dyDescent="0.25">
      <c r="A58" t="str">
        <f>IFERROR(INDEX(Sheets,ROWS($A$3:$A58)),"")</f>
        <v/>
      </c>
      <c r="B58" t="str">
        <f t="shared" ref="B58:K58" si="66">IF(A58&lt;&gt;B$2,A58,"")</f>
        <v/>
      </c>
      <c r="C58" t="str">
        <f t="shared" si="66"/>
        <v/>
      </c>
      <c r="D58" t="str">
        <f t="shared" si="66"/>
        <v/>
      </c>
      <c r="E58" t="str">
        <f t="shared" si="66"/>
        <v/>
      </c>
      <c r="F58" t="str">
        <f t="shared" si="66"/>
        <v/>
      </c>
      <c r="G58" t="str">
        <f t="shared" si="66"/>
        <v/>
      </c>
      <c r="H58" t="str">
        <f t="shared" si="66"/>
        <v/>
      </c>
      <c r="I58" t="str">
        <f t="shared" si="66"/>
        <v/>
      </c>
      <c r="J58" t="str">
        <f t="shared" si="66"/>
        <v/>
      </c>
      <c r="K58" t="str">
        <f t="shared" si="66"/>
        <v/>
      </c>
      <c r="L58" t="str">
        <f t="shared" si="7"/>
        <v/>
      </c>
      <c r="N58" t="str">
        <f t="shared" ca="1" si="11"/>
        <v/>
      </c>
      <c r="O58" t="str">
        <f t="shared" ca="1" si="12"/>
        <v/>
      </c>
      <c r="P58" t="str">
        <f t="shared" ca="1" si="13"/>
        <v/>
      </c>
      <c r="Q58" t="str">
        <f t="shared" ca="1" si="14"/>
        <v/>
      </c>
      <c r="R58" t="str">
        <f t="shared" ca="1" si="15"/>
        <v/>
      </c>
      <c r="S58" t="s">
        <v>340</v>
      </c>
    </row>
    <row r="59" spans="1:19" x14ac:dyDescent="0.25">
      <c r="A59" t="str">
        <f>IFERROR(INDEX(Sheets,ROWS($A$3:$A59)),"")</f>
        <v/>
      </c>
      <c r="B59" t="str">
        <f t="shared" ref="B59:K59" si="67">IF(A59&lt;&gt;B$2,A59,"")</f>
        <v/>
      </c>
      <c r="C59" t="str">
        <f t="shared" si="67"/>
        <v/>
      </c>
      <c r="D59" t="str">
        <f t="shared" si="67"/>
        <v/>
      </c>
      <c r="E59" t="str">
        <f t="shared" si="67"/>
        <v/>
      </c>
      <c r="F59" t="str">
        <f t="shared" si="67"/>
        <v/>
      </c>
      <c r="G59" t="str">
        <f t="shared" si="67"/>
        <v/>
      </c>
      <c r="H59" t="str">
        <f t="shared" si="67"/>
        <v/>
      </c>
      <c r="I59" t="str">
        <f t="shared" si="67"/>
        <v/>
      </c>
      <c r="J59" t="str">
        <f t="shared" si="67"/>
        <v/>
      </c>
      <c r="K59" t="str">
        <f t="shared" si="67"/>
        <v/>
      </c>
      <c r="L59" t="str">
        <f t="shared" si="7"/>
        <v/>
      </c>
      <c r="N59" t="str">
        <f t="shared" ca="1" si="11"/>
        <v/>
      </c>
      <c r="O59" t="str">
        <f t="shared" ca="1" si="12"/>
        <v/>
      </c>
      <c r="P59" t="str">
        <f t="shared" ca="1" si="13"/>
        <v/>
      </c>
      <c r="Q59" t="str">
        <f t="shared" ca="1" si="14"/>
        <v/>
      </c>
      <c r="R59" t="str">
        <f t="shared" ca="1" si="15"/>
        <v/>
      </c>
      <c r="S59" t="s">
        <v>340</v>
      </c>
    </row>
    <row r="60" spans="1:19" x14ac:dyDescent="0.25">
      <c r="A60" t="str">
        <f>IFERROR(INDEX(Sheets,ROWS($A$3:$A60)),"")</f>
        <v/>
      </c>
      <c r="B60" t="str">
        <f t="shared" ref="B60:K60" si="68">IF(A60&lt;&gt;B$2,A60,"")</f>
        <v/>
      </c>
      <c r="C60" t="str">
        <f t="shared" si="68"/>
        <v/>
      </c>
      <c r="D60" t="str">
        <f t="shared" si="68"/>
        <v/>
      </c>
      <c r="E60" t="str">
        <f t="shared" si="68"/>
        <v/>
      </c>
      <c r="F60" t="str">
        <f t="shared" si="68"/>
        <v/>
      </c>
      <c r="G60" t="str">
        <f t="shared" si="68"/>
        <v/>
      </c>
      <c r="H60" t="str">
        <f t="shared" si="68"/>
        <v/>
      </c>
      <c r="I60" t="str">
        <f t="shared" si="68"/>
        <v/>
      </c>
      <c r="J60" t="str">
        <f t="shared" si="68"/>
        <v/>
      </c>
      <c r="K60" t="str">
        <f t="shared" si="68"/>
        <v/>
      </c>
      <c r="L60" t="str">
        <f t="shared" si="7"/>
        <v/>
      </c>
      <c r="N60" t="str">
        <f t="shared" ca="1" si="11"/>
        <v/>
      </c>
      <c r="O60" t="str">
        <f t="shared" ca="1" si="12"/>
        <v/>
      </c>
      <c r="P60" t="str">
        <f t="shared" ca="1" si="13"/>
        <v/>
      </c>
      <c r="Q60" t="str">
        <f t="shared" ca="1" si="14"/>
        <v/>
      </c>
      <c r="R60" t="str">
        <f t="shared" ca="1" si="15"/>
        <v/>
      </c>
      <c r="S60" t="s">
        <v>340</v>
      </c>
    </row>
    <row r="61" spans="1:19" x14ac:dyDescent="0.25">
      <c r="A61" t="str">
        <f>IFERROR(INDEX(Sheets,ROWS($A$3:$A61)),"")</f>
        <v/>
      </c>
      <c r="B61" t="str">
        <f t="shared" ref="B61:K61" si="69">IF(A61&lt;&gt;B$2,A61,"")</f>
        <v/>
      </c>
      <c r="C61" t="str">
        <f t="shared" si="69"/>
        <v/>
      </c>
      <c r="D61" t="str">
        <f t="shared" si="69"/>
        <v/>
      </c>
      <c r="E61" t="str">
        <f t="shared" si="69"/>
        <v/>
      </c>
      <c r="F61" t="str">
        <f t="shared" si="69"/>
        <v/>
      </c>
      <c r="G61" t="str">
        <f t="shared" si="69"/>
        <v/>
      </c>
      <c r="H61" t="str">
        <f t="shared" si="69"/>
        <v/>
      </c>
      <c r="I61" t="str">
        <f t="shared" si="69"/>
        <v/>
      </c>
      <c r="J61" t="str">
        <f t="shared" si="69"/>
        <v/>
      </c>
      <c r="K61" t="str">
        <f t="shared" si="69"/>
        <v/>
      </c>
      <c r="L61" t="str">
        <f t="shared" si="7"/>
        <v/>
      </c>
      <c r="N61" t="str">
        <f t="shared" ca="1" si="11"/>
        <v/>
      </c>
      <c r="O61" t="str">
        <f t="shared" ca="1" si="12"/>
        <v/>
      </c>
      <c r="P61" t="str">
        <f t="shared" ca="1" si="13"/>
        <v/>
      </c>
      <c r="Q61" t="str">
        <f t="shared" ca="1" si="14"/>
        <v/>
      </c>
      <c r="R61" t="str">
        <f t="shared" ca="1" si="15"/>
        <v/>
      </c>
      <c r="S61" t="s">
        <v>340</v>
      </c>
    </row>
    <row r="62" spans="1:19" x14ac:dyDescent="0.25">
      <c r="A62" t="str">
        <f>IFERROR(INDEX(Sheets,ROWS($A$3:$A62)),"")</f>
        <v/>
      </c>
      <c r="B62" t="str">
        <f t="shared" ref="B62:K62" si="70">IF(A62&lt;&gt;B$2,A62,"")</f>
        <v/>
      </c>
      <c r="C62" t="str">
        <f t="shared" si="70"/>
        <v/>
      </c>
      <c r="D62" t="str">
        <f t="shared" si="70"/>
        <v/>
      </c>
      <c r="E62" t="str">
        <f t="shared" si="70"/>
        <v/>
      </c>
      <c r="F62" t="str">
        <f t="shared" si="70"/>
        <v/>
      </c>
      <c r="G62" t="str">
        <f t="shared" si="70"/>
        <v/>
      </c>
      <c r="H62" t="str">
        <f t="shared" si="70"/>
        <v/>
      </c>
      <c r="I62" t="str">
        <f t="shared" si="70"/>
        <v/>
      </c>
      <c r="J62" t="str">
        <f t="shared" si="70"/>
        <v/>
      </c>
      <c r="K62" t="str">
        <f t="shared" si="70"/>
        <v/>
      </c>
      <c r="L62" t="str">
        <f t="shared" si="7"/>
        <v/>
      </c>
      <c r="N62" t="str">
        <f t="shared" ca="1" si="11"/>
        <v/>
      </c>
      <c r="O62" t="str">
        <f t="shared" ca="1" si="12"/>
        <v/>
      </c>
      <c r="P62" t="str">
        <f t="shared" ca="1" si="13"/>
        <v/>
      </c>
      <c r="Q62" t="str">
        <f t="shared" ca="1" si="14"/>
        <v/>
      </c>
      <c r="R62" t="str">
        <f t="shared" ca="1" si="15"/>
        <v/>
      </c>
      <c r="S62" t="s">
        <v>340</v>
      </c>
    </row>
    <row r="63" spans="1:19" x14ac:dyDescent="0.25">
      <c r="A63" t="str">
        <f>IFERROR(INDEX(Sheets,ROWS($A$3:$A63)),"")</f>
        <v/>
      </c>
      <c r="B63" t="str">
        <f t="shared" ref="B63:K63" si="71">IF(A63&lt;&gt;B$2,A63,"")</f>
        <v/>
      </c>
      <c r="C63" t="str">
        <f t="shared" si="71"/>
        <v/>
      </c>
      <c r="D63" t="str">
        <f t="shared" si="71"/>
        <v/>
      </c>
      <c r="E63" t="str">
        <f t="shared" si="71"/>
        <v/>
      </c>
      <c r="F63" t="str">
        <f t="shared" si="71"/>
        <v/>
      </c>
      <c r="G63" t="str">
        <f t="shared" si="71"/>
        <v/>
      </c>
      <c r="H63" t="str">
        <f t="shared" si="71"/>
        <v/>
      </c>
      <c r="I63" t="str">
        <f t="shared" si="71"/>
        <v/>
      </c>
      <c r="J63" t="str">
        <f t="shared" si="71"/>
        <v/>
      </c>
      <c r="K63" t="str">
        <f t="shared" si="71"/>
        <v/>
      </c>
      <c r="L63" t="str">
        <f t="shared" si="7"/>
        <v/>
      </c>
      <c r="N63" t="str">
        <f t="shared" ca="1" si="11"/>
        <v/>
      </c>
      <c r="O63" t="str">
        <f t="shared" ca="1" si="12"/>
        <v/>
      </c>
      <c r="P63" t="str">
        <f t="shared" ca="1" si="13"/>
        <v/>
      </c>
      <c r="Q63" t="str">
        <f t="shared" ca="1" si="14"/>
        <v/>
      </c>
      <c r="R63" t="str">
        <f t="shared" ca="1" si="15"/>
        <v/>
      </c>
      <c r="S63" t="s">
        <v>340</v>
      </c>
    </row>
    <row r="64" spans="1:19" x14ac:dyDescent="0.25">
      <c r="A64" t="str">
        <f>IFERROR(INDEX(Sheets,ROWS($A$3:$A64)),"")</f>
        <v/>
      </c>
      <c r="B64" t="str">
        <f t="shared" ref="B64:K64" si="72">IF(A64&lt;&gt;B$2,A64,"")</f>
        <v/>
      </c>
      <c r="C64" t="str">
        <f t="shared" si="72"/>
        <v/>
      </c>
      <c r="D64" t="str">
        <f t="shared" si="72"/>
        <v/>
      </c>
      <c r="E64" t="str">
        <f t="shared" si="72"/>
        <v/>
      </c>
      <c r="F64" t="str">
        <f t="shared" si="72"/>
        <v/>
      </c>
      <c r="G64" t="str">
        <f t="shared" si="72"/>
        <v/>
      </c>
      <c r="H64" t="str">
        <f t="shared" si="72"/>
        <v/>
      </c>
      <c r="I64" t="str">
        <f t="shared" si="72"/>
        <v/>
      </c>
      <c r="J64" t="str">
        <f t="shared" si="72"/>
        <v/>
      </c>
      <c r="K64" t="str">
        <f t="shared" si="72"/>
        <v/>
      </c>
      <c r="L64" t="str">
        <f t="shared" si="7"/>
        <v/>
      </c>
      <c r="N64" t="str">
        <f t="shared" ca="1" si="11"/>
        <v/>
      </c>
      <c r="O64" t="str">
        <f t="shared" ca="1" si="12"/>
        <v/>
      </c>
      <c r="P64" t="str">
        <f t="shared" ca="1" si="13"/>
        <v/>
      </c>
      <c r="Q64" t="str">
        <f t="shared" ca="1" si="14"/>
        <v/>
      </c>
      <c r="R64" t="str">
        <f t="shared" ca="1" si="15"/>
        <v/>
      </c>
      <c r="S64" t="s">
        <v>340</v>
      </c>
    </row>
    <row r="65" spans="1:19" x14ac:dyDescent="0.25">
      <c r="A65" t="str">
        <f>IFERROR(INDEX(Sheets,ROWS($A$3:$A65)),"")</f>
        <v/>
      </c>
      <c r="B65" t="str">
        <f t="shared" ref="B65:K65" si="73">IF(A65&lt;&gt;B$2,A65,"")</f>
        <v/>
      </c>
      <c r="C65" t="str">
        <f t="shared" si="73"/>
        <v/>
      </c>
      <c r="D65" t="str">
        <f t="shared" si="73"/>
        <v/>
      </c>
      <c r="E65" t="str">
        <f t="shared" si="73"/>
        <v/>
      </c>
      <c r="F65" t="str">
        <f t="shared" si="73"/>
        <v/>
      </c>
      <c r="G65" t="str">
        <f t="shared" si="73"/>
        <v/>
      </c>
      <c r="H65" t="str">
        <f t="shared" si="73"/>
        <v/>
      </c>
      <c r="I65" t="str">
        <f t="shared" si="73"/>
        <v/>
      </c>
      <c r="J65" t="str">
        <f t="shared" si="73"/>
        <v/>
      </c>
      <c r="K65" t="str">
        <f t="shared" si="73"/>
        <v/>
      </c>
      <c r="L65" t="str">
        <f t="shared" si="7"/>
        <v/>
      </c>
      <c r="N65" t="str">
        <f t="shared" ca="1" si="11"/>
        <v/>
      </c>
      <c r="O65" t="str">
        <f t="shared" ca="1" si="12"/>
        <v/>
      </c>
      <c r="P65" t="str">
        <f t="shared" ca="1" si="13"/>
        <v/>
      </c>
      <c r="Q65" t="str">
        <f t="shared" ca="1" si="14"/>
        <v/>
      </c>
      <c r="R65" t="str">
        <f t="shared" ca="1" si="15"/>
        <v/>
      </c>
      <c r="S65" t="s">
        <v>340</v>
      </c>
    </row>
    <row r="66" spans="1:19" x14ac:dyDescent="0.25">
      <c r="A66" t="str">
        <f>IFERROR(INDEX(Sheets,ROWS($A$3:$A66)),"")</f>
        <v/>
      </c>
      <c r="B66" t="str">
        <f t="shared" ref="B66:K66" si="74">IF(A66&lt;&gt;B$2,A66,"")</f>
        <v/>
      </c>
      <c r="C66" t="str">
        <f t="shared" si="74"/>
        <v/>
      </c>
      <c r="D66" t="str">
        <f t="shared" si="74"/>
        <v/>
      </c>
      <c r="E66" t="str">
        <f t="shared" si="74"/>
        <v/>
      </c>
      <c r="F66" t="str">
        <f t="shared" si="74"/>
        <v/>
      </c>
      <c r="G66" t="str">
        <f t="shared" si="74"/>
        <v/>
      </c>
      <c r="H66" t="str">
        <f t="shared" si="74"/>
        <v/>
      </c>
      <c r="I66" t="str">
        <f t="shared" si="74"/>
        <v/>
      </c>
      <c r="J66" t="str">
        <f t="shared" si="74"/>
        <v/>
      </c>
      <c r="K66" t="str">
        <f t="shared" si="74"/>
        <v/>
      </c>
      <c r="L66" t="str">
        <f t="shared" si="7"/>
        <v/>
      </c>
      <c r="N66" t="str">
        <f t="shared" ca="1" si="11"/>
        <v/>
      </c>
      <c r="O66" t="str">
        <f t="shared" ca="1" si="12"/>
        <v/>
      </c>
      <c r="P66" t="str">
        <f t="shared" ca="1" si="13"/>
        <v/>
      </c>
      <c r="Q66" t="str">
        <f t="shared" ca="1" si="14"/>
        <v/>
      </c>
      <c r="R66" t="str">
        <f t="shared" ca="1" si="15"/>
        <v/>
      </c>
      <c r="S66" t="s">
        <v>340</v>
      </c>
    </row>
    <row r="67" spans="1:19" x14ac:dyDescent="0.25">
      <c r="A67" t="str">
        <f>IFERROR(INDEX(Sheets,ROWS($A$3:$A67)),"")</f>
        <v/>
      </c>
      <c r="B67" t="str">
        <f t="shared" ref="B67:K67" si="75">IF(A67&lt;&gt;B$2,A67,"")</f>
        <v/>
      </c>
      <c r="C67" t="str">
        <f t="shared" si="75"/>
        <v/>
      </c>
      <c r="D67" t="str">
        <f t="shared" si="75"/>
        <v/>
      </c>
      <c r="E67" t="str">
        <f t="shared" si="75"/>
        <v/>
      </c>
      <c r="F67" t="str">
        <f t="shared" si="75"/>
        <v/>
      </c>
      <c r="G67" t="str">
        <f t="shared" si="75"/>
        <v/>
      </c>
      <c r="H67" t="str">
        <f t="shared" si="75"/>
        <v/>
      </c>
      <c r="I67" t="str">
        <f t="shared" si="75"/>
        <v/>
      </c>
      <c r="J67" t="str">
        <f t="shared" si="75"/>
        <v/>
      </c>
      <c r="K67" t="str">
        <f t="shared" si="75"/>
        <v/>
      </c>
      <c r="L67" t="str">
        <f t="shared" si="7"/>
        <v/>
      </c>
      <c r="N67" t="str">
        <f t="shared" ca="1" si="11"/>
        <v/>
      </c>
      <c r="O67" t="str">
        <f t="shared" ca="1" si="12"/>
        <v/>
      </c>
      <c r="P67" t="str">
        <f t="shared" ca="1" si="13"/>
        <v/>
      </c>
      <c r="Q67" t="str">
        <f t="shared" ca="1" si="14"/>
        <v/>
      </c>
      <c r="R67" t="str">
        <f t="shared" ca="1" si="15"/>
        <v/>
      </c>
      <c r="S67" t="s">
        <v>340</v>
      </c>
    </row>
    <row r="68" spans="1:19" x14ac:dyDescent="0.25">
      <c r="A68" t="str">
        <f>IFERROR(INDEX(Sheets,ROWS($A$3:$A68)),"")</f>
        <v/>
      </c>
      <c r="B68" t="str">
        <f t="shared" ref="B68:K68" si="76">IF(A68&lt;&gt;B$2,A68,"")</f>
        <v/>
      </c>
      <c r="C68" t="str">
        <f t="shared" si="76"/>
        <v/>
      </c>
      <c r="D68" t="str">
        <f t="shared" si="76"/>
        <v/>
      </c>
      <c r="E68" t="str">
        <f t="shared" si="76"/>
        <v/>
      </c>
      <c r="F68" t="str">
        <f t="shared" si="76"/>
        <v/>
      </c>
      <c r="G68" t="str">
        <f t="shared" si="76"/>
        <v/>
      </c>
      <c r="H68" t="str">
        <f t="shared" si="76"/>
        <v/>
      </c>
      <c r="I68" t="str">
        <f t="shared" si="76"/>
        <v/>
      </c>
      <c r="J68" t="str">
        <f t="shared" si="76"/>
        <v/>
      </c>
      <c r="K68" t="str">
        <f t="shared" si="76"/>
        <v/>
      </c>
      <c r="L68" t="str">
        <f t="shared" ref="L68:L104" si="77">K68</f>
        <v/>
      </c>
      <c r="N68" t="str">
        <f t="shared" ca="1" si="11"/>
        <v/>
      </c>
      <c r="O68" t="str">
        <f t="shared" ca="1" si="12"/>
        <v/>
      </c>
      <c r="P68" t="str">
        <f t="shared" ca="1" si="13"/>
        <v/>
      </c>
      <c r="Q68" t="str">
        <f t="shared" ca="1" si="14"/>
        <v/>
      </c>
      <c r="R68" t="str">
        <f t="shared" ca="1" si="15"/>
        <v/>
      </c>
      <c r="S68" t="s">
        <v>340</v>
      </c>
    </row>
    <row r="69" spans="1:19" x14ac:dyDescent="0.25">
      <c r="A69" t="str">
        <f>IFERROR(INDEX(Sheets,ROWS($A$3:$A69)),"")</f>
        <v/>
      </c>
      <c r="B69" t="str">
        <f t="shared" ref="B69:K69" si="78">IF(A69&lt;&gt;B$2,A69,"")</f>
        <v/>
      </c>
      <c r="C69" t="str">
        <f t="shared" si="78"/>
        <v/>
      </c>
      <c r="D69" t="str">
        <f t="shared" si="78"/>
        <v/>
      </c>
      <c r="E69" t="str">
        <f t="shared" si="78"/>
        <v/>
      </c>
      <c r="F69" t="str">
        <f t="shared" si="78"/>
        <v/>
      </c>
      <c r="G69" t="str">
        <f t="shared" si="78"/>
        <v/>
      </c>
      <c r="H69" t="str">
        <f t="shared" si="78"/>
        <v/>
      </c>
      <c r="I69" t="str">
        <f t="shared" si="78"/>
        <v/>
      </c>
      <c r="J69" t="str">
        <f t="shared" si="78"/>
        <v/>
      </c>
      <c r="K69" t="str">
        <f t="shared" si="78"/>
        <v/>
      </c>
      <c r="L69" t="str">
        <f t="shared" si="77"/>
        <v/>
      </c>
      <c r="N69" t="str">
        <f t="shared" ca="1" si="11"/>
        <v/>
      </c>
      <c r="O69" t="str">
        <f t="shared" ca="1" si="12"/>
        <v/>
      </c>
      <c r="P69" t="str">
        <f t="shared" ca="1" si="13"/>
        <v/>
      </c>
      <c r="Q69" t="str">
        <f t="shared" ca="1" si="14"/>
        <v/>
      </c>
      <c r="R69" t="str">
        <f t="shared" ca="1" si="15"/>
        <v/>
      </c>
      <c r="S69" t="s">
        <v>340</v>
      </c>
    </row>
    <row r="70" spans="1:19" x14ac:dyDescent="0.25">
      <c r="A70" t="str">
        <f>IFERROR(INDEX(Sheets,ROWS($A$3:$A70)),"")</f>
        <v/>
      </c>
      <c r="B70" t="str">
        <f t="shared" ref="B70:K70" si="79">IF(A70&lt;&gt;B$2,A70,"")</f>
        <v/>
      </c>
      <c r="C70" t="str">
        <f t="shared" si="79"/>
        <v/>
      </c>
      <c r="D70" t="str">
        <f t="shared" si="79"/>
        <v/>
      </c>
      <c r="E70" t="str">
        <f t="shared" si="79"/>
        <v/>
      </c>
      <c r="F70" t="str">
        <f t="shared" si="79"/>
        <v/>
      </c>
      <c r="G70" t="str">
        <f t="shared" si="79"/>
        <v/>
      </c>
      <c r="H70" t="str">
        <f t="shared" si="79"/>
        <v/>
      </c>
      <c r="I70" t="str">
        <f t="shared" si="79"/>
        <v/>
      </c>
      <c r="J70" t="str">
        <f t="shared" si="79"/>
        <v/>
      </c>
      <c r="K70" t="str">
        <f t="shared" si="79"/>
        <v/>
      </c>
      <c r="L70" t="str">
        <f t="shared" si="77"/>
        <v/>
      </c>
      <c r="N70" t="str">
        <f t="shared" ca="1" si="11"/>
        <v/>
      </c>
      <c r="O70" t="str">
        <f t="shared" ca="1" si="12"/>
        <v/>
      </c>
      <c r="P70" t="str">
        <f t="shared" ca="1" si="13"/>
        <v/>
      </c>
      <c r="Q70" t="str">
        <f t="shared" ca="1" si="14"/>
        <v/>
      </c>
      <c r="R70" t="str">
        <f t="shared" ca="1" si="15"/>
        <v/>
      </c>
      <c r="S70" t="s">
        <v>340</v>
      </c>
    </row>
    <row r="71" spans="1:19" x14ac:dyDescent="0.25">
      <c r="A71" t="str">
        <f>IFERROR(INDEX(Sheets,ROWS($A$3:$A71)),"")</f>
        <v/>
      </c>
      <c r="B71" t="str">
        <f t="shared" ref="B71:K71" si="80">IF(A71&lt;&gt;B$2,A71,"")</f>
        <v/>
      </c>
      <c r="C71" t="str">
        <f t="shared" si="80"/>
        <v/>
      </c>
      <c r="D71" t="str">
        <f t="shared" si="80"/>
        <v/>
      </c>
      <c r="E71" t="str">
        <f t="shared" si="80"/>
        <v/>
      </c>
      <c r="F71" t="str">
        <f t="shared" si="80"/>
        <v/>
      </c>
      <c r="G71" t="str">
        <f t="shared" si="80"/>
        <v/>
      </c>
      <c r="H71" t="str">
        <f t="shared" si="80"/>
        <v/>
      </c>
      <c r="I71" t="str">
        <f t="shared" si="80"/>
        <v/>
      </c>
      <c r="J71" t="str">
        <f t="shared" si="80"/>
        <v/>
      </c>
      <c r="K71" t="str">
        <f t="shared" si="80"/>
        <v/>
      </c>
      <c r="L71" t="str">
        <f t="shared" si="77"/>
        <v/>
      </c>
      <c r="N71" t="str">
        <f t="shared" ref="N71:N103" ca="1" si="81">IFERROR(_xlfn.TEXTJOIN(CHAR(10),FALSE,INDIRECT("'"&amp;L71&amp;"'!A46")),"")</f>
        <v/>
      </c>
      <c r="O71" t="str">
        <f t="shared" ref="O71:O103" ca="1" si="82">IFERROR(_xlfn.TEXTJOIN(CHAR(10),TRUE,INDIRECT("'"&amp;L71&amp;"'!A48:A131")),"")</f>
        <v/>
      </c>
      <c r="P71" t="str">
        <f t="shared" ref="P71:P103" ca="1" si="83">IFERROR(_xlfn.TEXTJOIN(CHAR(10),FALSE,INDIRECT("'"&amp;L71&amp;"'!C46")),"")</f>
        <v/>
      </c>
      <c r="Q71" t="str">
        <f t="shared" ref="Q71:Q103" ca="1" si="84">IFERROR(_xlfn.TEXTJOIN(CHAR(10),FALSE,INDIRECT("'"&amp;L71&amp;"'!C49")),"")</f>
        <v/>
      </c>
      <c r="R71" t="str">
        <f t="shared" ref="R71:R103" ca="1" si="85">IFERROR(_xlfn.TEXTJOIN(CHAR(10),FALSE,INDIRECT("'"&amp;L71&amp;"'!E43:E92")),"")</f>
        <v/>
      </c>
      <c r="S71" t="s">
        <v>340</v>
      </c>
    </row>
    <row r="72" spans="1:19" x14ac:dyDescent="0.25">
      <c r="A72" t="str">
        <f>IFERROR(INDEX(Sheets,ROWS($A$3:$A72)),"")</f>
        <v/>
      </c>
      <c r="B72" t="str">
        <f t="shared" ref="B72:K72" si="86">IF(A72&lt;&gt;B$2,A72,"")</f>
        <v/>
      </c>
      <c r="C72" t="str">
        <f t="shared" si="86"/>
        <v/>
      </c>
      <c r="D72" t="str">
        <f t="shared" si="86"/>
        <v/>
      </c>
      <c r="E72" t="str">
        <f t="shared" si="86"/>
        <v/>
      </c>
      <c r="F72" t="str">
        <f t="shared" si="86"/>
        <v/>
      </c>
      <c r="G72" t="str">
        <f t="shared" si="86"/>
        <v/>
      </c>
      <c r="H72" t="str">
        <f t="shared" si="86"/>
        <v/>
      </c>
      <c r="I72" t="str">
        <f t="shared" si="86"/>
        <v/>
      </c>
      <c r="J72" t="str">
        <f t="shared" si="86"/>
        <v/>
      </c>
      <c r="K72" t="str">
        <f t="shared" si="86"/>
        <v/>
      </c>
      <c r="L72" t="str">
        <f t="shared" si="77"/>
        <v/>
      </c>
      <c r="N72" t="str">
        <f t="shared" ca="1" si="81"/>
        <v/>
      </c>
      <c r="O72" t="str">
        <f t="shared" ca="1" si="82"/>
        <v/>
      </c>
      <c r="P72" t="str">
        <f t="shared" ca="1" si="83"/>
        <v/>
      </c>
      <c r="Q72" t="str">
        <f t="shared" ca="1" si="84"/>
        <v/>
      </c>
      <c r="R72" t="str">
        <f t="shared" ca="1" si="85"/>
        <v/>
      </c>
      <c r="S72" t="s">
        <v>340</v>
      </c>
    </row>
    <row r="73" spans="1:19" x14ac:dyDescent="0.25">
      <c r="A73" t="str">
        <f>IFERROR(INDEX(Sheets,ROWS($A$3:$A73)),"")</f>
        <v/>
      </c>
      <c r="B73" t="str">
        <f t="shared" ref="B73:K73" si="87">IF(A73&lt;&gt;B$2,A73,"")</f>
        <v/>
      </c>
      <c r="C73" t="str">
        <f t="shared" si="87"/>
        <v/>
      </c>
      <c r="D73" t="str">
        <f t="shared" si="87"/>
        <v/>
      </c>
      <c r="E73" t="str">
        <f t="shared" si="87"/>
        <v/>
      </c>
      <c r="F73" t="str">
        <f t="shared" si="87"/>
        <v/>
      </c>
      <c r="G73" t="str">
        <f t="shared" si="87"/>
        <v/>
      </c>
      <c r="H73" t="str">
        <f t="shared" si="87"/>
        <v/>
      </c>
      <c r="I73" t="str">
        <f t="shared" si="87"/>
        <v/>
      </c>
      <c r="J73" t="str">
        <f t="shared" si="87"/>
        <v/>
      </c>
      <c r="K73" t="str">
        <f t="shared" si="87"/>
        <v/>
      </c>
      <c r="L73" t="str">
        <f t="shared" si="77"/>
        <v/>
      </c>
      <c r="N73" t="str">
        <f t="shared" ca="1" si="81"/>
        <v/>
      </c>
      <c r="O73" t="str">
        <f t="shared" ca="1" si="82"/>
        <v/>
      </c>
      <c r="P73" t="str">
        <f t="shared" ca="1" si="83"/>
        <v/>
      </c>
      <c r="Q73" t="str">
        <f t="shared" ca="1" si="84"/>
        <v/>
      </c>
      <c r="R73" t="str">
        <f t="shared" ca="1" si="85"/>
        <v/>
      </c>
      <c r="S73" t="s">
        <v>340</v>
      </c>
    </row>
    <row r="74" spans="1:19" x14ac:dyDescent="0.25">
      <c r="A74" t="str">
        <f>IFERROR(INDEX(Sheets,ROWS($A$3:$A74)),"")</f>
        <v/>
      </c>
      <c r="B74" t="str">
        <f t="shared" ref="B74:K74" si="88">IF(A74&lt;&gt;B$2,A74,"")</f>
        <v/>
      </c>
      <c r="C74" t="str">
        <f t="shared" si="88"/>
        <v/>
      </c>
      <c r="D74" t="str">
        <f t="shared" si="88"/>
        <v/>
      </c>
      <c r="E74" t="str">
        <f t="shared" si="88"/>
        <v/>
      </c>
      <c r="F74" t="str">
        <f t="shared" si="88"/>
        <v/>
      </c>
      <c r="G74" t="str">
        <f t="shared" si="88"/>
        <v/>
      </c>
      <c r="H74" t="str">
        <f t="shared" si="88"/>
        <v/>
      </c>
      <c r="I74" t="str">
        <f t="shared" si="88"/>
        <v/>
      </c>
      <c r="J74" t="str">
        <f t="shared" si="88"/>
        <v/>
      </c>
      <c r="K74" t="str">
        <f t="shared" si="88"/>
        <v/>
      </c>
      <c r="L74" t="str">
        <f t="shared" si="77"/>
        <v/>
      </c>
      <c r="N74" t="str">
        <f t="shared" ca="1" si="81"/>
        <v/>
      </c>
      <c r="O74" t="str">
        <f t="shared" ca="1" si="82"/>
        <v/>
      </c>
      <c r="P74" t="str">
        <f t="shared" ca="1" si="83"/>
        <v/>
      </c>
      <c r="Q74" t="str">
        <f t="shared" ca="1" si="84"/>
        <v/>
      </c>
      <c r="R74" t="str">
        <f t="shared" ca="1" si="85"/>
        <v/>
      </c>
      <c r="S74" t="s">
        <v>340</v>
      </c>
    </row>
    <row r="75" spans="1:19" x14ac:dyDescent="0.25">
      <c r="A75" t="str">
        <f>IFERROR(INDEX(Sheets,ROWS($A$3:$A75)),"")</f>
        <v/>
      </c>
      <c r="B75" t="str">
        <f t="shared" ref="B75:K75" si="89">IF(A75&lt;&gt;B$2,A75,"")</f>
        <v/>
      </c>
      <c r="C75" t="str">
        <f t="shared" si="89"/>
        <v/>
      </c>
      <c r="D75" t="str">
        <f t="shared" si="89"/>
        <v/>
      </c>
      <c r="E75" t="str">
        <f t="shared" si="89"/>
        <v/>
      </c>
      <c r="F75" t="str">
        <f t="shared" si="89"/>
        <v/>
      </c>
      <c r="G75" t="str">
        <f t="shared" si="89"/>
        <v/>
      </c>
      <c r="H75" t="str">
        <f t="shared" si="89"/>
        <v/>
      </c>
      <c r="I75" t="str">
        <f t="shared" si="89"/>
        <v/>
      </c>
      <c r="J75" t="str">
        <f t="shared" si="89"/>
        <v/>
      </c>
      <c r="K75" t="str">
        <f t="shared" si="89"/>
        <v/>
      </c>
      <c r="L75" t="str">
        <f t="shared" si="77"/>
        <v/>
      </c>
      <c r="N75" t="str">
        <f t="shared" ca="1" si="81"/>
        <v/>
      </c>
      <c r="O75" t="str">
        <f t="shared" ca="1" si="82"/>
        <v/>
      </c>
      <c r="P75" t="str">
        <f t="shared" ca="1" si="83"/>
        <v/>
      </c>
      <c r="Q75" t="str">
        <f t="shared" ca="1" si="84"/>
        <v/>
      </c>
      <c r="R75" t="str">
        <f t="shared" ca="1" si="85"/>
        <v/>
      </c>
      <c r="S75" t="s">
        <v>340</v>
      </c>
    </row>
    <row r="76" spans="1:19" x14ac:dyDescent="0.25">
      <c r="A76" t="str">
        <f>IFERROR(INDEX(Sheets,ROWS($A$3:$A76)),"")</f>
        <v/>
      </c>
      <c r="B76" t="str">
        <f t="shared" ref="B76:K76" si="90">IF(A76&lt;&gt;B$2,A76,"")</f>
        <v/>
      </c>
      <c r="C76" t="str">
        <f t="shared" si="90"/>
        <v/>
      </c>
      <c r="D76" t="str">
        <f t="shared" si="90"/>
        <v/>
      </c>
      <c r="E76" t="str">
        <f t="shared" si="90"/>
        <v/>
      </c>
      <c r="F76" t="str">
        <f t="shared" si="90"/>
        <v/>
      </c>
      <c r="G76" t="str">
        <f t="shared" si="90"/>
        <v/>
      </c>
      <c r="H76" t="str">
        <f t="shared" si="90"/>
        <v/>
      </c>
      <c r="I76" t="str">
        <f t="shared" si="90"/>
        <v/>
      </c>
      <c r="J76" t="str">
        <f t="shared" si="90"/>
        <v/>
      </c>
      <c r="K76" t="str">
        <f t="shared" si="90"/>
        <v/>
      </c>
      <c r="L76" t="str">
        <f t="shared" si="77"/>
        <v/>
      </c>
      <c r="N76" t="str">
        <f t="shared" ca="1" si="81"/>
        <v/>
      </c>
      <c r="O76" t="str">
        <f t="shared" ca="1" si="82"/>
        <v/>
      </c>
      <c r="P76" t="str">
        <f t="shared" ca="1" si="83"/>
        <v/>
      </c>
      <c r="Q76" t="str">
        <f t="shared" ca="1" si="84"/>
        <v/>
      </c>
      <c r="R76" t="str">
        <f t="shared" ca="1" si="85"/>
        <v/>
      </c>
      <c r="S76" t="s">
        <v>340</v>
      </c>
    </row>
    <row r="77" spans="1:19" x14ac:dyDescent="0.25">
      <c r="A77" t="str">
        <f>IFERROR(INDEX(Sheets,ROWS($A$3:$A77)),"")</f>
        <v/>
      </c>
      <c r="B77" t="str">
        <f t="shared" ref="B77:K77" si="91">IF(A77&lt;&gt;B$2,A77,"")</f>
        <v/>
      </c>
      <c r="C77" t="str">
        <f t="shared" si="91"/>
        <v/>
      </c>
      <c r="D77" t="str">
        <f t="shared" si="91"/>
        <v/>
      </c>
      <c r="E77" t="str">
        <f t="shared" si="91"/>
        <v/>
      </c>
      <c r="F77" t="str">
        <f t="shared" si="91"/>
        <v/>
      </c>
      <c r="G77" t="str">
        <f t="shared" si="91"/>
        <v/>
      </c>
      <c r="H77" t="str">
        <f t="shared" si="91"/>
        <v/>
      </c>
      <c r="I77" t="str">
        <f t="shared" si="91"/>
        <v/>
      </c>
      <c r="J77" t="str">
        <f t="shared" si="91"/>
        <v/>
      </c>
      <c r="K77" t="str">
        <f t="shared" si="91"/>
        <v/>
      </c>
      <c r="L77" t="str">
        <f t="shared" si="77"/>
        <v/>
      </c>
      <c r="N77" t="str">
        <f t="shared" ca="1" si="81"/>
        <v/>
      </c>
      <c r="O77" t="str">
        <f t="shared" ca="1" si="82"/>
        <v/>
      </c>
      <c r="P77" t="str">
        <f t="shared" ca="1" si="83"/>
        <v/>
      </c>
      <c r="Q77" t="str">
        <f t="shared" ca="1" si="84"/>
        <v/>
      </c>
      <c r="R77" t="str">
        <f t="shared" ca="1" si="85"/>
        <v/>
      </c>
      <c r="S77" t="s">
        <v>340</v>
      </c>
    </row>
    <row r="78" spans="1:19" x14ac:dyDescent="0.25">
      <c r="A78" t="str">
        <f>IFERROR(INDEX(Sheets,ROWS($A$3:$A78)),"")</f>
        <v/>
      </c>
      <c r="B78" t="str">
        <f t="shared" ref="B78:K78" si="92">IF(A78&lt;&gt;B$2,A78,"")</f>
        <v/>
      </c>
      <c r="C78" t="str">
        <f t="shared" si="92"/>
        <v/>
      </c>
      <c r="D78" t="str">
        <f t="shared" si="92"/>
        <v/>
      </c>
      <c r="E78" t="str">
        <f t="shared" si="92"/>
        <v/>
      </c>
      <c r="F78" t="str">
        <f t="shared" si="92"/>
        <v/>
      </c>
      <c r="G78" t="str">
        <f t="shared" si="92"/>
        <v/>
      </c>
      <c r="H78" t="str">
        <f t="shared" si="92"/>
        <v/>
      </c>
      <c r="I78" t="str">
        <f t="shared" si="92"/>
        <v/>
      </c>
      <c r="J78" t="str">
        <f t="shared" si="92"/>
        <v/>
      </c>
      <c r="K78" t="str">
        <f t="shared" si="92"/>
        <v/>
      </c>
      <c r="L78" t="str">
        <f t="shared" si="77"/>
        <v/>
      </c>
      <c r="N78" t="str">
        <f t="shared" ca="1" si="81"/>
        <v/>
      </c>
      <c r="O78" t="str">
        <f t="shared" ca="1" si="82"/>
        <v/>
      </c>
      <c r="P78" t="str">
        <f t="shared" ca="1" si="83"/>
        <v/>
      </c>
      <c r="Q78" t="str">
        <f t="shared" ca="1" si="84"/>
        <v/>
      </c>
      <c r="R78" t="str">
        <f t="shared" ca="1" si="85"/>
        <v/>
      </c>
      <c r="S78" t="s">
        <v>340</v>
      </c>
    </row>
    <row r="79" spans="1:19" x14ac:dyDescent="0.25">
      <c r="A79" t="str">
        <f>IFERROR(INDEX(Sheets,ROWS($A$3:$A79)),"")</f>
        <v/>
      </c>
      <c r="B79" t="str">
        <f t="shared" ref="B79:K79" si="93">IF(A79&lt;&gt;B$2,A79,"")</f>
        <v/>
      </c>
      <c r="C79" t="str">
        <f t="shared" si="93"/>
        <v/>
      </c>
      <c r="D79" t="str">
        <f t="shared" si="93"/>
        <v/>
      </c>
      <c r="E79" t="str">
        <f t="shared" si="93"/>
        <v/>
      </c>
      <c r="F79" t="str">
        <f t="shared" si="93"/>
        <v/>
      </c>
      <c r="G79" t="str">
        <f t="shared" si="93"/>
        <v/>
      </c>
      <c r="H79" t="str">
        <f t="shared" si="93"/>
        <v/>
      </c>
      <c r="I79" t="str">
        <f t="shared" si="93"/>
        <v/>
      </c>
      <c r="J79" t="str">
        <f t="shared" si="93"/>
        <v/>
      </c>
      <c r="K79" t="str">
        <f t="shared" si="93"/>
        <v/>
      </c>
      <c r="L79" t="str">
        <f t="shared" si="77"/>
        <v/>
      </c>
      <c r="N79" t="str">
        <f t="shared" ca="1" si="81"/>
        <v/>
      </c>
      <c r="O79" t="str">
        <f t="shared" ca="1" si="82"/>
        <v/>
      </c>
      <c r="P79" t="str">
        <f t="shared" ca="1" si="83"/>
        <v/>
      </c>
      <c r="Q79" t="str">
        <f t="shared" ca="1" si="84"/>
        <v/>
      </c>
      <c r="R79" t="str">
        <f t="shared" ca="1" si="85"/>
        <v/>
      </c>
      <c r="S79" t="s">
        <v>340</v>
      </c>
    </row>
    <row r="80" spans="1:19" x14ac:dyDescent="0.25">
      <c r="A80" t="str">
        <f>IFERROR(INDEX(Sheets,ROWS($A$3:$A80)),"")</f>
        <v/>
      </c>
      <c r="B80" t="str">
        <f t="shared" ref="B80:K80" si="94">IF(A80&lt;&gt;B$2,A80,"")</f>
        <v/>
      </c>
      <c r="C80" t="str">
        <f t="shared" si="94"/>
        <v/>
      </c>
      <c r="D80" t="str">
        <f t="shared" si="94"/>
        <v/>
      </c>
      <c r="E80" t="str">
        <f t="shared" si="94"/>
        <v/>
      </c>
      <c r="F80" t="str">
        <f t="shared" si="94"/>
        <v/>
      </c>
      <c r="G80" t="str">
        <f t="shared" si="94"/>
        <v/>
      </c>
      <c r="H80" t="str">
        <f t="shared" si="94"/>
        <v/>
      </c>
      <c r="I80" t="str">
        <f t="shared" si="94"/>
        <v/>
      </c>
      <c r="J80" t="str">
        <f t="shared" si="94"/>
        <v/>
      </c>
      <c r="K80" t="str">
        <f t="shared" si="94"/>
        <v/>
      </c>
      <c r="L80" t="str">
        <f t="shared" si="77"/>
        <v/>
      </c>
      <c r="N80" t="str">
        <f t="shared" ca="1" si="81"/>
        <v/>
      </c>
      <c r="O80" t="str">
        <f t="shared" ca="1" si="82"/>
        <v/>
      </c>
      <c r="P80" t="str">
        <f t="shared" ca="1" si="83"/>
        <v/>
      </c>
      <c r="Q80" t="str">
        <f t="shared" ca="1" si="84"/>
        <v/>
      </c>
      <c r="R80" t="str">
        <f t="shared" ca="1" si="85"/>
        <v/>
      </c>
      <c r="S80" t="s">
        <v>340</v>
      </c>
    </row>
    <row r="81" spans="1:19" x14ac:dyDescent="0.25">
      <c r="A81" t="str">
        <f>IFERROR(INDEX(Sheets,ROWS($A$3:$A81)),"")</f>
        <v/>
      </c>
      <c r="B81" t="str">
        <f t="shared" ref="B81:K81" si="95">IF(A81&lt;&gt;B$2,A81,"")</f>
        <v/>
      </c>
      <c r="C81" t="str">
        <f t="shared" si="95"/>
        <v/>
      </c>
      <c r="D81" t="str">
        <f t="shared" si="95"/>
        <v/>
      </c>
      <c r="E81" t="str">
        <f t="shared" si="95"/>
        <v/>
      </c>
      <c r="F81" t="str">
        <f t="shared" si="95"/>
        <v/>
      </c>
      <c r="G81" t="str">
        <f t="shared" si="95"/>
        <v/>
      </c>
      <c r="H81" t="str">
        <f t="shared" si="95"/>
        <v/>
      </c>
      <c r="I81" t="str">
        <f t="shared" si="95"/>
        <v/>
      </c>
      <c r="J81" t="str">
        <f t="shared" si="95"/>
        <v/>
      </c>
      <c r="K81" t="str">
        <f t="shared" si="95"/>
        <v/>
      </c>
      <c r="L81" t="str">
        <f t="shared" si="77"/>
        <v/>
      </c>
      <c r="N81" t="str">
        <f t="shared" ca="1" si="81"/>
        <v/>
      </c>
      <c r="O81" t="str">
        <f t="shared" ca="1" si="82"/>
        <v/>
      </c>
      <c r="P81" t="str">
        <f t="shared" ca="1" si="83"/>
        <v/>
      </c>
      <c r="Q81" t="str">
        <f t="shared" ca="1" si="84"/>
        <v/>
      </c>
      <c r="R81" t="str">
        <f t="shared" ca="1" si="85"/>
        <v/>
      </c>
      <c r="S81" t="s">
        <v>340</v>
      </c>
    </row>
    <row r="82" spans="1:19" x14ac:dyDescent="0.25">
      <c r="A82" t="str">
        <f>IFERROR(INDEX(Sheets,ROWS($A$3:$A82)),"")</f>
        <v/>
      </c>
      <c r="B82" t="str">
        <f t="shared" ref="B82:K82" si="96">IF(A82&lt;&gt;B$2,A82,"")</f>
        <v/>
      </c>
      <c r="C82" t="str">
        <f t="shared" si="96"/>
        <v/>
      </c>
      <c r="D82" t="str">
        <f t="shared" si="96"/>
        <v/>
      </c>
      <c r="E82" t="str">
        <f t="shared" si="96"/>
        <v/>
      </c>
      <c r="F82" t="str">
        <f t="shared" si="96"/>
        <v/>
      </c>
      <c r="G82" t="str">
        <f t="shared" si="96"/>
        <v/>
      </c>
      <c r="H82" t="str">
        <f t="shared" si="96"/>
        <v/>
      </c>
      <c r="I82" t="str">
        <f t="shared" si="96"/>
        <v/>
      </c>
      <c r="J82" t="str">
        <f t="shared" si="96"/>
        <v/>
      </c>
      <c r="K82" t="str">
        <f t="shared" si="96"/>
        <v/>
      </c>
      <c r="L82" t="str">
        <f t="shared" si="77"/>
        <v/>
      </c>
      <c r="N82" t="str">
        <f t="shared" ca="1" si="81"/>
        <v/>
      </c>
      <c r="O82" t="str">
        <f t="shared" ca="1" si="82"/>
        <v/>
      </c>
      <c r="P82" t="str">
        <f t="shared" ca="1" si="83"/>
        <v/>
      </c>
      <c r="Q82" t="str">
        <f t="shared" ca="1" si="84"/>
        <v/>
      </c>
      <c r="R82" t="str">
        <f t="shared" ca="1" si="85"/>
        <v/>
      </c>
      <c r="S82" t="s">
        <v>340</v>
      </c>
    </row>
    <row r="83" spans="1:19" x14ac:dyDescent="0.25">
      <c r="A83" t="str">
        <f>IFERROR(INDEX(Sheets,ROWS($A$3:$A83)),"")</f>
        <v/>
      </c>
      <c r="B83" t="str">
        <f t="shared" ref="B83:K83" si="97">IF(A83&lt;&gt;B$2,A83,"")</f>
        <v/>
      </c>
      <c r="C83" t="str">
        <f t="shared" si="97"/>
        <v/>
      </c>
      <c r="D83" t="str">
        <f t="shared" si="97"/>
        <v/>
      </c>
      <c r="E83" t="str">
        <f t="shared" si="97"/>
        <v/>
      </c>
      <c r="F83" t="str">
        <f t="shared" si="97"/>
        <v/>
      </c>
      <c r="G83" t="str">
        <f t="shared" si="97"/>
        <v/>
      </c>
      <c r="H83" t="str">
        <f t="shared" si="97"/>
        <v/>
      </c>
      <c r="I83" t="str">
        <f t="shared" si="97"/>
        <v/>
      </c>
      <c r="J83" t="str">
        <f t="shared" si="97"/>
        <v/>
      </c>
      <c r="K83" t="str">
        <f t="shared" si="97"/>
        <v/>
      </c>
      <c r="L83" t="str">
        <f t="shared" si="77"/>
        <v/>
      </c>
      <c r="N83" t="str">
        <f t="shared" ca="1" si="81"/>
        <v/>
      </c>
      <c r="O83" t="str">
        <f t="shared" ca="1" si="82"/>
        <v/>
      </c>
      <c r="P83" t="str">
        <f t="shared" ca="1" si="83"/>
        <v/>
      </c>
      <c r="Q83" t="str">
        <f t="shared" ca="1" si="84"/>
        <v/>
      </c>
      <c r="R83" t="str">
        <f t="shared" ca="1" si="85"/>
        <v/>
      </c>
      <c r="S83" t="s">
        <v>340</v>
      </c>
    </row>
    <row r="84" spans="1:19" x14ac:dyDescent="0.25">
      <c r="A84" t="str">
        <f>IFERROR(INDEX(Sheets,ROWS($A$3:$A84)),"")</f>
        <v/>
      </c>
      <c r="B84" t="str">
        <f t="shared" ref="B84:K84" si="98">IF(A84&lt;&gt;B$2,A84,"")</f>
        <v/>
      </c>
      <c r="C84" t="str">
        <f t="shared" si="98"/>
        <v/>
      </c>
      <c r="D84" t="str">
        <f t="shared" si="98"/>
        <v/>
      </c>
      <c r="E84" t="str">
        <f t="shared" si="98"/>
        <v/>
      </c>
      <c r="F84" t="str">
        <f t="shared" si="98"/>
        <v/>
      </c>
      <c r="G84" t="str">
        <f t="shared" si="98"/>
        <v/>
      </c>
      <c r="H84" t="str">
        <f t="shared" si="98"/>
        <v/>
      </c>
      <c r="I84" t="str">
        <f t="shared" si="98"/>
        <v/>
      </c>
      <c r="J84" t="str">
        <f t="shared" si="98"/>
        <v/>
      </c>
      <c r="K84" t="str">
        <f t="shared" si="98"/>
        <v/>
      </c>
      <c r="L84" t="str">
        <f t="shared" si="77"/>
        <v/>
      </c>
      <c r="N84" t="str">
        <f t="shared" ca="1" si="81"/>
        <v/>
      </c>
      <c r="O84" t="str">
        <f t="shared" ca="1" si="82"/>
        <v/>
      </c>
      <c r="P84" t="str">
        <f t="shared" ca="1" si="83"/>
        <v/>
      </c>
      <c r="Q84" t="str">
        <f t="shared" ca="1" si="84"/>
        <v/>
      </c>
      <c r="R84" t="str">
        <f t="shared" ca="1" si="85"/>
        <v/>
      </c>
      <c r="S84" t="s">
        <v>340</v>
      </c>
    </row>
    <row r="85" spans="1:19" x14ac:dyDescent="0.25">
      <c r="A85" t="str">
        <f>IFERROR(INDEX(Sheets,ROWS($A$3:$A85)),"")</f>
        <v/>
      </c>
      <c r="B85" t="str">
        <f t="shared" ref="B85:K85" si="99">IF(A85&lt;&gt;B$2,A85,"")</f>
        <v/>
      </c>
      <c r="C85" t="str">
        <f t="shared" si="99"/>
        <v/>
      </c>
      <c r="D85" t="str">
        <f t="shared" si="99"/>
        <v/>
      </c>
      <c r="E85" t="str">
        <f t="shared" si="99"/>
        <v/>
      </c>
      <c r="F85" t="str">
        <f t="shared" si="99"/>
        <v/>
      </c>
      <c r="G85" t="str">
        <f t="shared" si="99"/>
        <v/>
      </c>
      <c r="H85" t="str">
        <f t="shared" si="99"/>
        <v/>
      </c>
      <c r="I85" t="str">
        <f t="shared" si="99"/>
        <v/>
      </c>
      <c r="J85" t="str">
        <f t="shared" si="99"/>
        <v/>
      </c>
      <c r="K85" t="str">
        <f t="shared" si="99"/>
        <v/>
      </c>
      <c r="L85" t="str">
        <f t="shared" si="77"/>
        <v/>
      </c>
      <c r="N85" t="str">
        <f t="shared" ca="1" si="81"/>
        <v/>
      </c>
      <c r="O85" t="str">
        <f t="shared" ca="1" si="82"/>
        <v/>
      </c>
      <c r="P85" t="str">
        <f t="shared" ca="1" si="83"/>
        <v/>
      </c>
      <c r="Q85" t="str">
        <f t="shared" ca="1" si="84"/>
        <v/>
      </c>
      <c r="R85" t="str">
        <f t="shared" ca="1" si="85"/>
        <v/>
      </c>
      <c r="S85" t="s">
        <v>340</v>
      </c>
    </row>
    <row r="86" spans="1:19" x14ac:dyDescent="0.25">
      <c r="A86" t="str">
        <f>IFERROR(INDEX(Sheets,ROWS($A$3:$A86)),"")</f>
        <v/>
      </c>
      <c r="B86" t="str">
        <f t="shared" ref="B86:K86" si="100">IF(A86&lt;&gt;B$2,A86,"")</f>
        <v/>
      </c>
      <c r="C86" t="str">
        <f t="shared" si="100"/>
        <v/>
      </c>
      <c r="D86" t="str">
        <f t="shared" si="100"/>
        <v/>
      </c>
      <c r="E86" t="str">
        <f t="shared" si="100"/>
        <v/>
      </c>
      <c r="F86" t="str">
        <f t="shared" si="100"/>
        <v/>
      </c>
      <c r="G86" t="str">
        <f t="shared" si="100"/>
        <v/>
      </c>
      <c r="H86" t="str">
        <f t="shared" si="100"/>
        <v/>
      </c>
      <c r="I86" t="str">
        <f t="shared" si="100"/>
        <v/>
      </c>
      <c r="J86" t="str">
        <f t="shared" si="100"/>
        <v/>
      </c>
      <c r="K86" t="str">
        <f t="shared" si="100"/>
        <v/>
      </c>
      <c r="L86" t="str">
        <f t="shared" si="77"/>
        <v/>
      </c>
      <c r="N86" t="str">
        <f t="shared" ca="1" si="81"/>
        <v/>
      </c>
      <c r="O86" t="str">
        <f t="shared" ca="1" si="82"/>
        <v/>
      </c>
      <c r="P86" t="str">
        <f t="shared" ca="1" si="83"/>
        <v/>
      </c>
      <c r="Q86" t="str">
        <f t="shared" ca="1" si="84"/>
        <v/>
      </c>
      <c r="R86" t="str">
        <f t="shared" ca="1" si="85"/>
        <v/>
      </c>
      <c r="S86" t="s">
        <v>340</v>
      </c>
    </row>
    <row r="87" spans="1:19" x14ac:dyDescent="0.25">
      <c r="A87" t="str">
        <f>IFERROR(INDEX(Sheets,ROWS($A$3:$A87)),"")</f>
        <v/>
      </c>
      <c r="B87" t="str">
        <f t="shared" ref="B87:K87" si="101">IF(A87&lt;&gt;B$2,A87,"")</f>
        <v/>
      </c>
      <c r="C87" t="str">
        <f t="shared" si="101"/>
        <v/>
      </c>
      <c r="D87" t="str">
        <f t="shared" si="101"/>
        <v/>
      </c>
      <c r="E87" t="str">
        <f t="shared" si="101"/>
        <v/>
      </c>
      <c r="F87" t="str">
        <f t="shared" si="101"/>
        <v/>
      </c>
      <c r="G87" t="str">
        <f t="shared" si="101"/>
        <v/>
      </c>
      <c r="H87" t="str">
        <f t="shared" si="101"/>
        <v/>
      </c>
      <c r="I87" t="str">
        <f t="shared" si="101"/>
        <v/>
      </c>
      <c r="J87" t="str">
        <f t="shared" si="101"/>
        <v/>
      </c>
      <c r="K87" t="str">
        <f t="shared" si="101"/>
        <v/>
      </c>
      <c r="L87" t="str">
        <f t="shared" si="77"/>
        <v/>
      </c>
      <c r="N87" t="str">
        <f t="shared" ca="1" si="81"/>
        <v/>
      </c>
      <c r="O87" t="str">
        <f t="shared" ca="1" si="82"/>
        <v/>
      </c>
      <c r="P87" t="str">
        <f t="shared" ca="1" si="83"/>
        <v/>
      </c>
      <c r="Q87" t="str">
        <f t="shared" ca="1" si="84"/>
        <v/>
      </c>
      <c r="R87" t="str">
        <f t="shared" ca="1" si="85"/>
        <v/>
      </c>
      <c r="S87" t="s">
        <v>340</v>
      </c>
    </row>
    <row r="88" spans="1:19" x14ac:dyDescent="0.25">
      <c r="A88" t="str">
        <f>IFERROR(INDEX(Sheets,ROWS($A$3:$A88)),"")</f>
        <v/>
      </c>
      <c r="B88" t="str">
        <f t="shared" ref="B88:K88" si="102">IF(A88&lt;&gt;B$2,A88,"")</f>
        <v/>
      </c>
      <c r="C88" t="str">
        <f t="shared" si="102"/>
        <v/>
      </c>
      <c r="D88" t="str">
        <f t="shared" si="102"/>
        <v/>
      </c>
      <c r="E88" t="str">
        <f t="shared" si="102"/>
        <v/>
      </c>
      <c r="F88" t="str">
        <f t="shared" si="102"/>
        <v/>
      </c>
      <c r="G88" t="str">
        <f t="shared" si="102"/>
        <v/>
      </c>
      <c r="H88" t="str">
        <f t="shared" si="102"/>
        <v/>
      </c>
      <c r="I88" t="str">
        <f t="shared" si="102"/>
        <v/>
      </c>
      <c r="J88" t="str">
        <f t="shared" si="102"/>
        <v/>
      </c>
      <c r="K88" t="str">
        <f t="shared" si="102"/>
        <v/>
      </c>
      <c r="L88" t="str">
        <f t="shared" si="77"/>
        <v/>
      </c>
      <c r="N88" t="str">
        <f t="shared" ca="1" si="81"/>
        <v/>
      </c>
      <c r="O88" t="str">
        <f t="shared" ca="1" si="82"/>
        <v/>
      </c>
      <c r="P88" t="str">
        <f t="shared" ca="1" si="83"/>
        <v/>
      </c>
      <c r="Q88" t="str">
        <f t="shared" ca="1" si="84"/>
        <v/>
      </c>
      <c r="R88" t="str">
        <f t="shared" ca="1" si="85"/>
        <v/>
      </c>
      <c r="S88" t="s">
        <v>340</v>
      </c>
    </row>
    <row r="89" spans="1:19" x14ac:dyDescent="0.25">
      <c r="A89" t="str">
        <f>IFERROR(INDEX(Sheets,ROWS($A$3:$A89)),"")</f>
        <v/>
      </c>
      <c r="B89" t="str">
        <f t="shared" ref="B89:K89" si="103">IF(A89&lt;&gt;B$2,A89,"")</f>
        <v/>
      </c>
      <c r="C89" t="str">
        <f t="shared" si="103"/>
        <v/>
      </c>
      <c r="D89" t="str">
        <f t="shared" si="103"/>
        <v/>
      </c>
      <c r="E89" t="str">
        <f t="shared" si="103"/>
        <v/>
      </c>
      <c r="F89" t="str">
        <f t="shared" si="103"/>
        <v/>
      </c>
      <c r="G89" t="str">
        <f t="shared" si="103"/>
        <v/>
      </c>
      <c r="H89" t="str">
        <f t="shared" si="103"/>
        <v/>
      </c>
      <c r="I89" t="str">
        <f t="shared" si="103"/>
        <v/>
      </c>
      <c r="J89" t="str">
        <f t="shared" si="103"/>
        <v/>
      </c>
      <c r="K89" t="str">
        <f t="shared" si="103"/>
        <v/>
      </c>
      <c r="L89" t="str">
        <f t="shared" si="77"/>
        <v/>
      </c>
      <c r="N89" t="str">
        <f t="shared" ca="1" si="81"/>
        <v/>
      </c>
      <c r="O89" t="str">
        <f t="shared" ca="1" si="82"/>
        <v/>
      </c>
      <c r="P89" t="str">
        <f t="shared" ca="1" si="83"/>
        <v/>
      </c>
      <c r="Q89" t="str">
        <f t="shared" ca="1" si="84"/>
        <v/>
      </c>
      <c r="R89" t="str">
        <f t="shared" ca="1" si="85"/>
        <v/>
      </c>
      <c r="S89" t="s">
        <v>340</v>
      </c>
    </row>
    <row r="90" spans="1:19" x14ac:dyDescent="0.25">
      <c r="A90" t="str">
        <f>IFERROR(INDEX(Sheets,ROWS($A$3:$A90)),"")</f>
        <v/>
      </c>
      <c r="B90" t="str">
        <f t="shared" ref="B90:K90" si="104">IF(A90&lt;&gt;B$2,A90,"")</f>
        <v/>
      </c>
      <c r="C90" t="str">
        <f t="shared" si="104"/>
        <v/>
      </c>
      <c r="D90" t="str">
        <f t="shared" si="104"/>
        <v/>
      </c>
      <c r="E90" t="str">
        <f t="shared" si="104"/>
        <v/>
      </c>
      <c r="F90" t="str">
        <f t="shared" si="104"/>
        <v/>
      </c>
      <c r="G90" t="str">
        <f t="shared" si="104"/>
        <v/>
      </c>
      <c r="H90" t="str">
        <f t="shared" si="104"/>
        <v/>
      </c>
      <c r="I90" t="str">
        <f t="shared" si="104"/>
        <v/>
      </c>
      <c r="J90" t="str">
        <f t="shared" si="104"/>
        <v/>
      </c>
      <c r="K90" t="str">
        <f t="shared" si="104"/>
        <v/>
      </c>
      <c r="L90" t="str">
        <f t="shared" si="77"/>
        <v/>
      </c>
      <c r="N90" t="str">
        <f t="shared" ca="1" si="81"/>
        <v/>
      </c>
      <c r="O90" t="str">
        <f t="shared" ca="1" si="82"/>
        <v/>
      </c>
      <c r="P90" t="str">
        <f t="shared" ca="1" si="83"/>
        <v/>
      </c>
      <c r="Q90" t="str">
        <f t="shared" ca="1" si="84"/>
        <v/>
      </c>
      <c r="R90" t="str">
        <f t="shared" ca="1" si="85"/>
        <v/>
      </c>
      <c r="S90" t="s">
        <v>340</v>
      </c>
    </row>
    <row r="91" spans="1:19" x14ac:dyDescent="0.25">
      <c r="A91" t="str">
        <f>IFERROR(INDEX(Sheets,ROWS($A$3:$A91)),"")</f>
        <v/>
      </c>
      <c r="B91" t="str">
        <f t="shared" ref="B91:K91" si="105">IF(A91&lt;&gt;B$2,A91,"")</f>
        <v/>
      </c>
      <c r="C91" t="str">
        <f t="shared" si="105"/>
        <v/>
      </c>
      <c r="D91" t="str">
        <f t="shared" si="105"/>
        <v/>
      </c>
      <c r="E91" t="str">
        <f t="shared" si="105"/>
        <v/>
      </c>
      <c r="F91" t="str">
        <f t="shared" si="105"/>
        <v/>
      </c>
      <c r="G91" t="str">
        <f t="shared" si="105"/>
        <v/>
      </c>
      <c r="H91" t="str">
        <f t="shared" si="105"/>
        <v/>
      </c>
      <c r="I91" t="str">
        <f t="shared" si="105"/>
        <v/>
      </c>
      <c r="J91" t="str">
        <f t="shared" si="105"/>
        <v/>
      </c>
      <c r="K91" t="str">
        <f t="shared" si="105"/>
        <v/>
      </c>
      <c r="L91" t="str">
        <f t="shared" si="77"/>
        <v/>
      </c>
      <c r="N91" t="str">
        <f t="shared" ca="1" si="81"/>
        <v/>
      </c>
      <c r="O91" t="str">
        <f t="shared" ca="1" si="82"/>
        <v/>
      </c>
      <c r="P91" t="str">
        <f t="shared" ca="1" si="83"/>
        <v/>
      </c>
      <c r="Q91" t="str">
        <f t="shared" ca="1" si="84"/>
        <v/>
      </c>
      <c r="R91" t="str">
        <f t="shared" ca="1" si="85"/>
        <v/>
      </c>
      <c r="S91" t="s">
        <v>340</v>
      </c>
    </row>
    <row r="92" spans="1:19" x14ac:dyDescent="0.25">
      <c r="A92" t="str">
        <f>IFERROR(INDEX(Sheets,ROWS($A$3:$A92)),"")</f>
        <v/>
      </c>
      <c r="B92" t="str">
        <f t="shared" ref="B92:K92" si="106">IF(A92&lt;&gt;B$2,A92,"")</f>
        <v/>
      </c>
      <c r="C92" t="str">
        <f t="shared" si="106"/>
        <v/>
      </c>
      <c r="D92" t="str">
        <f t="shared" si="106"/>
        <v/>
      </c>
      <c r="E92" t="str">
        <f t="shared" si="106"/>
        <v/>
      </c>
      <c r="F92" t="str">
        <f t="shared" si="106"/>
        <v/>
      </c>
      <c r="G92" t="str">
        <f t="shared" si="106"/>
        <v/>
      </c>
      <c r="H92" t="str">
        <f t="shared" si="106"/>
        <v/>
      </c>
      <c r="I92" t="str">
        <f t="shared" si="106"/>
        <v/>
      </c>
      <c r="J92" t="str">
        <f t="shared" si="106"/>
        <v/>
      </c>
      <c r="K92" t="str">
        <f t="shared" si="106"/>
        <v/>
      </c>
      <c r="L92" t="str">
        <f t="shared" si="77"/>
        <v/>
      </c>
      <c r="N92" t="str">
        <f t="shared" ca="1" si="81"/>
        <v/>
      </c>
      <c r="O92" t="str">
        <f t="shared" ca="1" si="82"/>
        <v/>
      </c>
      <c r="P92" t="str">
        <f t="shared" ca="1" si="83"/>
        <v/>
      </c>
      <c r="Q92" t="str">
        <f t="shared" ca="1" si="84"/>
        <v/>
      </c>
      <c r="R92" t="str">
        <f t="shared" ca="1" si="85"/>
        <v/>
      </c>
      <c r="S92" t="s">
        <v>340</v>
      </c>
    </row>
    <row r="93" spans="1:19" x14ac:dyDescent="0.25">
      <c r="A93" t="str">
        <f>IFERROR(INDEX(Sheets,ROWS($A$3:$A93)),"")</f>
        <v/>
      </c>
      <c r="B93" t="str">
        <f t="shared" ref="B93:K93" si="107">IF(A93&lt;&gt;B$2,A93,"")</f>
        <v/>
      </c>
      <c r="C93" t="str">
        <f t="shared" si="107"/>
        <v/>
      </c>
      <c r="D93" t="str">
        <f t="shared" si="107"/>
        <v/>
      </c>
      <c r="E93" t="str">
        <f t="shared" si="107"/>
        <v/>
      </c>
      <c r="F93" t="str">
        <f t="shared" si="107"/>
        <v/>
      </c>
      <c r="G93" t="str">
        <f t="shared" si="107"/>
        <v/>
      </c>
      <c r="H93" t="str">
        <f t="shared" si="107"/>
        <v/>
      </c>
      <c r="I93" t="str">
        <f t="shared" si="107"/>
        <v/>
      </c>
      <c r="J93" t="str">
        <f t="shared" si="107"/>
        <v/>
      </c>
      <c r="K93" t="str">
        <f t="shared" si="107"/>
        <v/>
      </c>
      <c r="L93" t="str">
        <f t="shared" si="77"/>
        <v/>
      </c>
      <c r="N93" t="str">
        <f t="shared" ca="1" si="81"/>
        <v/>
      </c>
      <c r="O93" t="str">
        <f t="shared" ca="1" si="82"/>
        <v/>
      </c>
      <c r="P93" t="str">
        <f t="shared" ca="1" si="83"/>
        <v/>
      </c>
      <c r="Q93" t="str">
        <f t="shared" ca="1" si="84"/>
        <v/>
      </c>
      <c r="R93" t="str">
        <f t="shared" ca="1" si="85"/>
        <v/>
      </c>
      <c r="S93" t="s">
        <v>340</v>
      </c>
    </row>
    <row r="94" spans="1:19" x14ac:dyDescent="0.25">
      <c r="A94" t="str">
        <f>IFERROR(INDEX(Sheets,ROWS($A$3:$A94)),"")</f>
        <v/>
      </c>
      <c r="B94" t="str">
        <f t="shared" ref="B94:K94" si="108">IF(A94&lt;&gt;B$2,A94,"")</f>
        <v/>
      </c>
      <c r="C94" t="str">
        <f t="shared" si="108"/>
        <v/>
      </c>
      <c r="D94" t="str">
        <f t="shared" si="108"/>
        <v/>
      </c>
      <c r="E94" t="str">
        <f t="shared" si="108"/>
        <v/>
      </c>
      <c r="F94" t="str">
        <f t="shared" si="108"/>
        <v/>
      </c>
      <c r="G94" t="str">
        <f t="shared" si="108"/>
        <v/>
      </c>
      <c r="H94" t="str">
        <f t="shared" si="108"/>
        <v/>
      </c>
      <c r="I94" t="str">
        <f t="shared" si="108"/>
        <v/>
      </c>
      <c r="J94" t="str">
        <f t="shared" si="108"/>
        <v/>
      </c>
      <c r="K94" t="str">
        <f t="shared" si="108"/>
        <v/>
      </c>
      <c r="L94" t="str">
        <f t="shared" si="77"/>
        <v/>
      </c>
      <c r="N94" t="str">
        <f t="shared" ca="1" si="81"/>
        <v/>
      </c>
      <c r="O94" t="str">
        <f t="shared" ca="1" si="82"/>
        <v/>
      </c>
      <c r="P94" t="str">
        <f t="shared" ca="1" si="83"/>
        <v/>
      </c>
      <c r="Q94" t="str">
        <f t="shared" ca="1" si="84"/>
        <v/>
      </c>
      <c r="R94" t="str">
        <f t="shared" ca="1" si="85"/>
        <v/>
      </c>
      <c r="S94" t="s">
        <v>340</v>
      </c>
    </row>
    <row r="95" spans="1:19" x14ac:dyDescent="0.25">
      <c r="A95" t="str">
        <f>IFERROR(INDEX(Sheets,ROWS($A$3:$A95)),"")</f>
        <v/>
      </c>
      <c r="B95" t="str">
        <f t="shared" ref="B95:K95" si="109">IF(A95&lt;&gt;B$2,A95,"")</f>
        <v/>
      </c>
      <c r="C95" t="str">
        <f t="shared" si="109"/>
        <v/>
      </c>
      <c r="D95" t="str">
        <f t="shared" si="109"/>
        <v/>
      </c>
      <c r="E95" t="str">
        <f t="shared" si="109"/>
        <v/>
      </c>
      <c r="F95" t="str">
        <f t="shared" si="109"/>
        <v/>
      </c>
      <c r="G95" t="str">
        <f t="shared" si="109"/>
        <v/>
      </c>
      <c r="H95" t="str">
        <f t="shared" si="109"/>
        <v/>
      </c>
      <c r="I95" t="str">
        <f t="shared" si="109"/>
        <v/>
      </c>
      <c r="J95" t="str">
        <f t="shared" si="109"/>
        <v/>
      </c>
      <c r="K95" t="str">
        <f t="shared" si="109"/>
        <v/>
      </c>
      <c r="L95" t="str">
        <f t="shared" si="77"/>
        <v/>
      </c>
      <c r="N95" t="str">
        <f t="shared" ca="1" si="81"/>
        <v/>
      </c>
      <c r="O95" t="str">
        <f t="shared" ca="1" si="82"/>
        <v/>
      </c>
      <c r="P95" t="str">
        <f t="shared" ca="1" si="83"/>
        <v/>
      </c>
      <c r="Q95" t="str">
        <f t="shared" ca="1" si="84"/>
        <v/>
      </c>
      <c r="R95" t="str">
        <f t="shared" ca="1" si="85"/>
        <v/>
      </c>
      <c r="S95" t="s">
        <v>340</v>
      </c>
    </row>
    <row r="96" spans="1:19" x14ac:dyDescent="0.25">
      <c r="A96" t="str">
        <f>IFERROR(INDEX(Sheets,ROWS($A$3:$A96)),"")</f>
        <v/>
      </c>
      <c r="B96" t="str">
        <f t="shared" ref="B96:K96" si="110">IF(A96&lt;&gt;B$2,A96,"")</f>
        <v/>
      </c>
      <c r="C96" t="str">
        <f t="shared" si="110"/>
        <v/>
      </c>
      <c r="D96" t="str">
        <f t="shared" si="110"/>
        <v/>
      </c>
      <c r="E96" t="str">
        <f t="shared" si="110"/>
        <v/>
      </c>
      <c r="F96" t="str">
        <f t="shared" si="110"/>
        <v/>
      </c>
      <c r="G96" t="str">
        <f t="shared" si="110"/>
        <v/>
      </c>
      <c r="H96" t="str">
        <f t="shared" si="110"/>
        <v/>
      </c>
      <c r="I96" t="str">
        <f t="shared" si="110"/>
        <v/>
      </c>
      <c r="J96" t="str">
        <f t="shared" si="110"/>
        <v/>
      </c>
      <c r="K96" t="str">
        <f t="shared" si="110"/>
        <v/>
      </c>
      <c r="L96" t="str">
        <f t="shared" si="77"/>
        <v/>
      </c>
      <c r="N96" t="str">
        <f t="shared" ca="1" si="81"/>
        <v/>
      </c>
      <c r="O96" t="str">
        <f t="shared" ca="1" si="82"/>
        <v/>
      </c>
      <c r="P96" t="str">
        <f t="shared" ca="1" si="83"/>
        <v/>
      </c>
      <c r="Q96" t="str">
        <f t="shared" ca="1" si="84"/>
        <v/>
      </c>
      <c r="R96" t="str">
        <f t="shared" ca="1" si="85"/>
        <v/>
      </c>
      <c r="S96" t="s">
        <v>340</v>
      </c>
    </row>
    <row r="97" spans="1:19" x14ac:dyDescent="0.25">
      <c r="A97" t="str">
        <f>IFERROR(INDEX(Sheets,ROWS($A$3:$A97)),"")</f>
        <v/>
      </c>
      <c r="B97" t="str">
        <f t="shared" ref="B97:K97" si="111">IF(A97&lt;&gt;B$2,A97,"")</f>
        <v/>
      </c>
      <c r="C97" t="str">
        <f t="shared" si="111"/>
        <v/>
      </c>
      <c r="D97" t="str">
        <f t="shared" si="111"/>
        <v/>
      </c>
      <c r="E97" t="str">
        <f t="shared" si="111"/>
        <v/>
      </c>
      <c r="F97" t="str">
        <f t="shared" si="111"/>
        <v/>
      </c>
      <c r="G97" t="str">
        <f t="shared" si="111"/>
        <v/>
      </c>
      <c r="H97" t="str">
        <f t="shared" si="111"/>
        <v/>
      </c>
      <c r="I97" t="str">
        <f t="shared" si="111"/>
        <v/>
      </c>
      <c r="J97" t="str">
        <f t="shared" si="111"/>
        <v/>
      </c>
      <c r="K97" t="str">
        <f t="shared" si="111"/>
        <v/>
      </c>
      <c r="L97" t="str">
        <f t="shared" si="77"/>
        <v/>
      </c>
      <c r="N97" t="str">
        <f t="shared" ca="1" si="81"/>
        <v/>
      </c>
      <c r="O97" t="str">
        <f t="shared" ca="1" si="82"/>
        <v/>
      </c>
      <c r="P97" t="str">
        <f t="shared" ca="1" si="83"/>
        <v/>
      </c>
      <c r="Q97" t="str">
        <f t="shared" ca="1" si="84"/>
        <v/>
      </c>
      <c r="R97" t="str">
        <f t="shared" ca="1" si="85"/>
        <v/>
      </c>
      <c r="S97" t="s">
        <v>340</v>
      </c>
    </row>
    <row r="98" spans="1:19" x14ac:dyDescent="0.25">
      <c r="A98" t="str">
        <f>IFERROR(INDEX(Sheets,ROWS($A$3:$A98)),"")</f>
        <v/>
      </c>
      <c r="B98" t="str">
        <f t="shared" ref="B98:K98" si="112">IF(A98&lt;&gt;B$2,A98,"")</f>
        <v/>
      </c>
      <c r="C98" t="str">
        <f t="shared" si="112"/>
        <v/>
      </c>
      <c r="D98" t="str">
        <f t="shared" si="112"/>
        <v/>
      </c>
      <c r="E98" t="str">
        <f t="shared" si="112"/>
        <v/>
      </c>
      <c r="F98" t="str">
        <f t="shared" si="112"/>
        <v/>
      </c>
      <c r="G98" t="str">
        <f t="shared" si="112"/>
        <v/>
      </c>
      <c r="H98" t="str">
        <f t="shared" si="112"/>
        <v/>
      </c>
      <c r="I98" t="str">
        <f t="shared" si="112"/>
        <v/>
      </c>
      <c r="J98" t="str">
        <f t="shared" si="112"/>
        <v/>
      </c>
      <c r="K98" t="str">
        <f t="shared" si="112"/>
        <v/>
      </c>
      <c r="L98" t="str">
        <f t="shared" si="77"/>
        <v/>
      </c>
      <c r="N98" t="str">
        <f t="shared" ca="1" si="81"/>
        <v/>
      </c>
      <c r="O98" t="str">
        <f t="shared" ca="1" si="82"/>
        <v/>
      </c>
      <c r="P98" t="str">
        <f t="shared" ca="1" si="83"/>
        <v/>
      </c>
      <c r="Q98" t="str">
        <f t="shared" ca="1" si="84"/>
        <v/>
      </c>
      <c r="R98" t="str">
        <f t="shared" ca="1" si="85"/>
        <v/>
      </c>
      <c r="S98" t="s">
        <v>340</v>
      </c>
    </row>
    <row r="99" spans="1:19" x14ac:dyDescent="0.25">
      <c r="A99" t="str">
        <f>IFERROR(INDEX(Sheets,ROWS($A$3:$A99)),"")</f>
        <v/>
      </c>
      <c r="B99" t="str">
        <f t="shared" ref="B99:K99" si="113">IF(A99&lt;&gt;B$2,A99,"")</f>
        <v/>
      </c>
      <c r="C99" t="str">
        <f t="shared" si="113"/>
        <v/>
      </c>
      <c r="D99" t="str">
        <f t="shared" si="113"/>
        <v/>
      </c>
      <c r="E99" t="str">
        <f t="shared" si="113"/>
        <v/>
      </c>
      <c r="F99" t="str">
        <f t="shared" si="113"/>
        <v/>
      </c>
      <c r="G99" t="str">
        <f t="shared" si="113"/>
        <v/>
      </c>
      <c r="H99" t="str">
        <f t="shared" si="113"/>
        <v/>
      </c>
      <c r="I99" t="str">
        <f t="shared" si="113"/>
        <v/>
      </c>
      <c r="J99" t="str">
        <f t="shared" si="113"/>
        <v/>
      </c>
      <c r="K99" t="str">
        <f t="shared" si="113"/>
        <v/>
      </c>
      <c r="L99" t="str">
        <f t="shared" si="77"/>
        <v/>
      </c>
      <c r="N99" t="str">
        <f t="shared" ca="1" si="81"/>
        <v/>
      </c>
      <c r="O99" t="str">
        <f t="shared" ca="1" si="82"/>
        <v/>
      </c>
      <c r="P99" t="str">
        <f t="shared" ca="1" si="83"/>
        <v/>
      </c>
      <c r="Q99" t="str">
        <f t="shared" ca="1" si="84"/>
        <v/>
      </c>
      <c r="R99" t="str">
        <f t="shared" ca="1" si="85"/>
        <v/>
      </c>
      <c r="S99" t="s">
        <v>340</v>
      </c>
    </row>
    <row r="100" spans="1:19" x14ac:dyDescent="0.25">
      <c r="A100" t="str">
        <f>IFERROR(INDEX(Sheets,ROWS($A$3:$A100)),"")</f>
        <v/>
      </c>
      <c r="B100" t="str">
        <f t="shared" ref="B100:K100" si="114">IF(A100&lt;&gt;B$2,A100,"")</f>
        <v/>
      </c>
      <c r="C100" t="str">
        <f t="shared" si="114"/>
        <v/>
      </c>
      <c r="D100" t="str">
        <f t="shared" si="114"/>
        <v/>
      </c>
      <c r="E100" t="str">
        <f t="shared" si="114"/>
        <v/>
      </c>
      <c r="F100" t="str">
        <f t="shared" si="114"/>
        <v/>
      </c>
      <c r="G100" t="str">
        <f t="shared" si="114"/>
        <v/>
      </c>
      <c r="H100" t="str">
        <f t="shared" si="114"/>
        <v/>
      </c>
      <c r="I100" t="str">
        <f t="shared" si="114"/>
        <v/>
      </c>
      <c r="J100" t="str">
        <f t="shared" si="114"/>
        <v/>
      </c>
      <c r="K100" t="str">
        <f t="shared" si="114"/>
        <v/>
      </c>
      <c r="L100" t="str">
        <f t="shared" si="77"/>
        <v/>
      </c>
      <c r="N100" t="str">
        <f t="shared" ca="1" si="81"/>
        <v/>
      </c>
      <c r="O100" t="str">
        <f t="shared" ca="1" si="82"/>
        <v/>
      </c>
      <c r="P100" t="str">
        <f t="shared" ca="1" si="83"/>
        <v/>
      </c>
      <c r="Q100" t="str">
        <f t="shared" ca="1" si="84"/>
        <v/>
      </c>
      <c r="R100" t="str">
        <f t="shared" ca="1" si="85"/>
        <v/>
      </c>
      <c r="S100" t="s">
        <v>340</v>
      </c>
    </row>
    <row r="101" spans="1:19" x14ac:dyDescent="0.25">
      <c r="A101" t="str">
        <f>IFERROR(INDEX(Sheets,ROWS($A$3:$A101)),"")</f>
        <v/>
      </c>
      <c r="B101" t="str">
        <f t="shared" ref="B101:K101" si="115">IF(A101&lt;&gt;B$2,A101,"")</f>
        <v/>
      </c>
      <c r="C101" t="str">
        <f t="shared" si="115"/>
        <v/>
      </c>
      <c r="D101" t="str">
        <f t="shared" si="115"/>
        <v/>
      </c>
      <c r="E101" t="str">
        <f t="shared" si="115"/>
        <v/>
      </c>
      <c r="F101" t="str">
        <f t="shared" si="115"/>
        <v/>
      </c>
      <c r="G101" t="str">
        <f t="shared" si="115"/>
        <v/>
      </c>
      <c r="H101" t="str">
        <f t="shared" si="115"/>
        <v/>
      </c>
      <c r="I101" t="str">
        <f t="shared" si="115"/>
        <v/>
      </c>
      <c r="J101" t="str">
        <f t="shared" si="115"/>
        <v/>
      </c>
      <c r="K101" t="str">
        <f t="shared" si="115"/>
        <v/>
      </c>
      <c r="L101" t="str">
        <f t="shared" si="77"/>
        <v/>
      </c>
      <c r="N101" t="str">
        <f t="shared" ca="1" si="81"/>
        <v/>
      </c>
      <c r="O101" t="str">
        <f t="shared" ca="1" si="82"/>
        <v/>
      </c>
      <c r="P101" t="str">
        <f t="shared" ca="1" si="83"/>
        <v/>
      </c>
      <c r="Q101" t="str">
        <f t="shared" ca="1" si="84"/>
        <v/>
      </c>
      <c r="R101" t="str">
        <f t="shared" ca="1" si="85"/>
        <v/>
      </c>
      <c r="S101" t="s">
        <v>340</v>
      </c>
    </row>
    <row r="102" spans="1:19" x14ac:dyDescent="0.25">
      <c r="A102" t="str">
        <f>IFERROR(INDEX(Sheets,ROWS($A$3:$A102)),"")</f>
        <v/>
      </c>
      <c r="B102" t="str">
        <f t="shared" ref="B102:K102" si="116">IF(A102&lt;&gt;B$2,A102,"")</f>
        <v/>
      </c>
      <c r="C102" t="str">
        <f t="shared" si="116"/>
        <v/>
      </c>
      <c r="D102" t="str">
        <f t="shared" si="116"/>
        <v/>
      </c>
      <c r="E102" t="str">
        <f t="shared" si="116"/>
        <v/>
      </c>
      <c r="F102" t="str">
        <f t="shared" si="116"/>
        <v/>
      </c>
      <c r="G102" t="str">
        <f t="shared" si="116"/>
        <v/>
      </c>
      <c r="H102" t="str">
        <f t="shared" si="116"/>
        <v/>
      </c>
      <c r="I102" t="str">
        <f t="shared" si="116"/>
        <v/>
      </c>
      <c r="J102" t="str">
        <f t="shared" si="116"/>
        <v/>
      </c>
      <c r="K102" t="str">
        <f t="shared" si="116"/>
        <v/>
      </c>
      <c r="L102" t="str">
        <f t="shared" si="77"/>
        <v/>
      </c>
      <c r="N102" t="str">
        <f t="shared" ca="1" si="81"/>
        <v/>
      </c>
      <c r="O102" t="str">
        <f t="shared" ca="1" si="82"/>
        <v/>
      </c>
      <c r="P102" t="str">
        <f t="shared" ca="1" si="83"/>
        <v/>
      </c>
      <c r="Q102" t="str">
        <f t="shared" ca="1" si="84"/>
        <v/>
      </c>
      <c r="R102" t="str">
        <f t="shared" ca="1" si="85"/>
        <v/>
      </c>
      <c r="S102" t="s">
        <v>340</v>
      </c>
    </row>
    <row r="103" spans="1:19" x14ac:dyDescent="0.25">
      <c r="A103" t="str">
        <f>IFERROR(INDEX(Sheets,ROWS($A$3:$A103)),"")</f>
        <v/>
      </c>
      <c r="B103" t="str">
        <f t="shared" ref="B103:K103" si="117">IF(A103&lt;&gt;B$2,A103,"")</f>
        <v/>
      </c>
      <c r="C103" t="str">
        <f t="shared" si="117"/>
        <v/>
      </c>
      <c r="D103" t="str">
        <f t="shared" si="117"/>
        <v/>
      </c>
      <c r="E103" t="str">
        <f t="shared" si="117"/>
        <v/>
      </c>
      <c r="F103" t="str">
        <f t="shared" si="117"/>
        <v/>
      </c>
      <c r="G103" t="str">
        <f t="shared" si="117"/>
        <v/>
      </c>
      <c r="H103" t="str">
        <f t="shared" si="117"/>
        <v/>
      </c>
      <c r="I103" t="str">
        <f t="shared" si="117"/>
        <v/>
      </c>
      <c r="J103" t="str">
        <f t="shared" si="117"/>
        <v/>
      </c>
      <c r="K103" t="str">
        <f t="shared" si="117"/>
        <v/>
      </c>
      <c r="L103" t="str">
        <f t="shared" si="77"/>
        <v/>
      </c>
      <c r="N103" t="str">
        <f t="shared" ca="1" si="81"/>
        <v/>
      </c>
      <c r="O103" t="str">
        <f t="shared" ca="1" si="82"/>
        <v/>
      </c>
      <c r="P103" t="str">
        <f t="shared" ca="1" si="83"/>
        <v/>
      </c>
      <c r="Q103" t="str">
        <f t="shared" ca="1" si="84"/>
        <v/>
      </c>
      <c r="R103" t="str">
        <f t="shared" ca="1" si="85"/>
        <v/>
      </c>
      <c r="S103" t="s">
        <v>340</v>
      </c>
    </row>
    <row r="104" spans="1:19" x14ac:dyDescent="0.25">
      <c r="A104" t="str">
        <f>IFERROR(INDEX(Sheets,ROWS($A$3:$A104)),"")</f>
        <v/>
      </c>
      <c r="B104" t="str">
        <f t="shared" ref="B104:K104" si="118">IF(A104&lt;&gt;B$2,A104,"")</f>
        <v/>
      </c>
      <c r="C104" t="str">
        <f t="shared" si="118"/>
        <v/>
      </c>
      <c r="D104" t="str">
        <f t="shared" si="118"/>
        <v/>
      </c>
      <c r="E104" t="str">
        <f t="shared" si="118"/>
        <v/>
      </c>
      <c r="F104" t="str">
        <f t="shared" si="118"/>
        <v/>
      </c>
      <c r="G104" t="str">
        <f t="shared" si="118"/>
        <v/>
      </c>
      <c r="H104" t="str">
        <f t="shared" si="118"/>
        <v/>
      </c>
      <c r="I104" t="str">
        <f t="shared" si="118"/>
        <v/>
      </c>
      <c r="J104" t="str">
        <f t="shared" si="118"/>
        <v/>
      </c>
      <c r="K104" t="str">
        <f t="shared" si="118"/>
        <v/>
      </c>
      <c r="L104" t="str">
        <f t="shared" si="77"/>
        <v/>
      </c>
    </row>
    <row r="105" spans="1:19" x14ac:dyDescent="0.25">
      <c r="A105" t="str">
        <f>IFERROR(INDEX(Sheets,ROWS($A$3:$A105)),"")</f>
        <v/>
      </c>
      <c r="B105" t="str">
        <f t="shared" ref="B105:K105" si="119">IF(A105&lt;&gt;B$2,A105,"")</f>
        <v/>
      </c>
      <c r="C105" t="str">
        <f t="shared" si="119"/>
        <v/>
      </c>
      <c r="D105" t="str">
        <f t="shared" si="119"/>
        <v/>
      </c>
      <c r="E105" t="str">
        <f t="shared" si="119"/>
        <v/>
      </c>
      <c r="F105" t="str">
        <f t="shared" si="119"/>
        <v/>
      </c>
      <c r="G105" t="str">
        <f t="shared" si="119"/>
        <v/>
      </c>
      <c r="H105" t="str">
        <f t="shared" si="119"/>
        <v/>
      </c>
      <c r="I105" t="str">
        <f t="shared" si="119"/>
        <v/>
      </c>
      <c r="J105" t="str">
        <f t="shared" si="119"/>
        <v/>
      </c>
      <c r="K105" t="str">
        <f t="shared" si="119"/>
        <v/>
      </c>
      <c r="L105" t="str">
        <f t="shared" ref="L105" si="120">IFERROR(K105,"")</f>
        <v/>
      </c>
    </row>
  </sheetData>
  <mergeCells count="2">
    <mergeCell ref="N1:O1"/>
    <mergeCell ref="P1:Q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20"/>
  <sheetViews>
    <sheetView tabSelected="1" workbookViewId="0">
      <selection activeCell="I11" sqref="I11:O20"/>
    </sheetView>
  </sheetViews>
  <sheetFormatPr defaultRowHeight="15" x14ac:dyDescent="0.25"/>
  <sheetData>
    <row r="1" spans="1:23" ht="15" customHeight="1" x14ac:dyDescent="0.25">
      <c r="A1" s="62" t="s">
        <v>345</v>
      </c>
      <c r="B1" s="63"/>
      <c r="C1" s="63"/>
      <c r="D1" s="63"/>
      <c r="E1" s="63"/>
      <c r="F1" s="63"/>
      <c r="G1" s="63"/>
      <c r="H1" s="63"/>
      <c r="I1" s="63"/>
      <c r="J1" s="63"/>
      <c r="K1" s="63"/>
      <c r="L1" s="63"/>
      <c r="M1" s="63"/>
      <c r="N1" s="63"/>
      <c r="O1" s="63"/>
      <c r="P1" s="63"/>
      <c r="Q1" s="63"/>
      <c r="R1" s="63"/>
      <c r="S1" s="63"/>
      <c r="T1" s="63"/>
      <c r="U1" s="63"/>
      <c r="V1" s="63"/>
      <c r="W1" s="64"/>
    </row>
    <row r="2" spans="1:23" ht="15" customHeight="1" x14ac:dyDescent="0.25">
      <c r="A2" s="65"/>
      <c r="B2" s="66"/>
      <c r="C2" s="66"/>
      <c r="D2" s="66"/>
      <c r="E2" s="66"/>
      <c r="F2" s="66"/>
      <c r="G2" s="66"/>
      <c r="H2" s="66"/>
      <c r="I2" s="66"/>
      <c r="J2" s="66"/>
      <c r="K2" s="66"/>
      <c r="L2" s="66"/>
      <c r="M2" s="66"/>
      <c r="N2" s="66"/>
      <c r="O2" s="66"/>
      <c r="P2" s="66"/>
      <c r="Q2" s="66"/>
      <c r="R2" s="66"/>
      <c r="S2" s="66"/>
      <c r="T2" s="66"/>
      <c r="U2" s="66"/>
      <c r="V2" s="66"/>
      <c r="W2" s="67"/>
    </row>
    <row r="3" spans="1:23" ht="15" customHeight="1" thickBot="1" x14ac:dyDescent="0.3">
      <c r="A3" s="68"/>
      <c r="B3" s="69"/>
      <c r="C3" s="69"/>
      <c r="D3" s="69"/>
      <c r="E3" s="69"/>
      <c r="F3" s="69"/>
      <c r="G3" s="69"/>
      <c r="H3" s="69"/>
      <c r="I3" s="69"/>
      <c r="J3" s="69"/>
      <c r="K3" s="69"/>
      <c r="L3" s="69"/>
      <c r="M3" s="69"/>
      <c r="N3" s="69"/>
      <c r="O3" s="69"/>
      <c r="P3" s="69"/>
      <c r="Q3" s="69"/>
      <c r="R3" s="69"/>
      <c r="S3" s="69"/>
      <c r="T3" s="69"/>
      <c r="U3" s="69"/>
      <c r="V3" s="69"/>
      <c r="W3" s="70"/>
    </row>
    <row r="4" spans="1:23" ht="15.75" customHeight="1" x14ac:dyDescent="0.25">
      <c r="A4" s="56" t="s">
        <v>977</v>
      </c>
      <c r="B4" s="57"/>
      <c r="C4" s="57"/>
      <c r="D4" s="57"/>
      <c r="E4" s="57"/>
      <c r="F4" s="57"/>
      <c r="G4" s="58"/>
      <c r="I4" s="56" t="s">
        <v>347</v>
      </c>
      <c r="J4" s="57"/>
      <c r="K4" s="57"/>
      <c r="L4" s="57"/>
      <c r="M4" s="57"/>
      <c r="N4" s="57"/>
      <c r="O4" s="58"/>
      <c r="Q4" s="71" t="s">
        <v>346</v>
      </c>
      <c r="R4" s="72"/>
      <c r="S4" s="72"/>
      <c r="T4" s="72"/>
      <c r="U4" s="72"/>
      <c r="V4" s="72"/>
      <c r="W4" s="73"/>
    </row>
    <row r="5" spans="1:23" ht="15.75" customHeight="1" x14ac:dyDescent="0.25">
      <c r="A5" s="59"/>
      <c r="B5" s="60"/>
      <c r="C5" s="60"/>
      <c r="D5" s="60"/>
      <c r="E5" s="60"/>
      <c r="F5" s="60"/>
      <c r="G5" s="61"/>
      <c r="I5" s="59"/>
      <c r="J5" s="60"/>
      <c r="K5" s="60"/>
      <c r="L5" s="60"/>
      <c r="M5" s="60"/>
      <c r="N5" s="60"/>
      <c r="O5" s="61"/>
      <c r="Q5" s="59"/>
      <c r="R5" s="60"/>
      <c r="S5" s="60"/>
      <c r="T5" s="60"/>
      <c r="U5" s="60"/>
      <c r="V5" s="60"/>
      <c r="W5" s="61"/>
    </row>
    <row r="6" spans="1:23" ht="15" customHeight="1" x14ac:dyDescent="0.25">
      <c r="A6" s="74" t="s">
        <v>1201</v>
      </c>
      <c r="B6" s="75"/>
      <c r="C6" s="75"/>
      <c r="D6" s="75"/>
      <c r="E6" s="75"/>
      <c r="F6" s="75"/>
      <c r="G6" s="76"/>
      <c r="I6" s="50" t="s">
        <v>1198</v>
      </c>
      <c r="J6" s="51"/>
      <c r="K6" s="51"/>
      <c r="L6" s="51"/>
      <c r="M6" s="51"/>
      <c r="N6" s="51"/>
      <c r="O6" s="52"/>
      <c r="Q6" s="74" t="s">
        <v>1199</v>
      </c>
      <c r="R6" s="75"/>
      <c r="S6" s="75"/>
      <c r="T6" s="75"/>
      <c r="U6" s="75"/>
      <c r="V6" s="75"/>
      <c r="W6" s="76"/>
    </row>
    <row r="7" spans="1:23" ht="15" customHeight="1" thickBot="1" x14ac:dyDescent="0.3">
      <c r="A7" s="77"/>
      <c r="B7" s="78"/>
      <c r="C7" s="78"/>
      <c r="D7" s="78"/>
      <c r="E7" s="78"/>
      <c r="F7" s="78"/>
      <c r="G7" s="79"/>
      <c r="I7" s="53"/>
      <c r="J7" s="54"/>
      <c r="K7" s="54"/>
      <c r="L7" s="54"/>
      <c r="M7" s="54"/>
      <c r="N7" s="54"/>
      <c r="O7" s="55"/>
      <c r="Q7" s="77"/>
      <c r="R7" s="78"/>
      <c r="S7" s="78"/>
      <c r="T7" s="78"/>
      <c r="U7" s="78"/>
      <c r="V7" s="78"/>
      <c r="W7" s="79"/>
    </row>
    <row r="8" spans="1:23" ht="15" customHeight="1" thickBot="1" x14ac:dyDescent="0.3">
      <c r="A8" s="77"/>
      <c r="B8" s="78"/>
      <c r="C8" s="78"/>
      <c r="D8" s="78"/>
      <c r="E8" s="78"/>
      <c r="F8" s="78"/>
      <c r="G8" s="79"/>
      <c r="Q8" s="77"/>
      <c r="R8" s="78"/>
      <c r="S8" s="78"/>
      <c r="T8" s="78"/>
      <c r="U8" s="78"/>
      <c r="V8" s="78"/>
      <c r="W8" s="79"/>
    </row>
    <row r="9" spans="1:23" x14ac:dyDescent="0.25">
      <c r="A9" s="77"/>
      <c r="B9" s="78"/>
      <c r="C9" s="78"/>
      <c r="D9" s="78"/>
      <c r="E9" s="78"/>
      <c r="F9" s="78"/>
      <c r="G9" s="79"/>
      <c r="I9" s="71" t="s">
        <v>348</v>
      </c>
      <c r="J9" s="72"/>
      <c r="K9" s="72"/>
      <c r="L9" s="72"/>
      <c r="M9" s="72"/>
      <c r="N9" s="72"/>
      <c r="O9" s="73"/>
      <c r="Q9" s="77"/>
      <c r="R9" s="78"/>
      <c r="S9" s="78"/>
      <c r="T9" s="78"/>
      <c r="U9" s="78"/>
      <c r="V9" s="78"/>
      <c r="W9" s="79"/>
    </row>
    <row r="10" spans="1:23" x14ac:dyDescent="0.25">
      <c r="A10" s="77"/>
      <c r="B10" s="78"/>
      <c r="C10" s="78"/>
      <c r="D10" s="78"/>
      <c r="E10" s="78"/>
      <c r="F10" s="78"/>
      <c r="G10" s="79"/>
      <c r="I10" s="59"/>
      <c r="J10" s="60"/>
      <c r="K10" s="60"/>
      <c r="L10" s="60"/>
      <c r="M10" s="60"/>
      <c r="N10" s="60"/>
      <c r="O10" s="61"/>
      <c r="Q10" s="77"/>
      <c r="R10" s="78"/>
      <c r="S10" s="78"/>
      <c r="T10" s="78"/>
      <c r="U10" s="78"/>
      <c r="V10" s="78"/>
      <c r="W10" s="79"/>
    </row>
    <row r="11" spans="1:23" x14ac:dyDescent="0.25">
      <c r="A11" s="77"/>
      <c r="B11" s="78"/>
      <c r="C11" s="78"/>
      <c r="D11" s="78"/>
      <c r="E11" s="78"/>
      <c r="F11" s="78"/>
      <c r="G11" s="79"/>
      <c r="I11" s="83" t="s">
        <v>1202</v>
      </c>
      <c r="J11" s="84"/>
      <c r="K11" s="84"/>
      <c r="L11" s="84"/>
      <c r="M11" s="84"/>
      <c r="N11" s="84"/>
      <c r="O11" s="85"/>
      <c r="Q11" s="77"/>
      <c r="R11" s="78"/>
      <c r="S11" s="78"/>
      <c r="T11" s="78"/>
      <c r="U11" s="78"/>
      <c r="V11" s="78"/>
      <c r="W11" s="79"/>
    </row>
    <row r="12" spans="1:23" x14ac:dyDescent="0.25">
      <c r="A12" s="77"/>
      <c r="B12" s="78"/>
      <c r="C12" s="78"/>
      <c r="D12" s="78"/>
      <c r="E12" s="78"/>
      <c r="F12" s="78"/>
      <c r="G12" s="79"/>
      <c r="I12" s="50"/>
      <c r="J12" s="51"/>
      <c r="K12" s="51"/>
      <c r="L12" s="51"/>
      <c r="M12" s="51"/>
      <c r="N12" s="51"/>
      <c r="O12" s="52"/>
      <c r="Q12" s="77"/>
      <c r="R12" s="78"/>
      <c r="S12" s="78"/>
      <c r="T12" s="78"/>
      <c r="U12" s="78"/>
      <c r="V12" s="78"/>
      <c r="W12" s="79"/>
    </row>
    <row r="13" spans="1:23" x14ac:dyDescent="0.25">
      <c r="A13" s="77"/>
      <c r="B13" s="78"/>
      <c r="C13" s="78"/>
      <c r="D13" s="78"/>
      <c r="E13" s="78"/>
      <c r="F13" s="78"/>
      <c r="G13" s="79"/>
      <c r="I13" s="50"/>
      <c r="J13" s="51"/>
      <c r="K13" s="51"/>
      <c r="L13" s="51"/>
      <c r="M13" s="51"/>
      <c r="N13" s="51"/>
      <c r="O13" s="52"/>
      <c r="Q13" s="77"/>
      <c r="R13" s="78"/>
      <c r="S13" s="78"/>
      <c r="T13" s="78"/>
      <c r="U13" s="78"/>
      <c r="V13" s="78"/>
      <c r="W13" s="79"/>
    </row>
    <row r="14" spans="1:23" x14ac:dyDescent="0.25">
      <c r="A14" s="77"/>
      <c r="B14" s="78"/>
      <c r="C14" s="78"/>
      <c r="D14" s="78"/>
      <c r="E14" s="78"/>
      <c r="F14" s="78"/>
      <c r="G14" s="79"/>
      <c r="I14" s="50"/>
      <c r="J14" s="51"/>
      <c r="K14" s="51"/>
      <c r="L14" s="51"/>
      <c r="M14" s="51"/>
      <c r="N14" s="51"/>
      <c r="O14" s="52"/>
      <c r="Q14" s="77"/>
      <c r="R14" s="78"/>
      <c r="S14" s="78"/>
      <c r="T14" s="78"/>
      <c r="U14" s="78"/>
      <c r="V14" s="78"/>
      <c r="W14" s="79"/>
    </row>
    <row r="15" spans="1:23" x14ac:dyDescent="0.25">
      <c r="A15" s="77"/>
      <c r="B15" s="78"/>
      <c r="C15" s="78"/>
      <c r="D15" s="78"/>
      <c r="E15" s="78"/>
      <c r="F15" s="78"/>
      <c r="G15" s="79"/>
      <c r="I15" s="50"/>
      <c r="J15" s="51"/>
      <c r="K15" s="51"/>
      <c r="L15" s="51"/>
      <c r="M15" s="51"/>
      <c r="N15" s="51"/>
      <c r="O15" s="52"/>
      <c r="Q15" s="77"/>
      <c r="R15" s="78"/>
      <c r="S15" s="78"/>
      <c r="T15" s="78"/>
      <c r="U15" s="78"/>
      <c r="V15" s="78"/>
      <c r="W15" s="79"/>
    </row>
    <row r="16" spans="1:23" x14ac:dyDescent="0.25">
      <c r="A16" s="77"/>
      <c r="B16" s="78"/>
      <c r="C16" s="78"/>
      <c r="D16" s="78"/>
      <c r="E16" s="78"/>
      <c r="F16" s="78"/>
      <c r="G16" s="79"/>
      <c r="I16" s="50"/>
      <c r="J16" s="51"/>
      <c r="K16" s="51"/>
      <c r="L16" s="51"/>
      <c r="M16" s="51"/>
      <c r="N16" s="51"/>
      <c r="O16" s="52"/>
      <c r="Q16" s="77"/>
      <c r="R16" s="78"/>
      <c r="S16" s="78"/>
      <c r="T16" s="78"/>
      <c r="U16" s="78"/>
      <c r="V16" s="78"/>
      <c r="W16" s="79"/>
    </row>
    <row r="17" spans="1:23" x14ac:dyDescent="0.25">
      <c r="A17" s="77"/>
      <c r="B17" s="78"/>
      <c r="C17" s="78"/>
      <c r="D17" s="78"/>
      <c r="E17" s="78"/>
      <c r="F17" s="78"/>
      <c r="G17" s="79"/>
      <c r="I17" s="50"/>
      <c r="J17" s="51"/>
      <c r="K17" s="51"/>
      <c r="L17" s="51"/>
      <c r="M17" s="51"/>
      <c r="N17" s="51"/>
      <c r="O17" s="52"/>
      <c r="Q17" s="77"/>
      <c r="R17" s="78"/>
      <c r="S17" s="78"/>
      <c r="T17" s="78"/>
      <c r="U17" s="78"/>
      <c r="V17" s="78"/>
      <c r="W17" s="79"/>
    </row>
    <row r="18" spans="1:23" ht="15" customHeight="1" x14ac:dyDescent="0.25">
      <c r="A18" s="77"/>
      <c r="B18" s="78"/>
      <c r="C18" s="78"/>
      <c r="D18" s="78"/>
      <c r="E18" s="78"/>
      <c r="F18" s="78"/>
      <c r="G18" s="79"/>
      <c r="I18" s="50"/>
      <c r="J18" s="51"/>
      <c r="K18" s="51"/>
      <c r="L18" s="51"/>
      <c r="M18" s="51"/>
      <c r="N18" s="51"/>
      <c r="O18" s="52"/>
      <c r="Q18" s="77"/>
      <c r="R18" s="78"/>
      <c r="S18" s="78"/>
      <c r="T18" s="78"/>
      <c r="U18" s="78"/>
      <c r="V18" s="78"/>
      <c r="W18" s="79"/>
    </row>
    <row r="19" spans="1:23" x14ac:dyDescent="0.25">
      <c r="A19" s="77"/>
      <c r="B19" s="78"/>
      <c r="C19" s="78"/>
      <c r="D19" s="78"/>
      <c r="E19" s="78"/>
      <c r="F19" s="78"/>
      <c r="G19" s="79"/>
      <c r="I19" s="50"/>
      <c r="J19" s="51"/>
      <c r="K19" s="51"/>
      <c r="L19" s="51"/>
      <c r="M19" s="51"/>
      <c r="N19" s="51"/>
      <c r="O19" s="52"/>
      <c r="Q19" s="77"/>
      <c r="R19" s="78"/>
      <c r="S19" s="78"/>
      <c r="T19" s="78"/>
      <c r="U19" s="78"/>
      <c r="V19" s="78"/>
      <c r="W19" s="79"/>
    </row>
    <row r="20" spans="1:23" ht="15" customHeight="1" thickBot="1" x14ac:dyDescent="0.3">
      <c r="A20" s="80"/>
      <c r="B20" s="81"/>
      <c r="C20" s="81"/>
      <c r="D20" s="81"/>
      <c r="E20" s="81"/>
      <c r="F20" s="81"/>
      <c r="G20" s="82"/>
      <c r="I20" s="53"/>
      <c r="J20" s="54"/>
      <c r="K20" s="54"/>
      <c r="L20" s="54"/>
      <c r="M20" s="54"/>
      <c r="N20" s="54"/>
      <c r="O20" s="55"/>
      <c r="Q20" s="80"/>
      <c r="R20" s="81"/>
      <c r="S20" s="81"/>
      <c r="T20" s="81"/>
      <c r="U20" s="81"/>
      <c r="V20" s="81"/>
      <c r="W20" s="82"/>
    </row>
  </sheetData>
  <mergeCells count="9">
    <mergeCell ref="I6:O7"/>
    <mergeCell ref="A4:G5"/>
    <mergeCell ref="A1:W3"/>
    <mergeCell ref="I4:O5"/>
    <mergeCell ref="Q4:W5"/>
    <mergeCell ref="A6:G20"/>
    <mergeCell ref="Q6:W20"/>
    <mergeCell ref="I9:O10"/>
    <mergeCell ref="I11:O20"/>
  </mergeCells>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18" sqref="A18:B19"/>
    </sheetView>
  </sheetViews>
  <sheetFormatPr defaultRowHeight="15" x14ac:dyDescent="0.25"/>
  <cols>
    <col min="2" max="2" width="9" customWidth="1"/>
    <col min="6" max="6" width="9" customWidth="1"/>
    <col min="15" max="15" width="10.5703125" bestFit="1" customWidth="1"/>
  </cols>
  <sheetData>
    <row r="1" spans="1:25" ht="18.75" customHeight="1" x14ac:dyDescent="0.25">
      <c r="A1" s="90" t="s">
        <v>308</v>
      </c>
      <c r="B1" s="91"/>
      <c r="C1" s="94"/>
      <c r="D1" s="95"/>
      <c r="E1" s="95"/>
      <c r="F1" s="98" t="s">
        <v>324</v>
      </c>
      <c r="G1" s="99"/>
      <c r="H1" s="99"/>
      <c r="I1" s="99"/>
      <c r="J1" s="99"/>
      <c r="K1" s="99"/>
      <c r="L1" s="99"/>
      <c r="M1" s="99"/>
      <c r="N1" s="99"/>
      <c r="O1" s="100" t="s">
        <v>325</v>
      </c>
      <c r="P1" s="101"/>
      <c r="Q1" s="101"/>
      <c r="R1" s="101"/>
      <c r="S1" s="101"/>
      <c r="T1" s="101"/>
      <c r="U1" s="102"/>
      <c r="V1" s="196" t="s">
        <v>776</v>
      </c>
      <c r="W1" s="197"/>
      <c r="X1" s="197"/>
      <c r="Y1" s="197"/>
    </row>
    <row r="2" spans="1:25" ht="15" customHeight="1" thickBot="1" x14ac:dyDescent="0.3">
      <c r="A2" s="92"/>
      <c r="B2" s="93"/>
      <c r="C2" s="96"/>
      <c r="D2" s="97"/>
      <c r="E2" s="97"/>
      <c r="F2" s="98"/>
      <c r="G2" s="99"/>
      <c r="H2" s="99"/>
      <c r="I2" s="99"/>
      <c r="J2" s="99"/>
      <c r="K2" s="99"/>
      <c r="L2" s="99"/>
      <c r="M2" s="99"/>
      <c r="N2" s="99"/>
      <c r="O2" s="103"/>
      <c r="P2" s="104"/>
      <c r="Q2" s="104"/>
      <c r="R2" s="104"/>
      <c r="S2" s="104"/>
      <c r="T2" s="104"/>
      <c r="U2" s="105"/>
      <c r="V2" s="198"/>
      <c r="W2" s="199"/>
      <c r="X2" s="199"/>
      <c r="Y2" s="199"/>
    </row>
    <row r="3" spans="1:25" ht="18" thickBot="1" x14ac:dyDescent="0.35">
      <c r="A3" s="106" t="s">
        <v>309</v>
      </c>
      <c r="B3" s="107"/>
      <c r="C3" s="108" t="str">
        <f>Output!$L$1&amp;SUBSTITUTE(C1," ","")</f>
        <v>LWD_</v>
      </c>
      <c r="D3" s="109"/>
      <c r="E3" s="109"/>
      <c r="F3" s="110" t="s">
        <v>12</v>
      </c>
      <c r="G3" s="111"/>
      <c r="H3" s="111"/>
      <c r="I3" s="111"/>
      <c r="J3" s="111"/>
      <c r="K3" s="111"/>
      <c r="L3" s="111"/>
      <c r="M3" s="111"/>
      <c r="N3" s="112"/>
      <c r="O3" s="15"/>
      <c r="P3" s="16" t="s">
        <v>79</v>
      </c>
      <c r="Q3" s="17" t="s">
        <v>326</v>
      </c>
      <c r="R3" s="17" t="s">
        <v>328</v>
      </c>
      <c r="S3" s="17" t="s">
        <v>327</v>
      </c>
      <c r="T3" s="17" t="s">
        <v>330</v>
      </c>
      <c r="U3" s="18" t="s">
        <v>329</v>
      </c>
      <c r="V3" s="200" t="s">
        <v>810</v>
      </c>
      <c r="W3" s="201"/>
      <c r="X3" s="200" t="s">
        <v>811</v>
      </c>
      <c r="Y3" s="201"/>
    </row>
    <row r="4" spans="1:25" ht="18" thickTop="1" x14ac:dyDescent="0.3">
      <c r="A4" s="113" t="s">
        <v>310</v>
      </c>
      <c r="B4" s="114"/>
      <c r="C4" s="115" t="s">
        <v>314</v>
      </c>
      <c r="D4" s="116"/>
      <c r="E4" s="116"/>
      <c r="F4" s="119"/>
      <c r="G4" s="120"/>
      <c r="H4" s="4" t="str">
        <f>IFERROR(VLOOKUP(F4,Abilities,4,FALSE),"")</f>
        <v/>
      </c>
      <c r="I4" s="121"/>
      <c r="J4" s="120"/>
      <c r="K4" s="35" t="str">
        <f>IFERROR(VLOOKUP(I4,Abilities,4,FALSE),"")</f>
        <v/>
      </c>
      <c r="L4" s="122"/>
      <c r="M4" s="120"/>
      <c r="N4" s="10" t="str">
        <f>IFERROR(VLOOKUP(L4,Abilities,4,FALSE),"")</f>
        <v/>
      </c>
      <c r="O4" s="19" t="s">
        <v>12</v>
      </c>
      <c r="P4" s="4">
        <v>2</v>
      </c>
      <c r="Q4" s="20">
        <v>0</v>
      </c>
      <c r="R4" s="20"/>
      <c r="S4" s="4">
        <v>0</v>
      </c>
      <c r="T4" s="4">
        <v>1</v>
      </c>
      <c r="U4" s="10"/>
      <c r="V4" s="192" t="s">
        <v>777</v>
      </c>
      <c r="W4" s="193"/>
      <c r="X4" s="192" t="s">
        <v>801</v>
      </c>
      <c r="Y4" s="193"/>
    </row>
    <row r="5" spans="1:25" ht="15" customHeight="1" x14ac:dyDescent="0.25">
      <c r="A5" s="6"/>
      <c r="B5" s="5" t="b">
        <v>0</v>
      </c>
      <c r="C5" s="117"/>
      <c r="D5" s="118"/>
      <c r="E5" s="118"/>
      <c r="F5" s="123" t="str">
        <f>IFERROR(VLOOKUP(F4,Abilities,7,FALSE),"")</f>
        <v/>
      </c>
      <c r="G5" s="124"/>
      <c r="H5" s="125"/>
      <c r="I5" s="129" t="str">
        <f>IFERROR(VLOOKUP(I4,Abilities,7,FALSE),"")</f>
        <v/>
      </c>
      <c r="J5" s="130"/>
      <c r="K5" s="131"/>
      <c r="L5" s="130" t="str">
        <f>IFERROR(VLOOKUP(L4,Abilities,7,FALSE),"")</f>
        <v/>
      </c>
      <c r="M5" s="130"/>
      <c r="N5" s="135"/>
      <c r="O5" s="26" t="s">
        <v>456</v>
      </c>
      <c r="P5" s="27">
        <v>2</v>
      </c>
      <c r="Q5" s="28">
        <v>0</v>
      </c>
      <c r="R5" s="28"/>
      <c r="S5" s="27">
        <v>0</v>
      </c>
      <c r="T5" s="27"/>
      <c r="U5" s="29"/>
      <c r="V5" s="190" t="s">
        <v>821</v>
      </c>
      <c r="W5" s="191"/>
      <c r="X5" s="190" t="s">
        <v>802</v>
      </c>
      <c r="Y5" s="191"/>
    </row>
    <row r="6" spans="1:25" ht="15" customHeight="1" x14ac:dyDescent="0.25">
      <c r="A6" s="6"/>
      <c r="B6" s="5" t="b">
        <v>0</v>
      </c>
      <c r="C6" s="137" t="s">
        <v>315</v>
      </c>
      <c r="D6" s="138"/>
      <c r="E6" s="11">
        <v>0</v>
      </c>
      <c r="F6" s="126"/>
      <c r="G6" s="127"/>
      <c r="H6" s="128"/>
      <c r="I6" s="132"/>
      <c r="J6" s="133"/>
      <c r="K6" s="134"/>
      <c r="L6" s="133"/>
      <c r="M6" s="133"/>
      <c r="N6" s="136"/>
      <c r="O6" s="19" t="s">
        <v>15</v>
      </c>
      <c r="P6" s="4">
        <v>2</v>
      </c>
      <c r="Q6" s="20">
        <v>0</v>
      </c>
      <c r="R6" s="20"/>
      <c r="S6" s="4">
        <v>0</v>
      </c>
      <c r="T6" s="4"/>
      <c r="U6" s="10"/>
      <c r="V6" s="192" t="s">
        <v>778</v>
      </c>
      <c r="W6" s="193"/>
      <c r="X6" s="192" t="s">
        <v>803</v>
      </c>
      <c r="Y6" s="193"/>
    </row>
    <row r="7" spans="1:25" ht="15" customHeight="1" x14ac:dyDescent="0.25">
      <c r="A7" s="6"/>
      <c r="B7" s="5" t="b">
        <v>0</v>
      </c>
      <c r="C7" s="137" t="s">
        <v>316</v>
      </c>
      <c r="D7" s="138"/>
      <c r="E7" s="11">
        <v>4</v>
      </c>
      <c r="F7" s="139"/>
      <c r="G7" s="140"/>
      <c r="H7" s="4" t="str">
        <f>IFERROR(VLOOKUP(F7,Abilities,4,FALSE),"")</f>
        <v/>
      </c>
      <c r="I7" s="141"/>
      <c r="J7" s="140"/>
      <c r="K7" s="4" t="str">
        <f>IFERROR(VLOOKUP(I7,Abilities,4,FALSE),"")</f>
        <v/>
      </c>
      <c r="L7" s="142"/>
      <c r="M7" s="140"/>
      <c r="N7" s="10" t="str">
        <f>IFERROR(VLOOKUP(L7,Abilities,4,FALSE),"")</f>
        <v/>
      </c>
      <c r="O7" s="26" t="s">
        <v>21</v>
      </c>
      <c r="P7" s="27">
        <v>2</v>
      </c>
      <c r="Q7" s="28">
        <v>0</v>
      </c>
      <c r="R7" s="28"/>
      <c r="S7" s="27">
        <v>0</v>
      </c>
      <c r="T7" s="27"/>
      <c r="U7" s="29"/>
      <c r="V7" s="190" t="s">
        <v>779</v>
      </c>
      <c r="W7" s="191"/>
      <c r="X7" s="190" t="s">
        <v>804</v>
      </c>
      <c r="Y7" s="191"/>
    </row>
    <row r="8" spans="1:25" ht="15" customHeight="1" thickBot="1" x14ac:dyDescent="0.3">
      <c r="A8" s="6"/>
      <c r="B8" s="5" t="b">
        <v>0</v>
      </c>
      <c r="C8" s="137" t="s">
        <v>317</v>
      </c>
      <c r="D8" s="143"/>
      <c r="E8" s="12"/>
      <c r="F8" s="144" t="str">
        <f>IFERROR(VLOOKUP(F7,Abilities,7,FALSE),"")</f>
        <v/>
      </c>
      <c r="G8" s="130"/>
      <c r="H8" s="131"/>
      <c r="I8" s="129" t="str">
        <f>IFERROR(VLOOKUP(I7,Abilities,7,FALSE),"")</f>
        <v/>
      </c>
      <c r="J8" s="130"/>
      <c r="K8" s="131"/>
      <c r="L8" s="130" t="str">
        <f>IFERROR(VLOOKUP(L7,Abilities,7,FALSE),"")</f>
        <v/>
      </c>
      <c r="M8" s="130"/>
      <c r="N8" s="135"/>
      <c r="O8" s="21" t="s">
        <v>457</v>
      </c>
      <c r="P8" s="4">
        <v>2</v>
      </c>
      <c r="Q8" s="20">
        <v>0</v>
      </c>
      <c r="R8" s="20"/>
      <c r="S8" s="4">
        <v>0</v>
      </c>
      <c r="T8" s="4"/>
      <c r="U8" s="10"/>
      <c r="V8" s="192" t="s">
        <v>909</v>
      </c>
      <c r="W8" s="193"/>
      <c r="X8" s="192" t="s">
        <v>805</v>
      </c>
      <c r="Y8" s="193"/>
    </row>
    <row r="9" spans="1:25" ht="15.75" thickBot="1" x14ac:dyDescent="0.3">
      <c r="A9" s="6"/>
      <c r="B9" s="5" t="b">
        <v>0</v>
      </c>
      <c r="C9" s="137" t="s">
        <v>319</v>
      </c>
      <c r="D9" s="143"/>
      <c r="E9" s="12">
        <v>1</v>
      </c>
      <c r="F9" s="145"/>
      <c r="G9" s="133"/>
      <c r="H9" s="134"/>
      <c r="I9" s="146"/>
      <c r="J9" s="147"/>
      <c r="K9" s="148"/>
      <c r="L9" s="133"/>
      <c r="M9" s="133"/>
      <c r="N9" s="136"/>
      <c r="O9" s="26" t="s">
        <v>458</v>
      </c>
      <c r="P9" s="27">
        <v>2</v>
      </c>
      <c r="Q9" s="28">
        <v>0</v>
      </c>
      <c r="R9" s="28"/>
      <c r="S9" s="27">
        <v>0</v>
      </c>
      <c r="T9" s="27"/>
      <c r="U9" s="29"/>
      <c r="V9" s="190" t="s">
        <v>781</v>
      </c>
      <c r="W9" s="191"/>
      <c r="X9" s="200" t="s">
        <v>812</v>
      </c>
      <c r="Y9" s="201"/>
    </row>
    <row r="10" spans="1:25" ht="18.75" x14ac:dyDescent="0.3">
      <c r="A10" s="6"/>
      <c r="B10" s="5" t="b">
        <v>0</v>
      </c>
      <c r="C10" s="137" t="s">
        <v>318</v>
      </c>
      <c r="D10" s="143"/>
      <c r="E10" s="12">
        <v>4</v>
      </c>
      <c r="F10" s="157" t="s">
        <v>311</v>
      </c>
      <c r="G10" s="158"/>
      <c r="H10" s="159"/>
      <c r="I10" s="160" t="s">
        <v>349</v>
      </c>
      <c r="J10" s="158"/>
      <c r="K10" s="159"/>
      <c r="L10" s="158" t="s">
        <v>312</v>
      </c>
      <c r="M10" s="158"/>
      <c r="N10" s="161"/>
      <c r="O10" s="36" t="s">
        <v>459</v>
      </c>
      <c r="P10" s="37">
        <v>2</v>
      </c>
      <c r="Q10" s="37">
        <v>0</v>
      </c>
      <c r="R10" s="37"/>
      <c r="S10" s="37">
        <v>0</v>
      </c>
      <c r="T10" s="37"/>
      <c r="U10" s="38"/>
      <c r="V10" s="192" t="s">
        <v>782</v>
      </c>
      <c r="W10" s="193"/>
      <c r="X10" s="192" t="s">
        <v>806</v>
      </c>
      <c r="Y10" s="193"/>
    </row>
    <row r="11" spans="1:25" ht="15.75" customHeight="1" thickBot="1" x14ac:dyDescent="0.3">
      <c r="A11" s="6"/>
      <c r="B11" s="5" t="b">
        <v>0</v>
      </c>
      <c r="C11" s="137" t="s">
        <v>320</v>
      </c>
      <c r="D11" s="143"/>
      <c r="E11" s="12">
        <v>4</v>
      </c>
      <c r="F11" s="162"/>
      <c r="G11" s="163"/>
      <c r="H11" s="164"/>
      <c r="I11" s="165"/>
      <c r="J11" s="163"/>
      <c r="K11" s="164"/>
      <c r="L11" s="163"/>
      <c r="M11" s="163"/>
      <c r="N11" s="166"/>
      <c r="O11" s="39" t="s">
        <v>460</v>
      </c>
      <c r="P11" s="40">
        <v>2</v>
      </c>
      <c r="Q11" s="41">
        <v>0</v>
      </c>
      <c r="R11" s="41"/>
      <c r="S11" s="40">
        <v>0</v>
      </c>
      <c r="T11" s="40"/>
      <c r="U11" s="42"/>
      <c r="V11" s="190" t="s">
        <v>824</v>
      </c>
      <c r="W11" s="191"/>
      <c r="X11" s="190" t="s">
        <v>807</v>
      </c>
      <c r="Y11" s="191"/>
    </row>
    <row r="12" spans="1:25" ht="18" customHeight="1" thickBot="1" x14ac:dyDescent="0.35">
      <c r="A12" s="6"/>
      <c r="B12" s="5" t="b">
        <v>0</v>
      </c>
      <c r="C12" s="137" t="s">
        <v>321</v>
      </c>
      <c r="D12" s="143"/>
      <c r="E12" s="12">
        <v>1</v>
      </c>
      <c r="F12" s="169" t="s">
        <v>443</v>
      </c>
      <c r="G12" s="170"/>
      <c r="H12" s="170"/>
      <c r="I12" s="170"/>
      <c r="J12" s="170"/>
      <c r="K12" s="170"/>
      <c r="L12" s="170"/>
      <c r="M12" s="170"/>
      <c r="N12" s="171"/>
      <c r="O12" s="149" t="s">
        <v>813</v>
      </c>
      <c r="P12" s="150"/>
      <c r="Q12" s="150"/>
      <c r="R12" s="150"/>
      <c r="S12" s="150"/>
      <c r="T12" s="150"/>
      <c r="U12" s="151"/>
      <c r="V12" s="192" t="s">
        <v>783</v>
      </c>
      <c r="W12" s="193"/>
      <c r="X12" s="192" t="s">
        <v>808</v>
      </c>
      <c r="Y12" s="193"/>
    </row>
    <row r="13" spans="1:25" ht="16.5" thickTop="1" thickBot="1" x14ac:dyDescent="0.3">
      <c r="A13" s="6"/>
      <c r="B13" s="5" t="b">
        <v>0</v>
      </c>
      <c r="C13" s="155" t="s">
        <v>322</v>
      </c>
      <c r="D13" s="156"/>
      <c r="E13" s="13" t="s">
        <v>323</v>
      </c>
      <c r="F13" s="119"/>
      <c r="G13" s="120"/>
      <c r="H13" s="4" t="str">
        <f>IFERROR(VLOOKUP(F13,Abilities,4,FALSE),"")</f>
        <v/>
      </c>
      <c r="I13" s="121" t="s">
        <v>340</v>
      </c>
      <c r="J13" s="120"/>
      <c r="K13" s="35" t="str">
        <f>IFERROR(VLOOKUP(I13,Abilities,4,FALSE),"")</f>
        <v/>
      </c>
      <c r="L13" s="122"/>
      <c r="M13" s="120"/>
      <c r="N13" s="10" t="str">
        <f>IFERROR(VLOOKUP(L13,Abilities,4,FALSE),"")</f>
        <v/>
      </c>
      <c r="O13" s="152"/>
      <c r="P13" s="153"/>
      <c r="Q13" s="153"/>
      <c r="R13" s="153"/>
      <c r="S13" s="153"/>
      <c r="T13" s="153"/>
      <c r="U13" s="154"/>
      <c r="V13" s="190" t="s">
        <v>818</v>
      </c>
      <c r="W13" s="191"/>
      <c r="X13" s="190" t="s">
        <v>809</v>
      </c>
      <c r="Y13" s="191"/>
    </row>
    <row r="14" spans="1:25" ht="15.75" thickBot="1" x14ac:dyDescent="0.3">
      <c r="A14" s="6"/>
      <c r="B14" s="7" t="b">
        <v>0</v>
      </c>
      <c r="F14" s="144" t="str">
        <f>IFERROR(VLOOKUP(F13,Abilities,7,FALSE),"")</f>
        <v/>
      </c>
      <c r="G14" s="130"/>
      <c r="H14" s="131"/>
      <c r="I14" s="129" t="str">
        <f>IFERROR(VLOOKUP(I13,Abilities,7,FALSE),"")</f>
        <v/>
      </c>
      <c r="J14" s="130"/>
      <c r="K14" s="131"/>
      <c r="L14" s="130" t="str">
        <f>IFERROR(VLOOKUP(L13,Abilities,7,FALSE),"")</f>
        <v/>
      </c>
      <c r="M14" s="130"/>
      <c r="N14" s="135"/>
      <c r="O14" s="22"/>
      <c r="P14" s="23" t="s">
        <v>331</v>
      </c>
      <c r="Q14" s="24" t="s">
        <v>332</v>
      </c>
      <c r="R14" s="24" t="s">
        <v>333</v>
      </c>
      <c r="S14" s="24" t="s">
        <v>334</v>
      </c>
      <c r="T14" s="24" t="s">
        <v>336</v>
      </c>
      <c r="U14" s="25" t="s">
        <v>335</v>
      </c>
      <c r="V14" s="192" t="s">
        <v>784</v>
      </c>
      <c r="W14" s="193"/>
      <c r="X14" s="194" t="s">
        <v>814</v>
      </c>
      <c r="Y14" s="195"/>
    </row>
    <row r="15" spans="1:25" ht="15.75" thickBot="1" x14ac:dyDescent="0.3">
      <c r="A15" s="6"/>
      <c r="B15" s="7" t="b">
        <v>0</v>
      </c>
      <c r="F15" s="167"/>
      <c r="G15" s="147"/>
      <c r="H15" s="148"/>
      <c r="I15" s="146"/>
      <c r="J15" s="147"/>
      <c r="K15" s="148"/>
      <c r="L15" s="147"/>
      <c r="M15" s="147"/>
      <c r="N15" s="168"/>
      <c r="O15" s="19" t="s">
        <v>12</v>
      </c>
      <c r="P15" s="4"/>
      <c r="Q15" s="20">
        <v>3</v>
      </c>
      <c r="R15" s="20"/>
      <c r="S15" s="4"/>
      <c r="T15" s="4"/>
      <c r="U15" s="10"/>
      <c r="V15" s="190" t="s">
        <v>823</v>
      </c>
      <c r="W15" s="191"/>
    </row>
    <row r="16" spans="1:25" ht="18" thickBot="1" x14ac:dyDescent="0.35">
      <c r="A16" s="6"/>
      <c r="B16" s="7" t="b">
        <v>0</v>
      </c>
      <c r="F16" s="169" t="s">
        <v>15</v>
      </c>
      <c r="G16" s="170"/>
      <c r="H16" s="170"/>
      <c r="I16" s="170"/>
      <c r="J16" s="170"/>
      <c r="K16" s="170"/>
      <c r="L16" s="170"/>
      <c r="M16" s="170"/>
      <c r="N16" s="171"/>
      <c r="O16" s="26" t="s">
        <v>456</v>
      </c>
      <c r="P16" s="27"/>
      <c r="Q16" s="28">
        <v>3</v>
      </c>
      <c r="R16" s="28"/>
      <c r="S16" s="27"/>
      <c r="T16" s="27"/>
      <c r="U16" s="29"/>
      <c r="V16" s="192" t="s">
        <v>786</v>
      </c>
      <c r="W16" s="193"/>
    </row>
    <row r="17" spans="1:23" ht="16.5" thickTop="1" thickBot="1" x14ac:dyDescent="0.3">
      <c r="A17" s="8"/>
      <c r="B17" s="9" t="b">
        <v>0</v>
      </c>
      <c r="F17" s="119" t="s">
        <v>340</v>
      </c>
      <c r="G17" s="120"/>
      <c r="H17" s="4" t="str">
        <f>IFERROR(VLOOKUP(F17,Abilities,4,FALSE),"")</f>
        <v/>
      </c>
      <c r="I17" s="121"/>
      <c r="J17" s="120"/>
      <c r="K17" s="35" t="str">
        <f>IFERROR(VLOOKUP(I17,Abilities,4,FALSE),"")</f>
        <v/>
      </c>
      <c r="L17" s="122" t="s">
        <v>340</v>
      </c>
      <c r="M17" s="120"/>
      <c r="N17" s="10" t="str">
        <f>IFERROR(VLOOKUP(L17,Abilities,4,FALSE),"")</f>
        <v/>
      </c>
      <c r="O17" s="19" t="s">
        <v>15</v>
      </c>
      <c r="P17" s="4"/>
      <c r="Q17" s="20"/>
      <c r="R17" s="20"/>
      <c r="S17" s="4"/>
      <c r="T17" s="4"/>
      <c r="U17" s="10"/>
      <c r="V17" s="190" t="s">
        <v>910</v>
      </c>
      <c r="W17" s="191"/>
    </row>
    <row r="18" spans="1:23" x14ac:dyDescent="0.25">
      <c r="A18" s="267" t="s">
        <v>344</v>
      </c>
      <c r="B18" s="268"/>
      <c r="F18" s="144" t="str">
        <f>IFERROR(VLOOKUP(F17,Abilities,7,FALSE),"")</f>
        <v/>
      </c>
      <c r="G18" s="130"/>
      <c r="H18" s="131"/>
      <c r="I18" s="129" t="str">
        <f>IFERROR(VLOOKUP(I17,Abilities,7,FALSE),"")</f>
        <v/>
      </c>
      <c r="J18" s="130"/>
      <c r="K18" s="131"/>
      <c r="L18" s="130" t="str">
        <f>IFERROR(VLOOKUP(L17,Abilities,7,FALSE),"")</f>
        <v/>
      </c>
      <c r="M18" s="130"/>
      <c r="N18" s="135"/>
      <c r="O18" s="26" t="s">
        <v>21</v>
      </c>
      <c r="P18" s="27"/>
      <c r="Q18" s="28"/>
      <c r="R18" s="28"/>
      <c r="S18" s="27"/>
      <c r="T18" s="27"/>
      <c r="U18" s="29"/>
      <c r="V18" s="192" t="s">
        <v>788</v>
      </c>
      <c r="W18" s="193"/>
    </row>
    <row r="19" spans="1:23" ht="15.75" thickBot="1" x14ac:dyDescent="0.3">
      <c r="A19" s="269"/>
      <c r="B19" s="270"/>
      <c r="D19" s="3"/>
      <c r="F19" s="167"/>
      <c r="G19" s="147"/>
      <c r="H19" s="148"/>
      <c r="I19" s="146"/>
      <c r="J19" s="147"/>
      <c r="K19" s="148"/>
      <c r="L19" s="147"/>
      <c r="M19" s="147"/>
      <c r="N19" s="168"/>
      <c r="O19" s="21" t="s">
        <v>457</v>
      </c>
      <c r="P19" s="4"/>
      <c r="Q19" s="20"/>
      <c r="R19" s="20"/>
      <c r="S19" s="4"/>
      <c r="T19" s="4"/>
      <c r="U19" s="10"/>
      <c r="V19" s="190" t="s">
        <v>789</v>
      </c>
      <c r="W19" s="191"/>
    </row>
    <row r="20" spans="1:23" ht="18" thickBot="1" x14ac:dyDescent="0.35">
      <c r="A20" s="176"/>
      <c r="B20" s="177"/>
      <c r="C20" s="178"/>
      <c r="D20" s="178"/>
      <c r="E20" s="179"/>
      <c r="F20" s="169" t="s">
        <v>21</v>
      </c>
      <c r="G20" s="170"/>
      <c r="H20" s="170"/>
      <c r="I20" s="170"/>
      <c r="J20" s="170"/>
      <c r="K20" s="170"/>
      <c r="L20" s="170"/>
      <c r="M20" s="170"/>
      <c r="N20" s="171"/>
      <c r="O20" s="26" t="s">
        <v>458</v>
      </c>
      <c r="P20" s="27"/>
      <c r="Q20" s="28"/>
      <c r="R20" s="28"/>
      <c r="S20" s="27"/>
      <c r="T20" s="27"/>
      <c r="U20" s="29"/>
      <c r="V20" s="192" t="s">
        <v>790</v>
      </c>
      <c r="W20" s="193"/>
    </row>
    <row r="21" spans="1:23" ht="15.75" thickTop="1" x14ac:dyDescent="0.25">
      <c r="A21" s="176"/>
      <c r="B21" s="177"/>
      <c r="C21" s="177"/>
      <c r="D21" s="177"/>
      <c r="E21" s="180"/>
      <c r="F21" s="119"/>
      <c r="G21" s="120"/>
      <c r="H21" s="4" t="str">
        <f>IFERROR(VLOOKUP(F21,Abilities,4,FALSE),"")</f>
        <v/>
      </c>
      <c r="I21" s="121" t="s">
        <v>340</v>
      </c>
      <c r="J21" s="120"/>
      <c r="K21" s="35" t="str">
        <f>IFERROR(VLOOKUP(I21,Abilities,4,FALSE),"")</f>
        <v/>
      </c>
      <c r="L21" s="122"/>
      <c r="M21" s="120"/>
      <c r="N21" s="10" t="str">
        <f>IFERROR(VLOOKUP(L21,Abilities,4,FALSE),"")</f>
        <v/>
      </c>
      <c r="O21" s="36" t="s">
        <v>459</v>
      </c>
      <c r="P21" s="37"/>
      <c r="Q21" s="37"/>
      <c r="R21" s="37"/>
      <c r="S21" s="37"/>
      <c r="T21" s="37"/>
      <c r="U21" s="38"/>
      <c r="V21" s="190" t="s">
        <v>791</v>
      </c>
      <c r="W21" s="191"/>
    </row>
    <row r="22" spans="1:23" ht="15.75" thickBot="1" x14ac:dyDescent="0.3">
      <c r="A22" s="181"/>
      <c r="B22" s="182"/>
      <c r="C22" s="182"/>
      <c r="D22" s="182"/>
      <c r="E22" s="183"/>
      <c r="F22" s="144" t="str">
        <f>IFERROR(VLOOKUP(F21,Abilities,7,FALSE),"")</f>
        <v/>
      </c>
      <c r="G22" s="130"/>
      <c r="H22" s="131"/>
      <c r="I22" s="129" t="str">
        <f>IFERROR(VLOOKUP(I21,Abilities,7,FALSE),"")</f>
        <v/>
      </c>
      <c r="J22" s="130"/>
      <c r="K22" s="131"/>
      <c r="L22" s="130" t="str">
        <f>IFERROR(VLOOKUP(L21,Abilities,7,FALSE),"")</f>
        <v/>
      </c>
      <c r="M22" s="130"/>
      <c r="N22" s="135"/>
      <c r="O22" s="39" t="s">
        <v>460</v>
      </c>
      <c r="P22" s="40"/>
      <c r="Q22" s="41"/>
      <c r="R22" s="41"/>
      <c r="S22" s="40"/>
      <c r="T22" s="40"/>
      <c r="U22" s="42"/>
      <c r="V22" s="192" t="s">
        <v>792</v>
      </c>
      <c r="W22" s="193"/>
    </row>
    <row r="23" spans="1:23" ht="15.75" thickBot="1" x14ac:dyDescent="0.3">
      <c r="A23" s="184" t="s">
        <v>352</v>
      </c>
      <c r="B23" s="185"/>
      <c r="C23" s="185"/>
      <c r="D23" s="185"/>
      <c r="E23" s="186"/>
      <c r="F23" s="167"/>
      <c r="G23" s="147"/>
      <c r="H23" s="148"/>
      <c r="I23" s="146"/>
      <c r="J23" s="147"/>
      <c r="K23" s="148"/>
      <c r="L23" s="147"/>
      <c r="M23" s="147"/>
      <c r="N23" s="168"/>
      <c r="O23" s="14"/>
      <c r="P23" s="14"/>
      <c r="Q23" s="3"/>
      <c r="V23" s="190" t="s">
        <v>793</v>
      </c>
      <c r="W23" s="191"/>
    </row>
    <row r="24" spans="1:23" ht="18" thickBot="1" x14ac:dyDescent="0.35">
      <c r="A24" s="187"/>
      <c r="B24" s="188"/>
      <c r="C24" s="188"/>
      <c r="D24" s="188"/>
      <c r="E24" s="189"/>
      <c r="F24" s="169" t="s">
        <v>444</v>
      </c>
      <c r="G24" s="170"/>
      <c r="H24" s="170"/>
      <c r="I24" s="170"/>
      <c r="J24" s="170"/>
      <c r="K24" s="170"/>
      <c r="L24" s="170"/>
      <c r="M24" s="170"/>
      <c r="N24" s="171"/>
      <c r="O24" s="14"/>
      <c r="P24" s="14"/>
      <c r="Q24" s="3"/>
      <c r="V24" s="192" t="s">
        <v>794</v>
      </c>
      <c r="W24" s="193"/>
    </row>
    <row r="25" spans="1:23" ht="15.75" thickTop="1" x14ac:dyDescent="0.25">
      <c r="A25" s="50" t="s">
        <v>975</v>
      </c>
      <c r="B25" s="51"/>
      <c r="C25" s="51"/>
      <c r="D25" s="51"/>
      <c r="E25" s="52"/>
      <c r="F25" s="119"/>
      <c r="G25" s="120"/>
      <c r="H25" s="4" t="str">
        <f>IFERROR(VLOOKUP(F25,Abilities,4,FALSE),"")</f>
        <v/>
      </c>
      <c r="I25" s="121" t="s">
        <v>340</v>
      </c>
      <c r="J25" s="120"/>
      <c r="K25" s="35" t="str">
        <f>IFERROR(VLOOKUP(I25,Abilities,4,FALSE),"")</f>
        <v/>
      </c>
      <c r="L25" s="122"/>
      <c r="M25" s="120"/>
      <c r="N25" s="10" t="str">
        <f>IFERROR(VLOOKUP(L25,Abilities,4,FALSE),"")</f>
        <v/>
      </c>
      <c r="O25" s="14"/>
      <c r="P25" s="14"/>
      <c r="Q25" s="3"/>
      <c r="V25" s="190" t="s">
        <v>795</v>
      </c>
      <c r="W25" s="191"/>
    </row>
    <row r="26" spans="1:23" x14ac:dyDescent="0.25">
      <c r="A26" s="50"/>
      <c r="B26" s="51"/>
      <c r="C26" s="51"/>
      <c r="D26" s="51"/>
      <c r="E26" s="52"/>
      <c r="F26" s="144" t="str">
        <f>IFERROR(VLOOKUP(F25,Abilities,7,FALSE),"")</f>
        <v/>
      </c>
      <c r="G26" s="130"/>
      <c r="H26" s="131"/>
      <c r="I26" s="129" t="str">
        <f>IFERROR(VLOOKUP(I25,Abilities,7,FALSE),"")</f>
        <v/>
      </c>
      <c r="J26" s="130"/>
      <c r="K26" s="131"/>
      <c r="L26" s="130" t="str">
        <f>IFERROR(VLOOKUP(L25,Abilities,7,FALSE),"")</f>
        <v/>
      </c>
      <c r="M26" s="130"/>
      <c r="N26" s="135"/>
      <c r="O26" s="14"/>
      <c r="P26" s="14"/>
      <c r="Q26" s="3"/>
      <c r="V26" s="192" t="s">
        <v>797</v>
      </c>
      <c r="W26" s="193"/>
    </row>
    <row r="27" spans="1:23" ht="15.75" thickBot="1" x14ac:dyDescent="0.3">
      <c r="A27" s="50"/>
      <c r="B27" s="51"/>
      <c r="C27" s="51"/>
      <c r="D27" s="51"/>
      <c r="E27" s="52"/>
      <c r="F27" s="167"/>
      <c r="G27" s="147"/>
      <c r="H27" s="148"/>
      <c r="I27" s="146"/>
      <c r="J27" s="147"/>
      <c r="K27" s="148"/>
      <c r="L27" s="147"/>
      <c r="M27" s="147"/>
      <c r="N27" s="168"/>
      <c r="O27" s="14"/>
      <c r="P27" s="14"/>
      <c r="Q27" s="3"/>
      <c r="V27" s="190" t="s">
        <v>798</v>
      </c>
      <c r="W27" s="191"/>
    </row>
    <row r="28" spans="1:23" ht="18" thickBot="1" x14ac:dyDescent="0.35">
      <c r="A28" s="50"/>
      <c r="B28" s="51"/>
      <c r="C28" s="51"/>
      <c r="D28" s="51"/>
      <c r="E28" s="52"/>
      <c r="F28" s="169" t="s">
        <v>445</v>
      </c>
      <c r="G28" s="170"/>
      <c r="H28" s="170"/>
      <c r="I28" s="170"/>
      <c r="J28" s="170"/>
      <c r="K28" s="170"/>
      <c r="L28" s="170"/>
      <c r="M28" s="170"/>
      <c r="N28" s="171"/>
      <c r="O28" s="14"/>
      <c r="P28" s="14"/>
      <c r="Q28" s="3"/>
      <c r="V28" s="192" t="s">
        <v>799</v>
      </c>
      <c r="W28" s="193"/>
    </row>
    <row r="29" spans="1:23" ht="15.75" thickTop="1" x14ac:dyDescent="0.25">
      <c r="A29" s="50"/>
      <c r="B29" s="51"/>
      <c r="C29" s="51"/>
      <c r="D29" s="51"/>
      <c r="E29" s="52"/>
      <c r="F29" s="119"/>
      <c r="G29" s="120"/>
      <c r="H29" s="4" t="str">
        <f>IFERROR(VLOOKUP(F29,Abilities,4,FALSE),"")</f>
        <v/>
      </c>
      <c r="I29" s="121" t="s">
        <v>340</v>
      </c>
      <c r="J29" s="120"/>
      <c r="K29" s="35" t="str">
        <f>IFERROR(VLOOKUP(I29,Abilities,4,FALSE),"")</f>
        <v/>
      </c>
      <c r="L29" s="122"/>
      <c r="M29" s="120"/>
      <c r="N29" s="10" t="str">
        <f>IFERROR(VLOOKUP(L29,Abilities,4,FALSE),"")</f>
        <v/>
      </c>
      <c r="O29" s="14"/>
      <c r="P29" s="14"/>
      <c r="Q29" s="3"/>
      <c r="V29" s="190" t="s">
        <v>825</v>
      </c>
      <c r="W29" s="191"/>
    </row>
    <row r="30" spans="1:23" x14ac:dyDescent="0.25">
      <c r="A30" s="50"/>
      <c r="B30" s="51"/>
      <c r="C30" s="51"/>
      <c r="D30" s="51"/>
      <c r="E30" s="52"/>
      <c r="F30" s="144" t="str">
        <f>IFERROR(VLOOKUP(F29,Abilities,7,FALSE),"")</f>
        <v/>
      </c>
      <c r="G30" s="130"/>
      <c r="H30" s="131"/>
      <c r="I30" s="129" t="str">
        <f>IFERROR(VLOOKUP(I29,Abilities,7,FALSE),"")</f>
        <v/>
      </c>
      <c r="J30" s="130"/>
      <c r="K30" s="131"/>
      <c r="L30" s="130" t="str">
        <f>IFERROR(VLOOKUP(L29,Abilities,7,FALSE),"")</f>
        <v/>
      </c>
      <c r="M30" s="130"/>
      <c r="N30" s="135"/>
      <c r="O30" s="14"/>
      <c r="P30" s="14"/>
      <c r="Q30" s="3"/>
      <c r="V30" s="192" t="s">
        <v>819</v>
      </c>
      <c r="W30" s="193"/>
    </row>
    <row r="31" spans="1:23" ht="15.75" thickBot="1" x14ac:dyDescent="0.3">
      <c r="A31" s="50"/>
      <c r="B31" s="51"/>
      <c r="C31" s="51"/>
      <c r="D31" s="51"/>
      <c r="E31" s="52"/>
      <c r="F31" s="167"/>
      <c r="G31" s="147"/>
      <c r="H31" s="148"/>
      <c r="I31" s="146"/>
      <c r="J31" s="147"/>
      <c r="K31" s="148"/>
      <c r="L31" s="147"/>
      <c r="M31" s="147"/>
      <c r="N31" s="168"/>
      <c r="O31" s="14"/>
      <c r="P31" s="14"/>
      <c r="Q31" s="3"/>
      <c r="V31" s="190" t="s">
        <v>820</v>
      </c>
      <c r="W31" s="191"/>
    </row>
    <row r="32" spans="1:23" ht="18" thickBot="1" x14ac:dyDescent="0.35">
      <c r="A32" s="50"/>
      <c r="B32" s="51"/>
      <c r="C32" s="51"/>
      <c r="D32" s="51"/>
      <c r="E32" s="52"/>
      <c r="F32" s="169" t="s">
        <v>446</v>
      </c>
      <c r="G32" s="170"/>
      <c r="H32" s="170"/>
      <c r="I32" s="170"/>
      <c r="J32" s="170"/>
      <c r="K32" s="170"/>
      <c r="L32" s="170"/>
      <c r="M32" s="170"/>
      <c r="N32" s="171"/>
      <c r="O32" s="14"/>
      <c r="P32" s="14"/>
      <c r="Q32" s="3"/>
      <c r="V32" s="192" t="s">
        <v>815</v>
      </c>
      <c r="W32" s="193"/>
    </row>
    <row r="33" spans="1:23" ht="15.75" thickTop="1" x14ac:dyDescent="0.25">
      <c r="A33" s="50"/>
      <c r="B33" s="51"/>
      <c r="C33" s="51"/>
      <c r="D33" s="51"/>
      <c r="E33" s="52"/>
      <c r="F33" s="119" t="s">
        <v>340</v>
      </c>
      <c r="G33" s="120"/>
      <c r="H33" s="4" t="str">
        <f>IFERROR(VLOOKUP(F33,Abilities,4,FALSE),"")</f>
        <v/>
      </c>
      <c r="I33" s="121"/>
      <c r="J33" s="120"/>
      <c r="K33" s="35" t="str">
        <f>IFERROR(VLOOKUP(I33,Abilities,4,FALSE),"")</f>
        <v/>
      </c>
      <c r="L33" s="122" t="s">
        <v>340</v>
      </c>
      <c r="M33" s="120"/>
      <c r="N33" s="10" t="str">
        <f>IFERROR(VLOOKUP(L33,Abilities,4,FALSE),"")</f>
        <v/>
      </c>
      <c r="O33" s="14"/>
      <c r="P33" s="14"/>
      <c r="Q33" s="3"/>
      <c r="V33" s="190" t="s">
        <v>822</v>
      </c>
      <c r="W33" s="191"/>
    </row>
    <row r="34" spans="1:23" x14ac:dyDescent="0.25">
      <c r="A34" s="50"/>
      <c r="B34" s="51"/>
      <c r="C34" s="51"/>
      <c r="D34" s="51"/>
      <c r="E34" s="52"/>
      <c r="F34" s="144" t="str">
        <f>IFERROR(VLOOKUP(F33,Abilities,7,FALSE),"")</f>
        <v/>
      </c>
      <c r="G34" s="130"/>
      <c r="H34" s="131"/>
      <c r="I34" s="129" t="str">
        <f>IFERROR(VLOOKUP(I33,Abilities,7,FALSE),"")</f>
        <v/>
      </c>
      <c r="J34" s="130"/>
      <c r="K34" s="131"/>
      <c r="L34" s="130" t="str">
        <f>IFERROR(VLOOKUP(L33,Abilities,7,FALSE),"")</f>
        <v/>
      </c>
      <c r="M34" s="130"/>
      <c r="N34" s="135"/>
      <c r="O34" s="14"/>
      <c r="P34" s="14"/>
      <c r="Q34" s="3"/>
      <c r="V34" s="192" t="s">
        <v>816</v>
      </c>
      <c r="W34" s="193"/>
    </row>
    <row r="35" spans="1:23" ht="15.75" thickBot="1" x14ac:dyDescent="0.3">
      <c r="A35" s="50"/>
      <c r="B35" s="51"/>
      <c r="C35" s="51"/>
      <c r="D35" s="51"/>
      <c r="E35" s="52"/>
      <c r="F35" s="167"/>
      <c r="G35" s="147"/>
      <c r="H35" s="148"/>
      <c r="I35" s="146"/>
      <c r="J35" s="147"/>
      <c r="K35" s="148"/>
      <c r="L35" s="147"/>
      <c r="M35" s="147"/>
      <c r="N35" s="168"/>
      <c r="O35" s="14"/>
      <c r="P35" s="14"/>
      <c r="Q35" s="3"/>
      <c r="V35" s="190" t="s">
        <v>800</v>
      </c>
      <c r="W35" s="191"/>
    </row>
    <row r="36" spans="1:23" ht="18" thickBot="1" x14ac:dyDescent="0.35">
      <c r="A36" s="50"/>
      <c r="B36" s="51"/>
      <c r="C36" s="51"/>
      <c r="D36" s="51"/>
      <c r="E36" s="52"/>
      <c r="F36" s="169" t="s">
        <v>447</v>
      </c>
      <c r="G36" s="170"/>
      <c r="H36" s="170"/>
      <c r="I36" s="170"/>
      <c r="J36" s="170"/>
      <c r="K36" s="170"/>
      <c r="L36" s="170"/>
      <c r="M36" s="170"/>
      <c r="N36" s="171"/>
    </row>
    <row r="37" spans="1:23" ht="15.75" thickTop="1" x14ac:dyDescent="0.25">
      <c r="A37" s="50"/>
      <c r="B37" s="51"/>
      <c r="C37" s="51"/>
      <c r="D37" s="51"/>
      <c r="E37" s="52"/>
      <c r="F37" s="119"/>
      <c r="G37" s="120"/>
      <c r="H37" s="4" t="str">
        <f>IFERROR(VLOOKUP(F37,Abilities,4,FALSE),"")</f>
        <v/>
      </c>
      <c r="I37" s="121" t="s">
        <v>340</v>
      </c>
      <c r="J37" s="120"/>
      <c r="K37" s="35" t="str">
        <f>IFERROR(VLOOKUP(I37,Abilities,4,FALSE),"")</f>
        <v/>
      </c>
      <c r="L37" s="122"/>
      <c r="M37" s="120"/>
      <c r="N37" s="10" t="str">
        <f>IFERROR(VLOOKUP(L37,Abilities,4,FALSE),"")</f>
        <v/>
      </c>
    </row>
    <row r="38" spans="1:23" x14ac:dyDescent="0.25">
      <c r="A38" s="50"/>
      <c r="B38" s="51"/>
      <c r="C38" s="51"/>
      <c r="D38" s="51"/>
      <c r="E38" s="52"/>
      <c r="F38" s="144" t="str">
        <f>IFERROR(VLOOKUP(F37,Abilities,7,FALSE),"")</f>
        <v/>
      </c>
      <c r="G38" s="130"/>
      <c r="H38" s="131"/>
      <c r="I38" s="129" t="str">
        <f>IFERROR(VLOOKUP(I37,Abilities,7,FALSE),"")</f>
        <v/>
      </c>
      <c r="J38" s="130"/>
      <c r="K38" s="131"/>
      <c r="L38" s="130" t="str">
        <f>IFERROR(VLOOKUP(L37,Abilities,7,FALSE),"")</f>
        <v/>
      </c>
      <c r="M38" s="130"/>
      <c r="N38" s="135"/>
    </row>
    <row r="39" spans="1:23" ht="15.75" thickBot="1" x14ac:dyDescent="0.3">
      <c r="A39" s="53"/>
      <c r="B39" s="54"/>
      <c r="C39" s="54"/>
      <c r="D39" s="54"/>
      <c r="E39" s="55"/>
      <c r="F39" s="167"/>
      <c r="G39" s="147"/>
      <c r="H39" s="148"/>
      <c r="I39" s="146"/>
      <c r="J39" s="147"/>
      <c r="K39" s="148"/>
      <c r="L39" s="147"/>
      <c r="M39" s="147"/>
      <c r="N39" s="168"/>
    </row>
    <row r="40" spans="1:23" ht="15" customHeight="1" x14ac:dyDescent="0.25">
      <c r="A40" s="86" t="s">
        <v>1200</v>
      </c>
      <c r="B40" s="86"/>
      <c r="C40" s="88" t="str">
        <f>SUBSTITUTE(C1," ","")</f>
        <v/>
      </c>
      <c r="D40" s="88"/>
      <c r="E40" s="88"/>
      <c r="F40" s="238"/>
      <c r="G40" s="238"/>
      <c r="H40" s="237"/>
      <c r="I40" s="237"/>
      <c r="J40" s="237"/>
    </row>
    <row r="41" spans="1:23" ht="15" customHeight="1" thickBot="1" x14ac:dyDescent="0.3">
      <c r="A41" s="87"/>
      <c r="B41" s="87"/>
      <c r="C41" s="89"/>
      <c r="D41" s="89"/>
      <c r="E41" s="89"/>
      <c r="F41" s="239"/>
      <c r="G41" s="239"/>
      <c r="H41" s="237"/>
      <c r="I41" s="237"/>
      <c r="J41" s="237"/>
    </row>
    <row r="42" spans="1:23" ht="16.5" thickBot="1" x14ac:dyDescent="0.3">
      <c r="A42" s="242" t="s">
        <v>339</v>
      </c>
      <c r="B42" s="244"/>
      <c r="C42" s="253" t="s">
        <v>342</v>
      </c>
      <c r="D42" s="247"/>
      <c r="E42" s="251" t="s">
        <v>343</v>
      </c>
      <c r="F42" s="250"/>
      <c r="G42" s="234"/>
      <c r="H42" s="235"/>
      <c r="I42" s="235"/>
      <c r="J42" s="235"/>
    </row>
    <row r="43" spans="1:23" x14ac:dyDescent="0.25">
      <c r="A43" s="243" t="str">
        <f ca="1">"; "&amp;INDIRECT("C1")&amp;" class data"</f>
        <v>;  class data</v>
      </c>
      <c r="B43" s="234" t="s">
        <v>340</v>
      </c>
      <c r="C43" s="254" t="str">
        <f ca="1">"; "&amp;INDIRECT("C1")&amp;" class loadout"</f>
        <v>;  class loadout</v>
      </c>
      <c r="D43" s="234" t="s">
        <v>340</v>
      </c>
      <c r="E43" s="252" t="str">
        <f ca="1">"["&amp;INDIRECT("C3")&amp;" X2SoldierClassTemplate]"</f>
        <v>[LWD_ X2SoldierClassTemplate]</v>
      </c>
      <c r="F43" s="234" t="s">
        <v>340</v>
      </c>
      <c r="G43" s="234"/>
      <c r="H43" s="235"/>
      <c r="I43" s="235"/>
      <c r="J43" s="235"/>
    </row>
    <row r="44" spans="1:23" x14ac:dyDescent="0.25">
      <c r="A44" s="240"/>
      <c r="B44" s="234"/>
      <c r="C44" s="245"/>
      <c r="D44" s="234" t="s">
        <v>340</v>
      </c>
      <c r="E44" s="248" t="str">
        <f ca="1">"+DisplayName="""&amp;INDIRECT("C1")&amp;""""</f>
        <v>+DisplayName=""</v>
      </c>
      <c r="F44" s="234" t="s">
        <v>340</v>
      </c>
      <c r="G44" s="234"/>
      <c r="H44" s="235"/>
      <c r="I44" s="235"/>
      <c r="J44" s="235"/>
    </row>
    <row r="45" spans="1:23" x14ac:dyDescent="0.25">
      <c r="A45" s="240" t="str">
        <f>"[XComGame.X2SoldierClass_DefaultClasses]"</f>
        <v>[XComGame.X2SoldierClass_DefaultClasses]</v>
      </c>
      <c r="B45" s="234" t="s">
        <v>340</v>
      </c>
      <c r="C45" s="245" t="s">
        <v>341</v>
      </c>
      <c r="D45" s="234" t="s">
        <v>340</v>
      </c>
      <c r="E45" s="248" t="str">
        <f ca="1">"+ClassSummary="""&amp;INDIRECT("A20")&amp;""""</f>
        <v>+ClassSummary=""</v>
      </c>
      <c r="F45" s="234" t="s">
        <v>340</v>
      </c>
      <c r="G45" s="234"/>
      <c r="H45" s="235"/>
      <c r="I45" s="235"/>
      <c r="J45" s="235"/>
    </row>
    <row r="46" spans="1:23" x14ac:dyDescent="0.25">
      <c r="A46" s="240" t="str">
        <f ca="1">"+SoldierClasses="&amp;INDIRECT("C3")</f>
        <v>+SoldierClasses=LWD_</v>
      </c>
      <c r="B46" s="234" t="s">
        <v>340</v>
      </c>
      <c r="C46" s="245"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 Items[0]=(Item="ERROR: NO PRIMARY WEAPON SET"), Items[1]=(Item="ERROR: NO SECONDARY WEAPON SET"))</v>
      </c>
      <c r="D46" s="234" t="s">
        <v>340</v>
      </c>
      <c r="E46" s="248" t="str">
        <f ca="1">"+LeftAbilityTreeTitle="""&amp;INDIRECT("F11")&amp;""""</f>
        <v>+LeftAbilityTreeTitle=""</v>
      </c>
      <c r="F46" s="234" t="s">
        <v>340</v>
      </c>
      <c r="G46" s="234"/>
      <c r="H46" s="235"/>
      <c r="I46" s="234"/>
      <c r="J46" s="234"/>
    </row>
    <row r="47" spans="1:23" x14ac:dyDescent="0.25">
      <c r="A47" s="240"/>
      <c r="B47" s="234" t="s">
        <v>340</v>
      </c>
      <c r="C47" s="245"/>
      <c r="D47" s="234" t="s">
        <v>340</v>
      </c>
      <c r="E47" s="248" t="str">
        <f ca="1">"+RightAbilityTreeTitle="""&amp;INDIRECT("L11")&amp;""""</f>
        <v>+RightAbilityTreeTitle=""</v>
      </c>
      <c r="F47" s="234" t="s">
        <v>340</v>
      </c>
      <c r="G47" s="234"/>
      <c r="H47" s="235"/>
      <c r="I47" s="234"/>
      <c r="J47" s="234"/>
    </row>
    <row r="48" spans="1:23" x14ac:dyDescent="0.25">
      <c r="A48" s="240" t="str">
        <f ca="1">"["&amp;INDIRECT("C3")&amp;" X2SoldierClassTemplate]"</f>
        <v>[LWD_ X2SoldierClassTemplate]</v>
      </c>
      <c r="B48" s="234" t="s">
        <v>340</v>
      </c>
      <c r="C48" s="245" t="s">
        <v>351</v>
      </c>
      <c r="D48" s="234" t="s">
        <v>340</v>
      </c>
      <c r="E48" s="248" t="str">
        <f>"; Nicknames"</f>
        <v>; Nicknames</v>
      </c>
      <c r="F48" s="234" t="s">
        <v>340</v>
      </c>
      <c r="G48" s="234"/>
      <c r="H48" s="234"/>
      <c r="I48" s="234"/>
      <c r="J48" s="234"/>
    </row>
    <row r="49" spans="1:10" ht="15.75" thickBot="1" x14ac:dyDescent="0.3">
      <c r="A49" s="240" t="str">
        <f ca="1">"+bMultiplayerOnly="&amp;INDIRECT("E6")</f>
        <v>+bMultiplayerOnly=0</v>
      </c>
      <c r="B49" s="234" t="s">
        <v>340</v>
      </c>
      <c r="C49" s="246" t="str">
        <f ca="1">"+DEBUG_StartingSoldierClasses="""&amp;INDIRECT("C3")&amp;""""</f>
        <v>+DEBUG_StartingSoldierClasses="LWD_"</v>
      </c>
      <c r="D49" s="234" t="s">
        <v>340</v>
      </c>
      <c r="E49" s="248" t="str">
        <f ca="1">IF(INDIRECT("V4")&lt;&gt;"","RandomNickNames[0]="""&amp;INDIRECT("V4")&amp;"""","")</f>
        <v>RandomNickNames[0]="Angel"</v>
      </c>
      <c r="F49" s="234" t="s">
        <v>340</v>
      </c>
      <c r="G49" s="234"/>
      <c r="H49" s="234"/>
      <c r="I49" s="234"/>
      <c r="J49" s="234"/>
    </row>
    <row r="50" spans="1:10" x14ac:dyDescent="0.25">
      <c r="A50" s="240" t="str">
        <f ca="1">"+ClassPoints="&amp;INDIRECT("E7")</f>
        <v>+ClassPoints=4</v>
      </c>
      <c r="B50" s="234" t="s">
        <v>340</v>
      </c>
      <c r="C50" s="234"/>
      <c r="D50" s="234"/>
      <c r="E50" s="248" t="str">
        <f ca="1">IF(INDIRECT("V5")&lt;&gt;"","RandomNickNames[1]="""&amp;INDIRECT("V5")&amp;"""","")</f>
        <v>RandomNickNames[1]="Bargain"</v>
      </c>
      <c r="F50" s="234" t="s">
        <v>340</v>
      </c>
      <c r="G50" s="234"/>
      <c r="H50" s="234"/>
      <c r="I50" s="234"/>
      <c r="J50" s="234"/>
    </row>
    <row r="51" spans="1:10" x14ac:dyDescent="0.25">
      <c r="A51" s="240" t="str">
        <f ca="1">"+IconImage="&amp;""""&amp;INDIRECT("E8")&amp;""""</f>
        <v>+IconImage=""</v>
      </c>
      <c r="B51" s="234" t="s">
        <v>340</v>
      </c>
      <c r="C51" s="234"/>
      <c r="D51" s="234"/>
      <c r="E51" s="248" t="str">
        <f ca="1">IF(INDIRECT("V6")&lt;&gt;"","RandomNickNames[2]="""&amp;INDIRECT("V6")&amp;"""","")</f>
        <v>RandomNickNames[2]="Beta"</v>
      </c>
      <c r="F51" s="234" t="s">
        <v>340</v>
      </c>
      <c r="G51" s="234"/>
      <c r="H51" s="234"/>
      <c r="I51" s="234"/>
      <c r="J51" s="234"/>
    </row>
    <row r="52" spans="1:10" x14ac:dyDescent="0.25">
      <c r="A52" s="240" t="str">
        <f ca="1">"+NumInForcedDeck="&amp;INDIRECT("E9")</f>
        <v>+NumInForcedDeck=1</v>
      </c>
      <c r="B52" s="234" t="s">
        <v>340</v>
      </c>
      <c r="C52" s="234"/>
      <c r="D52" s="234"/>
      <c r="E52" s="248" t="str">
        <f ca="1">IF(INDIRECT("V7")&lt;&gt;"","RandomNickNames[3]="""&amp;INDIRECT("V7")&amp;"""","")</f>
        <v>RandomNickNames[3]="Bishop"</v>
      </c>
      <c r="F52" s="234" t="s">
        <v>340</v>
      </c>
      <c r="G52" s="234"/>
      <c r="H52" s="234"/>
      <c r="I52" s="234"/>
      <c r="J52" s="234"/>
    </row>
    <row r="53" spans="1:10" x14ac:dyDescent="0.25">
      <c r="A53" s="240" t="str">
        <f ca="1">"+NumInDeck="&amp;INDIRECT("E10")</f>
        <v>+NumInDeck=4</v>
      </c>
      <c r="B53" s="234" t="s">
        <v>340</v>
      </c>
      <c r="C53" s="234"/>
      <c r="D53" s="234"/>
      <c r="E53" s="248" t="str">
        <f ca="1">IF(INDIRECT("V8")&lt;&gt;"","RandomNickNames[4]="""&amp;INDIRECT("V8")&amp;"""","")</f>
        <v>RandomNickNames[4]="Hometown"</v>
      </c>
      <c r="F53" s="234" t="s">
        <v>340</v>
      </c>
      <c r="G53" s="234"/>
      <c r="H53" s="234"/>
      <c r="I53" s="234"/>
      <c r="J53" s="234"/>
    </row>
    <row r="54" spans="1:10" x14ac:dyDescent="0.25">
      <c r="A54" s="240" t="str">
        <f ca="1">"+KillAssistsPerKill="&amp;INDIRECT("E11")</f>
        <v>+KillAssistsPerKill=4</v>
      </c>
      <c r="B54" s="234" t="s">
        <v>340</v>
      </c>
      <c r="C54" s="234"/>
      <c r="D54" s="234"/>
      <c r="E54" s="248" t="str">
        <f ca="1">IF(INDIRECT("V9")&lt;&gt;"","RandomNickNames[5]="""&amp;INDIRECT("V9")&amp;"""","")</f>
        <v>RandomNickNames[5]="Breaker"</v>
      </c>
      <c r="F54" s="234" t="s">
        <v>340</v>
      </c>
      <c r="G54" s="234"/>
      <c r="H54" s="234"/>
      <c r="I54" s="234"/>
      <c r="J54" s="234"/>
    </row>
    <row r="55" spans="1:10" x14ac:dyDescent="0.25">
      <c r="A55" s="240" t="str">
        <f ca="1">"+SquaddieLoadout=Squaddie"&amp;INDIRECT("C3")</f>
        <v>+SquaddieLoadout=SquaddieLWD_</v>
      </c>
      <c r="B55" s="234" t="s">
        <v>340</v>
      </c>
      <c r="C55" s="234"/>
      <c r="D55" s="234"/>
      <c r="E55" s="248" t="str">
        <f ca="1">IF(INDIRECT("V10")&lt;&gt;"","RandomNickNames[6]="""&amp;INDIRECT("V10")&amp;"""","")</f>
        <v>RandomNickNames[6]="Broker"</v>
      </c>
      <c r="F55" s="234" t="s">
        <v>340</v>
      </c>
      <c r="G55" s="234"/>
      <c r="H55" s="234"/>
      <c r="I55" s="234"/>
      <c r="J55" s="234"/>
    </row>
    <row r="56" spans="1:10" x14ac:dyDescent="0.25">
      <c r="A56" s="240" t="str">
        <f ca="1">";+bAllowAWCAbilities="&amp;INDIRECT("E12")&amp;" ; Not a thing in LW2"</f>
        <v>;+bAllowAWCAbilities=1 ; Not a thing in LW2</v>
      </c>
      <c r="B56" s="234" t="s">
        <v>340</v>
      </c>
      <c r="C56" s="234"/>
      <c r="D56" s="234"/>
      <c r="E56" s="248" t="str">
        <f ca="1">IF(INDIRECT("V11")&lt;&gt;"","RandomNickNames[7]="""&amp;INDIRECT("V11")&amp;"""","")</f>
        <v>RandomNickNames[7]="Conquest"</v>
      </c>
      <c r="F56" s="234" t="s">
        <v>340</v>
      </c>
      <c r="G56" s="234"/>
      <c r="H56" s="234"/>
      <c r="I56" s="234"/>
      <c r="J56" s="234"/>
    </row>
    <row r="57" spans="1:10" x14ac:dyDescent="0.25">
      <c r="A57" s="240" t="str">
        <f ca="1">IF(INDIRECT("B5")=FALSE,";","")&amp;"+AllowedWeapons=(SlotType=eInvSlot_PrimaryWeapon, WeaponType=""rifle"")"</f>
        <v>;+AllowedWeapons=(SlotType=eInvSlot_PrimaryWeapon, WeaponType="rifle")</v>
      </c>
      <c r="B57" s="234" t="s">
        <v>340</v>
      </c>
      <c r="C57" s="234"/>
      <c r="D57" s="234"/>
      <c r="E57" s="248" t="str">
        <f ca="1">IF(INDIRECT("V12")&lt;&gt;"","RandomNickNames[8]="""&amp;INDIRECT("V12")&amp;"""","")</f>
        <v>RandomNickNames[8]="Deacon"</v>
      </c>
      <c r="F57" s="234" t="s">
        <v>340</v>
      </c>
      <c r="G57" s="234"/>
      <c r="H57" s="234"/>
      <c r="I57" s="234"/>
      <c r="J57" s="234"/>
    </row>
    <row r="58" spans="1:10" x14ac:dyDescent="0.25">
      <c r="A58" s="240" t="str">
        <f ca="1">IF(INDIRECT("B6")=FALSE,";","")&amp;"+AllowedWeapons=(SlotType=eInvSlot_PrimaryWeapon, WeaponType=""cannon"")"</f>
        <v>;+AllowedWeapons=(SlotType=eInvSlot_PrimaryWeapon, WeaponType="cannon")</v>
      </c>
      <c r="B58" s="234" t="s">
        <v>340</v>
      </c>
      <c r="C58" s="234"/>
      <c r="D58" s="234"/>
      <c r="E58" s="248" t="str">
        <f ca="1">IF(INDIRECT("V13")&lt;&gt;"","RandomNickNames[9]="""&amp;INDIRECT("V13")&amp;"""","")</f>
        <v>RandomNickNames[9]="Doomtrain"</v>
      </c>
      <c r="F58" s="234" t="s">
        <v>340</v>
      </c>
      <c r="G58" s="234"/>
      <c r="H58" s="234"/>
      <c r="I58" s="234"/>
      <c r="J58" s="234"/>
    </row>
    <row r="59" spans="1:10" x14ac:dyDescent="0.25">
      <c r="A59" s="240" t="str">
        <f ca="1">IF(INDIRECT("B7")=FALSE,";","")&amp;"+AllowedWeapons=(SlotType=eInvSlot_PrimaryWeapon, WeaponType=""shotgun"")"</f>
        <v>;+AllowedWeapons=(SlotType=eInvSlot_PrimaryWeapon, WeaponType="shotgun")</v>
      </c>
      <c r="B59" s="234" t="s">
        <v>340</v>
      </c>
      <c r="C59" s="234"/>
      <c r="D59" s="234"/>
      <c r="E59" s="248" t="str">
        <f ca="1">IF(INDIRECT("V14")&lt;&gt;"","RandomNickNames[10]="""&amp;INDIRECT("V14")&amp;"""","")</f>
        <v>RandomNickNames[10]="Dr. Feelgood"</v>
      </c>
      <c r="F59" s="234" t="s">
        <v>340</v>
      </c>
      <c r="G59" s="234"/>
      <c r="H59" s="234"/>
      <c r="I59" s="234"/>
      <c r="J59" s="234"/>
    </row>
    <row r="60" spans="1:10" x14ac:dyDescent="0.25">
      <c r="A60" s="240" t="str">
        <f ca="1">IF(INDIRECT("B8")=FALSE,";","")&amp;"+AllowedWeapons=(SlotType=eInvSlot_PrimaryWeapon, WeaponType=""sniper_rifle"")"</f>
        <v>;+AllowedWeapons=(SlotType=eInvSlot_PrimaryWeapon, WeaponType="sniper_rifle")</v>
      </c>
      <c r="B60" s="234" t="s">
        <v>340</v>
      </c>
      <c r="C60" s="234"/>
      <c r="D60" s="234"/>
      <c r="E60" s="248" t="str">
        <f ca="1">IF(INDIRECT("V15")&lt;&gt;"","RandomNickNames[11]="""&amp;INDIRECT("V15")&amp;"""","")</f>
        <v>RandomNickNames[11]="Famine"</v>
      </c>
      <c r="F60" s="234" t="s">
        <v>340</v>
      </c>
      <c r="G60" s="234"/>
      <c r="H60" s="234"/>
      <c r="I60" s="234"/>
      <c r="J60" s="234"/>
    </row>
    <row r="61" spans="1:10" x14ac:dyDescent="0.25">
      <c r="A61" s="240" t="str">
        <f ca="1">IF(INDIRECT("B9")=FALSE,";","")&amp;"+AllowedWeapons=(SlotType=eInvSlot_SecondaryWeapon, WeaponType=""gauntlet"")"</f>
        <v>;+AllowedWeapons=(SlotType=eInvSlot_SecondaryWeapon, WeaponType="gauntlet")</v>
      </c>
      <c r="B61" s="234" t="s">
        <v>340</v>
      </c>
      <c r="C61" s="234"/>
      <c r="D61" s="234"/>
      <c r="E61" s="248" t="str">
        <f ca="1">IF(INDIRECT("V16")&lt;&gt;"","RandomNickNames[12]="""&amp;INDIRECT("V16")&amp;"""","")</f>
        <v>RandomNickNames[12]="Feedback"</v>
      </c>
      <c r="F61" s="234" t="s">
        <v>340</v>
      </c>
      <c r="G61" s="234"/>
      <c r="H61" s="234"/>
      <c r="I61" s="234"/>
      <c r="J61" s="234"/>
    </row>
    <row r="62" spans="1:10" x14ac:dyDescent="0.25">
      <c r="A62" s="240" t="str">
        <f ca="1">IF(INDIRECT("B10")=FALSE,";","")&amp;"+AllowedWeapons=(SlotType=eInvSlot_SecondaryWeapon, WeaponType=""combatknife"")"</f>
        <v>;+AllowedWeapons=(SlotType=eInvSlot_SecondaryWeapon, WeaponType="combatknife")</v>
      </c>
      <c r="B62" s="234" t="s">
        <v>340</v>
      </c>
      <c r="C62" s="234"/>
      <c r="D62" s="234"/>
      <c r="E62" s="248" t="str">
        <f ca="1">IF(INDIRECT("V17")&lt;&gt;"","RandomNickNames[13]="""&amp;INDIRECT("V17")&amp;"""","")</f>
        <v>RandomNickNames[13]="Sure Thing"</v>
      </c>
      <c r="F62" s="234" t="s">
        <v>340</v>
      </c>
      <c r="G62" s="234"/>
      <c r="H62" s="234"/>
      <c r="I62" s="234"/>
      <c r="J62" s="234"/>
    </row>
    <row r="63" spans="1:10" x14ac:dyDescent="0.25">
      <c r="A63" s="240" t="str">
        <f ca="1">IF(INDIRECT("B11")=FALSE,";","")&amp;"+AllowedWeapons=(SlotType=eInvSlot_SecondaryWeapon, WeaponType=""grenade_launcher"")"</f>
        <v>;+AllowedWeapons=(SlotType=eInvSlot_SecondaryWeapon, WeaponType="grenade_launcher")</v>
      </c>
      <c r="B63" s="234" t="s">
        <v>340</v>
      </c>
      <c r="C63" s="234"/>
      <c r="D63" s="234"/>
      <c r="E63" s="248" t="str">
        <f ca="1">IF(INDIRECT("V18")&lt;&gt;"","RandomNickNames[14]="""&amp;INDIRECT("V18")&amp;"""","")</f>
        <v>RandomNickNames[14]="Genius"</v>
      </c>
      <c r="F63" s="234" t="s">
        <v>340</v>
      </c>
      <c r="G63" s="234"/>
      <c r="H63" s="234"/>
      <c r="I63" s="234"/>
      <c r="J63" s="234"/>
    </row>
    <row r="64" spans="1:10" x14ac:dyDescent="0.25">
      <c r="A64" s="240" t="str">
        <f ca="1">IF(INDIRECT("B12")=FALSE,";","")&amp;"+AllowedWeapons=(SlotType=eInvSlot_SecondaryWeapon, WeaponType=""gremlin"")"</f>
        <v>;+AllowedWeapons=(SlotType=eInvSlot_SecondaryWeapon, WeaponType="gremlin")</v>
      </c>
      <c r="B64" s="234" t="s">
        <v>340</v>
      </c>
      <c r="C64" s="234"/>
      <c r="D64" s="234"/>
      <c r="E64" s="248" t="str">
        <f ca="1">IF(INDIRECT("V19")&lt;&gt;"","RandomNickNames[15]="""&amp;INDIRECT("V19")&amp;"""","")</f>
        <v>RandomNickNames[15]="Gizmo"</v>
      </c>
      <c r="F64" s="234" t="s">
        <v>340</v>
      </c>
      <c r="G64" s="234"/>
      <c r="H64" s="234"/>
      <c r="I64" s="234"/>
      <c r="J64" s="234"/>
    </row>
    <row r="65" spans="1:10" x14ac:dyDescent="0.25">
      <c r="A65" s="240" t="str">
        <f ca="1">IF(INDIRECT("B13")=FALSE,";","")&amp;"+AllowedWeapons=(SlotType=eInvSlot_SecondaryWeapon, WeaponType=""sword"")"</f>
        <v>;+AllowedWeapons=(SlotType=eInvSlot_SecondaryWeapon, WeaponType="sword")</v>
      </c>
      <c r="B65" s="234" t="s">
        <v>340</v>
      </c>
      <c r="C65" s="234"/>
      <c r="D65" s="234"/>
      <c r="E65" s="248" t="str">
        <f ca="1">IF(INDIRECT("V20")&lt;&gt;"","RandomNickNames[16]="""&amp;INDIRECT("V20")&amp;"""","")</f>
        <v>RandomNickNames[16]="Jester"</v>
      </c>
      <c r="F65" s="234" t="s">
        <v>340</v>
      </c>
      <c r="G65" s="234"/>
      <c r="H65" s="234"/>
      <c r="I65" s="234"/>
      <c r="J65" s="234"/>
    </row>
    <row r="66" spans="1:10" x14ac:dyDescent="0.25">
      <c r="A66" s="240" t="str">
        <f ca="1">IF(INDIRECT("B14")=FALSE,";","")&amp;"+AllowedWeapons=(SlotType=eInvSlot_SecondaryWeapon, WeaponType=""sawedoffshotgun"")"</f>
        <v>;+AllowedWeapons=(SlotType=eInvSlot_SecondaryWeapon, WeaponType="sawedoffshotgun")</v>
      </c>
      <c r="B66" s="234" t="s">
        <v>340</v>
      </c>
      <c r="C66" s="234"/>
      <c r="D66" s="234"/>
      <c r="E66" s="248" t="str">
        <f ca="1">IF(INDIRECT("V21")&lt;&gt;"","RandomNickNames[17]="""&amp;INDIRECT("V21")&amp;"""","")</f>
        <v>RandomNickNames[17]="Jolt"</v>
      </c>
      <c r="F66" s="234" t="s">
        <v>340</v>
      </c>
      <c r="G66" s="234"/>
      <c r="H66" s="234"/>
      <c r="I66" s="234"/>
      <c r="J66" s="234"/>
    </row>
    <row r="67" spans="1:10" x14ac:dyDescent="0.25">
      <c r="A67" s="240" t="str">
        <f ca="1">IF(INDIRECT("B15")=FALSE,";","")&amp;"+AllowedWeapons=(SlotType=eInvSlot_SecondaryWeapon, WeaponType=""arcthrower"")"</f>
        <v>;+AllowedWeapons=(SlotType=eInvSlot_SecondaryWeapon, WeaponType="arcthrower")</v>
      </c>
      <c r="B67" s="234" t="s">
        <v>340</v>
      </c>
      <c r="C67" s="234"/>
      <c r="D67" s="234"/>
      <c r="E67" s="248" t="str">
        <f ca="1">IF(INDIRECT("V22")&lt;&gt;"","RandomNickNames[18]="""&amp;INDIRECT("V22")&amp;"""","")</f>
        <v>RandomNickNames[18]="Lightning"</v>
      </c>
      <c r="F67" s="234" t="s">
        <v>340</v>
      </c>
      <c r="G67" s="234"/>
      <c r="H67" s="234"/>
      <c r="I67" s="234"/>
      <c r="J67" s="234"/>
    </row>
    <row r="68" spans="1:10" x14ac:dyDescent="0.25">
      <c r="A68" s="240" t="str">
        <f ca="1">IF(INDIRECT("B16")=FALSE,";","")&amp;"+AllowedWeapons=(SlotType=eInvSlot_SecondaryWeapon, WeaponType=""holotargeter"")"</f>
        <v>;+AllowedWeapons=(SlotType=eInvSlot_SecondaryWeapon, WeaponType="holotargeter")</v>
      </c>
      <c r="B68" s="234" t="s">
        <v>340</v>
      </c>
      <c r="C68" s="234"/>
      <c r="D68" s="234"/>
      <c r="E68" s="248" t="str">
        <f ca="1">IF(INDIRECT("V23")&lt;&gt;"","RandomNickNames[19]="""&amp;INDIRECT("V23")&amp;"""","")</f>
        <v>RandomNickNames[19]="Mayday"</v>
      </c>
      <c r="F68" s="234" t="s">
        <v>340</v>
      </c>
      <c r="G68" s="234"/>
      <c r="H68" s="234"/>
      <c r="I68" s="234"/>
      <c r="J68" s="234"/>
    </row>
    <row r="69" spans="1:10" x14ac:dyDescent="0.25">
      <c r="A69" s="240" t="str">
        <f ca="1">IF(INDIRECT("B17")=FALSE,";","")&amp;"+AllowedWeapons=(SlotType=eInvSlot_SecondaryWeapon, WeaponType=""psiamp"")"</f>
        <v>;+AllowedWeapons=(SlotType=eInvSlot_SecondaryWeapon, WeaponType="psiamp")</v>
      </c>
      <c r="B69" s="234" t="s">
        <v>340</v>
      </c>
      <c r="C69" s="234"/>
      <c r="D69" s="234"/>
      <c r="E69" s="248" t="str">
        <f ca="1">IF(INDIRECT("V24")&lt;&gt;"","RandomNickNames[20]="""&amp;INDIRECT("V24")&amp;"""","")</f>
        <v>RandomNickNames[20]="Mega"</v>
      </c>
      <c r="F69" s="234" t="s">
        <v>340</v>
      </c>
      <c r="G69" s="234"/>
      <c r="H69" s="234"/>
      <c r="I69" s="234"/>
      <c r="J69" s="234"/>
    </row>
    <row r="70" spans="1:10" x14ac:dyDescent="0.25">
      <c r="A70" s="240" t="str">
        <f ca="1">IF(INDIRECT("B9")=FALSE,";","")&amp;"+AllowedWeapons=(SlotType=eInvSlot_HeavyWeapon, WeaponType=""heavyammo"")"</f>
        <v>;+AllowedWeapons=(SlotType=eInvSlot_HeavyWeapon, WeaponType="heavyammo")</v>
      </c>
      <c r="B70" s="234" t="s">
        <v>340</v>
      </c>
      <c r="C70" s="234"/>
      <c r="D70" s="234"/>
      <c r="E70" s="248" t="str">
        <f ca="1">IF(INDIRECT("V25")&lt;&gt;"","RandomNickNames[21]="""&amp;INDIRECT("V25")&amp;"""","")</f>
        <v>RandomNickNames[21]="Newton"</v>
      </c>
      <c r="F70" s="234" t="s">
        <v>340</v>
      </c>
      <c r="G70" s="234"/>
      <c r="H70" s="234"/>
      <c r="I70" s="234"/>
      <c r="J70" s="234"/>
    </row>
    <row r="71" spans="1:10" x14ac:dyDescent="0.25">
      <c r="A71" s="240" t="str">
        <f ca="1">IF(INDIRECT("B9")=TRUE,";","")&amp;"+AllowedWeapons=(SlotType=eInvSlot_HeavyWeapon, WeaponType=""heavy"")"</f>
        <v>+AllowedWeapons=(SlotType=eInvSlot_HeavyWeapon, WeaponType="heavy")</v>
      </c>
      <c r="B71" s="234" t="s">
        <v>340</v>
      </c>
      <c r="C71" s="234"/>
      <c r="D71" s="234"/>
      <c r="E71" s="248" t="str">
        <f ca="1">IF(INDIRECT("V26")&lt;&gt;"","RandomNickNames[22]="""&amp;INDIRECT("V26")&amp;"""","")</f>
        <v>RandomNickNames[22]="Ragtime"</v>
      </c>
      <c r="F71" s="234" t="s">
        <v>340</v>
      </c>
      <c r="G71" s="234"/>
      <c r="H71" s="234"/>
      <c r="I71" s="234"/>
      <c r="J71" s="234"/>
    </row>
    <row r="72" spans="1:10" x14ac:dyDescent="0.25">
      <c r="A72" s="240" t="str">
        <f ca="1">"+AllowedArmors="&amp;INDIRECT("E13")</f>
        <v>+AllowedArmors=soldier</v>
      </c>
      <c r="B72" s="234" t="s">
        <v>340</v>
      </c>
      <c r="C72" s="234"/>
      <c r="D72" s="234"/>
      <c r="E72" s="248" t="str">
        <f ca="1">IF(INDIRECT("V27")&lt;&gt;"","RandomNickNames[23]="""&amp;INDIRECT("V27")&amp;"""","")</f>
        <v>RandomNickNames[23]="Rascal"</v>
      </c>
      <c r="F72" s="234" t="s">
        <v>340</v>
      </c>
      <c r="G72" s="234"/>
      <c r="H72" s="234"/>
      <c r="I72" s="234"/>
      <c r="J72" s="234"/>
    </row>
    <row r="73" spans="1:10" x14ac:dyDescent="0.25">
      <c r="A73" s="240" t="str">
        <f>"; squaddie"</f>
        <v>; squaddie</v>
      </c>
      <c r="B73" s="234" t="s">
        <v>340</v>
      </c>
      <c r="C73" s="234"/>
      <c r="D73" s="234"/>
      <c r="E73" s="248" t="str">
        <f ca="1">IF(INDIRECT("V28")&lt;&gt;"","RandomNickNames[24]="""&amp;INDIRECT("V28")&amp;"""","")</f>
        <v>RandomNickNames[24]="Rattler"</v>
      </c>
      <c r="F73" s="234" t="s">
        <v>340</v>
      </c>
      <c r="G73" s="234"/>
      <c r="H73" s="234"/>
      <c r="I73" s="234"/>
      <c r="J73" s="234"/>
    </row>
    <row r="74" spans="1:10" x14ac:dyDescent="0.25">
      <c r="A74" s="240" t="e">
        <f ca="1">"+SoldierRanks=(  aAbilityTree=( (AbilityName="""&amp;VLOOKUP(INDIRECT("F4"),Abilities,2,FALSE)&amp;""""&amp;IF(VLOOKUP(INDIRECT("F4"),Abilities,3,FALSE)="","",", ApplyToWeaponSlot=eInvSlot_"&amp;VLOOKUP(INDIRECT("F4"),Abilities,3,FALSE))&amp;"), \\"</f>
        <v>#N/A</v>
      </c>
      <c r="B74" s="234" t="s">
        <v>340</v>
      </c>
      <c r="C74" s="234"/>
      <c r="D74" s="234"/>
      <c r="E74" s="248" t="str">
        <f ca="1">IF(INDIRECT("V29")&lt;&gt;"","RandomNickNames[25]="""&amp;INDIRECT("V29")&amp;"""","")</f>
        <v>RandomNickNames[25]="Revelation"</v>
      </c>
      <c r="F74" s="234" t="s">
        <v>340</v>
      </c>
      <c r="G74" s="234"/>
      <c r="H74" s="234"/>
      <c r="I74" s="234"/>
      <c r="J74" s="234"/>
    </row>
    <row r="75" spans="1:10" x14ac:dyDescent="0.25">
      <c r="A75" s="240" t="str">
        <f ca="1">IF(INDIRECT("I4")="","\\","(AbilityName="""&amp;VLOOKUP(INDIRECT("I4"),Abilities,2,FALSE)&amp;""""&amp;IF(VLOOKUP(INDIRECT("I4"),Abilities,3,FALSE)="","",", ApplyToWeaponSlot=eInvSlot_"&amp;VLOOKUP(INDIRECT("I4"),Abilities,3,FALSE))&amp;"), \\")</f>
        <v>\\</v>
      </c>
      <c r="B75" s="234" t="s">
        <v>340</v>
      </c>
      <c r="C75" s="234"/>
      <c r="D75" s="234"/>
      <c r="E75" s="248" t="str">
        <f ca="1">IF(INDIRECT("V30")&lt;&gt;"","RandomNickNames[26]="""&amp;INDIRECT("V30")&amp;"""","")</f>
        <v>RandomNickNames[26]="Skipper"</v>
      </c>
      <c r="F75" s="234" t="s">
        <v>340</v>
      </c>
      <c r="G75" s="234"/>
      <c r="H75" s="234"/>
      <c r="I75" s="234"/>
      <c r="J75" s="234"/>
    </row>
    <row r="76" spans="1:10" x14ac:dyDescent="0.25">
      <c r="A76" s="240" t="str">
        <f ca="1">IF(INDIRECT("L4")="","\\","(AbilityName="""&amp;VLOOKUP(INDIRECT("L4"),Abilities,2,FALSE)&amp;""""&amp;IF(VLOOKUP(INDIRECT("L4"),Abilities,3,FALSE)="","",", ApplyToWeaponSlot=eInvSlot_"&amp;VLOOKUP(INDIRECT("L4"),Abilities,3,FALSE))&amp;"), \\")</f>
        <v>\\</v>
      </c>
      <c r="B76" s="234" t="s">
        <v>340</v>
      </c>
      <c r="C76" s="234"/>
      <c r="D76" s="234"/>
      <c r="E76" s="248" t="str">
        <f ca="1">IF(INDIRECT("V31")&lt;&gt;"","RandomNickNames[27]="""&amp;INDIRECT("V31")&amp;"""","")</f>
        <v>RandomNickNames[27]="Thunder"</v>
      </c>
      <c r="F76" s="234" t="s">
        <v>340</v>
      </c>
      <c r="G76" s="234"/>
      <c r="H76" s="234"/>
      <c r="I76" s="234"/>
      <c r="J76" s="234"/>
    </row>
    <row r="77" spans="1:10" x14ac:dyDescent="0.25">
      <c r="A77" s="240" t="str">
        <f ca="1">IF(INDIRECT("F7")="","\\","(AbilityName="""&amp;VLOOKUP(INDIRECT("F7"),Abilities,2,FALSE)&amp;""""&amp;IF(VLOOKUP(INDIRECT("F7"),Abilities,3,FALSE)="","",", ApplyToWeaponSlot=eInvSlot_"&amp;VLOOKUP(INDIRECT("F7"),Abilities,3,FALSE))&amp;"), \\")</f>
        <v>\\</v>
      </c>
      <c r="B77" s="234" t="s">
        <v>340</v>
      </c>
      <c r="C77" s="234"/>
      <c r="D77" s="234"/>
      <c r="E77" s="248" t="str">
        <f ca="1">IF(INDIRECT("V32")&lt;&gt;"","RandomNickNames[28]="""&amp;INDIRECT("V32")&amp;"""","")</f>
        <v>RandomNickNames[28]="Undertaker"</v>
      </c>
      <c r="F77" s="234" t="s">
        <v>340</v>
      </c>
      <c r="G77" s="234"/>
      <c r="H77" s="234"/>
      <c r="I77" s="234"/>
      <c r="J77" s="234"/>
    </row>
    <row r="78" spans="1:10" x14ac:dyDescent="0.25">
      <c r="A78" s="240" t="str">
        <f ca="1">IF(INDIRECT("I7")="","\\","(AbilityName="""&amp;VLOOKUP(INDIRECT("I7"),Abilities,2,FALSE)&amp;""""&amp;IF(VLOOKUP(INDIRECT("I7"),Abilities,3,FALSE)="","",", ApplyToWeaponSlot=eInvSlot_"&amp;VLOOKUP(INDIRECT("I7"),Abilities,3,FALSE))&amp;"), \\")</f>
        <v>\\</v>
      </c>
      <c r="B78" s="234" t="s">
        <v>340</v>
      </c>
      <c r="C78" s="234"/>
      <c r="D78" s="234"/>
      <c r="E78" s="248" t="str">
        <f ca="1">IF(INDIRECT("V33")&lt;&gt;"","RandomNickNames[29]="""&amp;INDIRECT("V33")&amp;"""","")</f>
        <v>RandomNickNames[29]="War"</v>
      </c>
      <c r="F78" s="234" t="s">
        <v>340</v>
      </c>
      <c r="G78" s="234"/>
      <c r="H78" s="234"/>
      <c r="I78" s="234"/>
      <c r="J78" s="234"/>
    </row>
    <row r="79" spans="1:10" x14ac:dyDescent="0.25">
      <c r="A79" s="240" t="str">
        <f ca="1">IF(INDIRECT("L7")="","\\","(AbilityName="""&amp;VLOOKUP(INDIRECT("L7"),Abilities,2,FALSE)&amp;""""&amp;IF(VLOOKUP(INDIRECT("L7"),Abilities,3,FALSE)="","",", ApplyToWeaponSlot=eInvSlot_"&amp;VLOOKUP(INDIRECT("L7"),Abilities,3,FALSE))&amp;"), \\")</f>
        <v>\\</v>
      </c>
      <c r="B79" s="234" t="s">
        <v>340</v>
      </c>
      <c r="C79" s="234"/>
      <c r="D79" s="234"/>
      <c r="E79" s="248" t="str">
        <f ca="1">IF(INDIRECT("V34")&lt;&gt;"","RandomNickNames[30]="""&amp;INDIRECT("V34")&amp;"""","")</f>
        <v>RandomNickNames[30]="Whoopsie"</v>
      </c>
      <c r="F79" s="234" t="s">
        <v>340</v>
      </c>
      <c r="G79" s="234"/>
      <c r="H79" s="234"/>
      <c r="I79" s="234"/>
      <c r="J79" s="234"/>
    </row>
    <row r="80" spans="1:10" x14ac:dyDescent="0.25">
      <c r="A80" s="240" t="s">
        <v>337</v>
      </c>
      <c r="B80" s="234" t="s">
        <v>340</v>
      </c>
      <c r="C80" s="234"/>
      <c r="D80" s="234"/>
      <c r="E80" s="248" t="str">
        <f ca="1">IF(INDIRECT("V35")&lt;&gt;"","RandomNickNames[31]="""&amp;INDIRECT("V35")&amp;"""","")</f>
        <v>RandomNickNames[31]="Zulu"</v>
      </c>
      <c r="F80" s="234" t="s">
        <v>340</v>
      </c>
      <c r="G80" s="234"/>
      <c r="H80" s="234"/>
      <c r="I80" s="234"/>
      <c r="J80" s="234"/>
    </row>
    <row r="81" spans="1:10" x14ac:dyDescent="0.25">
      <c r="A81" s="240"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(StatType=eStat_Will,StatAmount=3)),\\</v>
      </c>
      <c r="B81" s="234" t="s">
        <v>340</v>
      </c>
      <c r="C81" s="234"/>
      <c r="D81" s="234"/>
      <c r="E81" s="248" t="str">
        <f>"; Male Nicknames"</f>
        <v>; Male Nicknames</v>
      </c>
      <c r="F81" s="234" t="s">
        <v>340</v>
      </c>
      <c r="G81" s="234"/>
      <c r="H81" s="234"/>
      <c r="I81" s="234"/>
      <c r="J81" s="234"/>
    </row>
    <row r="82" spans="1:10" x14ac:dyDescent="0.25">
      <c r="A82" s="240" t="s">
        <v>338</v>
      </c>
      <c r="B82" s="234" t="s">
        <v>340</v>
      </c>
      <c r="C82" s="234"/>
      <c r="D82" s="234"/>
      <c r="E82" s="248" t="str">
        <f ca="1">IF(INDIRECT("X4")&lt;&gt;"","RandomNickNames_Male[0]="""&amp;INDIRECT("X4")&amp;"""","")</f>
        <v>RandomNickNames_Male[0]="Candyman"</v>
      </c>
      <c r="F82" s="234" t="s">
        <v>340</v>
      </c>
      <c r="G82" s="234"/>
      <c r="H82" s="234"/>
      <c r="I82" s="234"/>
      <c r="J82" s="234"/>
    </row>
    <row r="83" spans="1:10" x14ac:dyDescent="0.25">
      <c r="A83" s="240" t="str">
        <f>"; lance corporal"</f>
        <v>; lance corporal</v>
      </c>
      <c r="B83" s="234" t="s">
        <v>340</v>
      </c>
      <c r="C83" s="234"/>
      <c r="D83" s="234"/>
      <c r="E83" s="248" t="str">
        <f ca="1">IF(INDIRECT("X5")&lt;&gt;"","RandomNickNames_Male[1]="""&amp;INDIRECT("X5")&amp;"""","")</f>
        <v>RandomNickNames_Male[1]="Magic Man"</v>
      </c>
      <c r="F83" s="234" t="s">
        <v>340</v>
      </c>
      <c r="G83" s="234"/>
      <c r="H83" s="234"/>
      <c r="I83" s="234"/>
      <c r="J83" s="234"/>
    </row>
    <row r="84" spans="1:10" x14ac:dyDescent="0.25">
      <c r="A84" s="240" t="e">
        <f ca="1">"+SoldierRanks=(  aAbilityTree=( (AbilityName="""&amp;VLOOKUP(INDIRECT("F13"),Abilities,2,FALSE)&amp;""""&amp;IF(VLOOKUP(INDIRECT("F13"),Abilities,3,FALSE)="","",", ApplyToWeaponSlot=eInvSlot_"&amp;VLOOKUP(INDIRECT("F13"),Abilities,3,FALSE))&amp;"), \\"</f>
        <v>#N/A</v>
      </c>
      <c r="B84" s="234" t="s">
        <v>340</v>
      </c>
      <c r="C84" s="234"/>
      <c r="D84" s="234"/>
      <c r="E84" s="248" t="str">
        <f ca="1">IF(INDIRECT("X6")&lt;&gt;"","RandomNickNames_Male[2]="""&amp;INDIRECT("X6")&amp;"""","")</f>
        <v>RandomNickNames_Male[2]="Priest"</v>
      </c>
      <c r="F84" s="234" t="s">
        <v>340</v>
      </c>
      <c r="G84" s="234"/>
      <c r="H84" s="234"/>
      <c r="I84" s="234"/>
      <c r="J84" s="234"/>
    </row>
    <row r="85" spans="1:10" x14ac:dyDescent="0.25">
      <c r="A85" s="240" t="e">
        <f ca="1">IF(INDIRECT("I13")="","\\","(AbilityName="""&amp;VLOOKUP(INDIRECT("I13"),Abilities,2,FALSE)&amp;""""&amp;IF(VLOOKUP(INDIRECT("I13"),Abilities,3,FALSE)="","",", ApplyToWeaponSlot=eInvSlot_"&amp;VLOOKUP(INDIRECT("I13"),Abilities,3,FALSE))&amp;"), \\")</f>
        <v>#N/A</v>
      </c>
      <c r="B85" s="234" t="s">
        <v>340</v>
      </c>
      <c r="C85" s="234"/>
      <c r="D85" s="234"/>
      <c r="E85" s="248" t="str">
        <f ca="1">IF(INDIRECT("X7")&lt;&gt;"","RandomNickNames_Male[3]="""&amp;INDIRECT("X7")&amp;"""","")</f>
        <v>RandomNickNames_Male[3]="Rainman"</v>
      </c>
      <c r="F85" s="234" t="s">
        <v>340</v>
      </c>
      <c r="G85" s="234"/>
      <c r="H85" s="234"/>
      <c r="I85" s="234"/>
      <c r="J85" s="234"/>
    </row>
    <row r="86" spans="1:10" x14ac:dyDescent="0.25">
      <c r="A86" s="240" t="str">
        <f ca="1">IF(INDIRECT("L13")="","\\","(AbilityName="""&amp;VLOOKUP(INDIRECT("L13"),Abilities,2,FALSE)&amp;""""&amp;IF(VLOOKUP(INDIRECT("L13"),Abilities,3,FALSE)="","",", ApplyToWeaponSlot=eInvSlot_"&amp;VLOOKUP(INDIRECT("L13"),Abilities,3,FALSE))&amp;"), \\")</f>
        <v>\\</v>
      </c>
      <c r="B86" s="234" t="s">
        <v>340</v>
      </c>
      <c r="C86" s="234"/>
      <c r="D86" s="234"/>
      <c r="E86" s="248" t="str">
        <f ca="1">IF(INDIRECT("X8")&lt;&gt;"","RandomNickNames_Male[4]="""&amp;INDIRECT("X8")&amp;"""","")</f>
        <v>RandomNickNames_Male[4]="Rooster"</v>
      </c>
      <c r="F86" s="234" t="s">
        <v>340</v>
      </c>
      <c r="G86" s="234"/>
      <c r="H86" s="234"/>
      <c r="I86" s="234"/>
      <c r="J86" s="234"/>
    </row>
    <row r="87" spans="1:10" x14ac:dyDescent="0.25">
      <c r="A87" s="240" t="s">
        <v>337</v>
      </c>
      <c r="B87" s="234" t="s">
        <v>340</v>
      </c>
      <c r="C87" s="234"/>
      <c r="D87" s="234"/>
      <c r="E87" s="248" t="str">
        <f>"; Female Nicknames"</f>
        <v>; Female Nicknames</v>
      </c>
      <c r="F87" s="234" t="s">
        <v>340</v>
      </c>
      <c r="G87" s="234"/>
      <c r="H87" s="234"/>
      <c r="I87" s="234"/>
      <c r="J87" s="234"/>
    </row>
    <row r="88" spans="1:10" x14ac:dyDescent="0.25">
      <c r="A88" s="240"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(StatType=eStat_HP,StatAmount=0), (StatType=eStat_Hacking,StatAmount=0), (StatType=eStat_Will,StatAmount=3)),\\</v>
      </c>
      <c r="B88" s="234" t="s">
        <v>340</v>
      </c>
      <c r="C88" s="234"/>
      <c r="D88" s="234"/>
      <c r="E88" s="248" t="str">
        <f ca="1">IF(INDIRECT("X10")&lt;&gt;"","RandomNickNames_Female[0]="""&amp;INDIRECT("X10")&amp;"""","")</f>
        <v>RandomNickNames_Female[0]="Priestess"</v>
      </c>
      <c r="F88" s="234" t="s">
        <v>340</v>
      </c>
      <c r="G88" s="234"/>
      <c r="H88" s="234"/>
      <c r="I88" s="234"/>
      <c r="J88" s="234"/>
    </row>
    <row r="89" spans="1:10" x14ac:dyDescent="0.25">
      <c r="A89" s="240" t="s">
        <v>338</v>
      </c>
      <c r="B89" s="234" t="s">
        <v>340</v>
      </c>
      <c r="C89" s="234"/>
      <c r="D89" s="234"/>
      <c r="E89" s="248" t="str">
        <f ca="1">IF(INDIRECT("X11")&lt;&gt;"","RandomNickNames_Female[1]="""&amp;INDIRECT("X11")&amp;"""","")</f>
        <v>RandomNickNames_Female[1]="Wolfmother"</v>
      </c>
      <c r="F89" s="234" t="s">
        <v>340</v>
      </c>
      <c r="G89" s="234"/>
      <c r="H89" s="234"/>
      <c r="I89" s="234"/>
      <c r="J89" s="234"/>
    </row>
    <row r="90" spans="1:10" x14ac:dyDescent="0.25">
      <c r="A90" s="240" t="str">
        <f>"; corporal"</f>
        <v>; corporal</v>
      </c>
      <c r="B90" s="234" t="s">
        <v>340</v>
      </c>
      <c r="C90" s="234"/>
      <c r="D90" s="234"/>
      <c r="E90" s="248" t="str">
        <f ca="1">IF(INDIRECT("X12")&lt;&gt;"","RandomNickNames_Female[2]="""&amp;INDIRECT("X12")&amp;"""","")</f>
        <v>RandomNickNames_Female[2]="Black Widow"</v>
      </c>
      <c r="F90" s="234" t="s">
        <v>340</v>
      </c>
      <c r="G90" s="234"/>
      <c r="H90" s="234"/>
      <c r="I90" s="234"/>
      <c r="J90" s="234"/>
    </row>
    <row r="91" spans="1:10" x14ac:dyDescent="0.25">
      <c r="A91" s="240" t="e">
        <f ca="1">"+SoldierRanks=(  aAbilityTree=( (AbilityName="""&amp;VLOOKUP(INDIRECT("F17"),Abilities,2,FALSE)&amp;""""&amp;IF(VLOOKUP(INDIRECT("F17"),Abilities,3,FALSE)="","",", ApplyToWeaponSlot=eInvSlot_"&amp;VLOOKUP(INDIRECT("F17"),Abilities,3,FALSE))&amp;"), \\"</f>
        <v>#N/A</v>
      </c>
      <c r="B91" s="234" t="s">
        <v>340</v>
      </c>
      <c r="C91" s="234"/>
      <c r="D91" s="234"/>
      <c r="E91" s="248" t="str">
        <f ca="1">IF(INDIRECT("X13")&lt;&gt;"","RandomNickNames_Female[3]="""&amp;INDIRECT("X13")&amp;"""","")</f>
        <v>RandomNickNames_Female[3]="Duchess"</v>
      </c>
      <c r="F91" s="234" t="s">
        <v>340</v>
      </c>
      <c r="G91" s="234"/>
      <c r="H91" s="234"/>
      <c r="I91" s="234"/>
      <c r="J91" s="234"/>
    </row>
    <row r="92" spans="1:10" ht="15.75" thickBot="1" x14ac:dyDescent="0.3">
      <c r="A92" s="240" t="str">
        <f ca="1">IF(INDIRECT("I17")="","\\","(AbilityName="""&amp;VLOOKUP(INDIRECT("I17"),Abilities,2,FALSE)&amp;""""&amp;IF(VLOOKUP(INDIRECT("I17"),Abilities,3,FALSE)="","",", ApplyToWeaponSlot=eInvSlot_"&amp;VLOOKUP(INDIRECT("I17"),Abilities,3,FALSE))&amp;"), \\")</f>
        <v>\\</v>
      </c>
      <c r="B92" s="234" t="s">
        <v>340</v>
      </c>
      <c r="C92" s="234"/>
      <c r="D92" s="234"/>
      <c r="E92" s="249" t="str">
        <f ca="1">IF(INDIRECT("X14")&lt;&gt;"","RandomNickNames_Female[4]="""&amp;INDIRECT("X14")&amp;"""","")</f>
        <v>RandomNickNames_Female[4]="Queen"</v>
      </c>
      <c r="F92" s="234" t="s">
        <v>340</v>
      </c>
      <c r="G92" s="234"/>
      <c r="H92" s="234"/>
      <c r="I92" s="234"/>
      <c r="J92" s="234"/>
    </row>
    <row r="93" spans="1:10" x14ac:dyDescent="0.25">
      <c r="A93" s="240" t="e">
        <f ca="1">IF(INDIRECT("L17")="","\\","(AbilityName="""&amp;VLOOKUP(INDIRECT("L17"),Abilities,2,FALSE)&amp;""""&amp;IF(VLOOKUP(INDIRECT("L17"),Abilities,3,FALSE)="","",", ApplyToWeaponSlot=eInvSlot_"&amp;VLOOKUP(INDIRECT("L17"),Abilities,3,FALSE))&amp;"), \\")</f>
        <v>#N/A</v>
      </c>
      <c r="B93" s="234" t="s">
        <v>340</v>
      </c>
      <c r="C93" s="234"/>
      <c r="D93" s="234"/>
      <c r="E93" s="234"/>
      <c r="F93" s="234"/>
      <c r="G93" s="234"/>
      <c r="H93" s="234"/>
      <c r="I93" s="234"/>
      <c r="J93" s="234"/>
    </row>
    <row r="94" spans="1:10" x14ac:dyDescent="0.25">
      <c r="A94" s="240" t="s">
        <v>337</v>
      </c>
      <c r="B94" s="234" t="s">
        <v>340</v>
      </c>
      <c r="C94" s="234"/>
      <c r="D94" s="234"/>
      <c r="E94" s="234"/>
      <c r="F94" s="234"/>
      <c r="G94" s="234"/>
      <c r="H94" s="234"/>
      <c r="I94" s="234"/>
      <c r="J94" s="234"/>
    </row>
    <row r="95" spans="1:10" x14ac:dyDescent="0.25">
      <c r="A95" s="240"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234" t="s">
        <v>340</v>
      </c>
      <c r="C95" s="234"/>
      <c r="D95" s="234"/>
      <c r="E95" s="234"/>
      <c r="F95" s="234"/>
      <c r="G95" s="234"/>
      <c r="H95" s="234"/>
      <c r="I95" s="234"/>
      <c r="J95" s="234"/>
    </row>
    <row r="96" spans="1:10" x14ac:dyDescent="0.25">
      <c r="A96" s="240" t="s">
        <v>338</v>
      </c>
      <c r="B96" s="234" t="s">
        <v>340</v>
      </c>
      <c r="C96" s="234"/>
      <c r="D96" s="234"/>
      <c r="E96" s="234"/>
      <c r="F96" s="234"/>
      <c r="G96" s="234"/>
      <c r="H96" s="234"/>
      <c r="I96" s="234"/>
      <c r="J96" s="234"/>
    </row>
    <row r="97" spans="1:10" x14ac:dyDescent="0.25">
      <c r="A97" s="240" t="str">
        <f>"; sergeant"</f>
        <v>; sergeant</v>
      </c>
      <c r="B97" s="234" t="s">
        <v>340</v>
      </c>
      <c r="C97" s="234"/>
      <c r="D97" s="234"/>
      <c r="E97" s="234"/>
      <c r="F97" s="234"/>
      <c r="G97" s="234"/>
      <c r="H97" s="234"/>
      <c r="I97" s="234"/>
      <c r="J97" s="234"/>
    </row>
    <row r="98" spans="1:10" x14ac:dyDescent="0.25">
      <c r="A98" s="240" t="e">
        <f ca="1">"+SoldierRanks=(  aAbilityTree=( (AbilityName="""&amp;VLOOKUP(INDIRECT("F21"),Abilities,2,FALSE)&amp;""""&amp;IF(VLOOKUP(INDIRECT("F21"),Abilities,3,FALSE)="","",", ApplyToWeaponSlot=eInvSlot_"&amp;VLOOKUP(INDIRECT("F21"),Abilities,3,FALSE))&amp;"), \\"</f>
        <v>#N/A</v>
      </c>
      <c r="B98" s="234" t="s">
        <v>340</v>
      </c>
      <c r="C98" s="234"/>
      <c r="D98" s="234"/>
      <c r="E98" s="234"/>
      <c r="F98" s="234"/>
      <c r="G98" s="234"/>
      <c r="H98" s="234"/>
      <c r="I98" s="234"/>
      <c r="J98" s="234"/>
    </row>
    <row r="99" spans="1:10" x14ac:dyDescent="0.25">
      <c r="A99" s="240" t="e">
        <f ca="1">IF(INDIRECT("I21")="","\\","(AbilityName="""&amp;VLOOKUP(INDIRECT("I21"),Abilities,2,FALSE)&amp;""""&amp;IF(VLOOKUP(INDIRECT("I21"),Abilities,3,FALSE)="","",", ApplyToWeaponSlot=eInvSlot_"&amp;VLOOKUP(INDIRECT("I21"),Abilities,3,FALSE))&amp;"), \\")</f>
        <v>#N/A</v>
      </c>
      <c r="B99" s="234" t="s">
        <v>340</v>
      </c>
      <c r="C99" s="234"/>
      <c r="D99" s="234"/>
      <c r="E99" s="234"/>
      <c r="F99" s="234"/>
      <c r="G99" s="234"/>
      <c r="H99" s="234"/>
      <c r="I99" s="234"/>
      <c r="J99" s="234"/>
    </row>
    <row r="100" spans="1:10" x14ac:dyDescent="0.25">
      <c r="A100" s="240" t="str">
        <f ca="1">IF(INDIRECT("L21")="","\\","(AbilityName="""&amp;VLOOKUP(INDIRECT("L21"),Abilities,2,FALSE)&amp;""""&amp;IF(VLOOKUP(INDIRECT("L21"),Abilities,3,FALSE)="","",", ApplyToWeaponSlot=eInvSlot_"&amp;VLOOKUP(INDIRECT("L21"),Abilities,3,FALSE))&amp;"), \\")</f>
        <v>\\</v>
      </c>
      <c r="B100" s="234" t="s">
        <v>340</v>
      </c>
      <c r="C100" s="234"/>
      <c r="D100" s="234"/>
      <c r="E100" s="234"/>
      <c r="F100" s="234"/>
      <c r="G100" s="234"/>
      <c r="H100" s="234"/>
      <c r="I100" s="234"/>
      <c r="J100" s="234"/>
    </row>
    <row r="101" spans="1:10" x14ac:dyDescent="0.25">
      <c r="A101" s="240" t="s">
        <v>337</v>
      </c>
      <c r="B101" s="234" t="s">
        <v>340</v>
      </c>
      <c r="C101" s="234"/>
      <c r="D101" s="234"/>
      <c r="E101" s="234"/>
      <c r="F101" s="234"/>
      <c r="G101" s="234"/>
      <c r="H101" s="234"/>
      <c r="I101" s="234"/>
      <c r="J101" s="234"/>
    </row>
    <row r="102" spans="1:10" x14ac:dyDescent="0.25">
      <c r="A102" s="240"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234" t="s">
        <v>340</v>
      </c>
      <c r="C102" s="234"/>
      <c r="D102" s="234"/>
      <c r="E102" s="234"/>
      <c r="F102" s="234"/>
      <c r="G102" s="234"/>
      <c r="H102" s="234"/>
      <c r="I102" s="234"/>
      <c r="J102" s="234"/>
    </row>
    <row r="103" spans="1:10" x14ac:dyDescent="0.25">
      <c r="A103" s="240" t="s">
        <v>338</v>
      </c>
      <c r="B103" s="234" t="s">
        <v>340</v>
      </c>
      <c r="C103" s="234"/>
      <c r="D103" s="234"/>
      <c r="E103" s="234"/>
      <c r="F103" s="234"/>
      <c r="G103" s="234"/>
      <c r="H103" s="234"/>
      <c r="I103" s="234"/>
      <c r="J103" s="234"/>
    </row>
    <row r="104" spans="1:10" x14ac:dyDescent="0.25">
      <c r="A104" s="240" t="str">
        <f>"; staff sergeant"</f>
        <v>; staff sergeant</v>
      </c>
      <c r="B104" s="234" t="s">
        <v>340</v>
      </c>
      <c r="C104" s="234"/>
      <c r="D104" s="234"/>
      <c r="E104" s="234"/>
      <c r="F104" s="234"/>
      <c r="G104" s="234"/>
      <c r="H104" s="234"/>
      <c r="I104" s="234"/>
      <c r="J104" s="234"/>
    </row>
    <row r="105" spans="1:10" x14ac:dyDescent="0.25">
      <c r="A105" s="240" t="e">
        <f ca="1">"+SoldierRanks=(  aAbilityTree=( (AbilityName="""&amp;VLOOKUP(INDIRECT("F25"),Abilities,2,FALSE)&amp;""""&amp;IF(VLOOKUP(INDIRECT("F25"),Abilities,3,FALSE)="","",", ApplyToWeaponSlot=eInvSlot_"&amp;VLOOKUP(INDIRECT("F25"),Abilities,3,FALSE))&amp;"), \\"</f>
        <v>#N/A</v>
      </c>
      <c r="B105" s="234" t="s">
        <v>340</v>
      </c>
      <c r="C105" s="234"/>
      <c r="D105" s="234"/>
      <c r="E105" s="234"/>
      <c r="F105" s="234"/>
      <c r="G105" s="234"/>
      <c r="H105" s="234"/>
      <c r="I105" s="234"/>
      <c r="J105" s="234"/>
    </row>
    <row r="106" spans="1:10" x14ac:dyDescent="0.25">
      <c r="A106" s="240" t="e">
        <f ca="1">IF(INDIRECT("I25")="","\\","(AbilityName="""&amp;VLOOKUP(INDIRECT("I25"),Abilities,2,FALSE)&amp;""""&amp;IF(VLOOKUP(INDIRECT("I25"),Abilities,3,FALSE)="","",", ApplyToWeaponSlot=eInvSlot_"&amp;VLOOKUP(INDIRECT("I25"),Abilities,3,FALSE))&amp;"), \\")</f>
        <v>#N/A</v>
      </c>
      <c r="B106" s="234" t="s">
        <v>340</v>
      </c>
      <c r="C106" s="234"/>
      <c r="D106" s="234"/>
      <c r="E106" s="234"/>
      <c r="F106" s="234"/>
      <c r="G106" s="234"/>
      <c r="H106" s="234"/>
      <c r="I106" s="234"/>
      <c r="J106" s="234"/>
    </row>
    <row r="107" spans="1:10" x14ac:dyDescent="0.25">
      <c r="A107" s="240" t="str">
        <f ca="1">IF(INDIRECT("L25")="","\\","(AbilityName="""&amp;VLOOKUP(INDIRECT("L25"),Abilities,2,FALSE)&amp;""""&amp;IF(VLOOKUP(INDIRECT("L25"),Abilities,3,FALSE)="","",", ApplyToWeaponSlot=eInvSlot_"&amp;VLOOKUP(INDIRECT("L25"),Abilities,3,FALSE))&amp;"), \\")</f>
        <v>\\</v>
      </c>
      <c r="B107" s="234" t="s">
        <v>340</v>
      </c>
      <c r="C107" s="234"/>
      <c r="D107" s="234"/>
      <c r="E107" s="234"/>
      <c r="F107" s="234"/>
      <c r="G107" s="234"/>
      <c r="H107" s="234"/>
      <c r="I107" s="234"/>
      <c r="J107" s="234"/>
    </row>
    <row r="108" spans="1:10" x14ac:dyDescent="0.25">
      <c r="A108" s="240" t="s">
        <v>337</v>
      </c>
      <c r="B108" s="234" t="s">
        <v>340</v>
      </c>
      <c r="C108" s="234"/>
      <c r="D108" s="234"/>
      <c r="E108" s="234"/>
      <c r="F108" s="234"/>
      <c r="G108" s="234"/>
      <c r="H108" s="234"/>
      <c r="I108" s="234"/>
      <c r="J108" s="234"/>
    </row>
    <row r="109" spans="1:10" x14ac:dyDescent="0.25">
      <c r="A109" s="240"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234" t="s">
        <v>340</v>
      </c>
      <c r="C109" s="234"/>
      <c r="D109" s="234"/>
      <c r="E109" s="234"/>
      <c r="F109" s="234"/>
      <c r="G109" s="234"/>
      <c r="H109" s="234"/>
      <c r="I109" s="234"/>
      <c r="J109" s="234"/>
    </row>
    <row r="110" spans="1:10" x14ac:dyDescent="0.25">
      <c r="A110" s="240" t="s">
        <v>338</v>
      </c>
      <c r="B110" s="234" t="s">
        <v>340</v>
      </c>
      <c r="C110" s="234"/>
      <c r="D110" s="234"/>
      <c r="E110" s="234"/>
      <c r="F110" s="234"/>
      <c r="G110" s="234"/>
      <c r="H110" s="234"/>
      <c r="I110" s="234"/>
      <c r="J110" s="234"/>
    </row>
    <row r="111" spans="1:10" x14ac:dyDescent="0.25">
      <c r="A111" s="240" t="str">
        <f>"; tech sergeant"</f>
        <v>; tech sergeant</v>
      </c>
      <c r="B111" s="234" t="s">
        <v>340</v>
      </c>
      <c r="C111" s="234"/>
      <c r="D111" s="234"/>
      <c r="E111" s="234"/>
      <c r="F111" s="234"/>
      <c r="G111" s="234"/>
      <c r="H111" s="234"/>
      <c r="I111" s="234"/>
      <c r="J111" s="234"/>
    </row>
    <row r="112" spans="1:10" x14ac:dyDescent="0.25">
      <c r="A112" s="240" t="e">
        <f ca="1">"+SoldierRanks=(  aAbilityTree=( (AbilityName="""&amp;VLOOKUP(INDIRECT("F29"),Abilities,2,FALSE)&amp;""""&amp;IF(VLOOKUP(INDIRECT("F29"),Abilities,3,FALSE)="","",", ApplyToWeaponSlot=eInvSlot_"&amp;VLOOKUP(INDIRECT("F29"),Abilities,3,FALSE))&amp;"), \\"</f>
        <v>#N/A</v>
      </c>
      <c r="B112" s="234" t="s">
        <v>340</v>
      </c>
      <c r="C112" s="234"/>
      <c r="D112" s="234"/>
      <c r="E112" s="234"/>
      <c r="F112" s="234"/>
      <c r="G112" s="234"/>
      <c r="H112" s="234"/>
      <c r="I112" s="234"/>
      <c r="J112" s="234"/>
    </row>
    <row r="113" spans="1:10" x14ac:dyDescent="0.25">
      <c r="A113" s="240" t="e">
        <f ca="1">IF(INDIRECT("I29")="","\\","(AbilityName="""&amp;VLOOKUP(INDIRECT("I29"),Abilities,2,FALSE)&amp;""""&amp;IF(VLOOKUP(INDIRECT("I29"),Abilities,3,FALSE)="","",", ApplyToWeaponSlot=eInvSlot_"&amp;VLOOKUP(INDIRECT("I29"),Abilities,3,FALSE))&amp;"), \\")</f>
        <v>#N/A</v>
      </c>
      <c r="B113" s="234" t="s">
        <v>340</v>
      </c>
      <c r="C113" s="234"/>
      <c r="D113" s="234"/>
      <c r="E113" s="234"/>
      <c r="F113" s="234"/>
      <c r="G113" s="234"/>
      <c r="H113" s="234"/>
      <c r="I113" s="234"/>
      <c r="J113" s="234"/>
    </row>
    <row r="114" spans="1:10" x14ac:dyDescent="0.25">
      <c r="A114" s="240" t="str">
        <f ca="1">IF(INDIRECT("L29")="","\\","(AbilityName="""&amp;VLOOKUP(INDIRECT("L29"),Abilities,2,FALSE)&amp;""""&amp;IF(VLOOKUP(INDIRECT("L29"),Abilities,3,FALSE)="","",", ApplyToWeaponSlot=eInvSlot_"&amp;VLOOKUP(INDIRECT("L29"),Abilities,3,FALSE))&amp;"), \\")</f>
        <v>\\</v>
      </c>
      <c r="B114" s="234" t="s">
        <v>340</v>
      </c>
      <c r="C114" s="234"/>
      <c r="D114" s="234"/>
      <c r="E114" s="234"/>
      <c r="F114" s="234"/>
      <c r="G114" s="234"/>
      <c r="H114" s="234"/>
      <c r="I114" s="234"/>
      <c r="J114" s="234"/>
    </row>
    <row r="115" spans="1:10" x14ac:dyDescent="0.25">
      <c r="A115" s="240" t="s">
        <v>337</v>
      </c>
      <c r="B115" s="234" t="s">
        <v>340</v>
      </c>
      <c r="C115" s="234"/>
      <c r="D115" s="234"/>
      <c r="E115" s="234"/>
      <c r="F115" s="234"/>
      <c r="G115" s="234"/>
      <c r="H115" s="234"/>
      <c r="I115" s="234"/>
      <c r="J115" s="234"/>
    </row>
    <row r="116" spans="1:10" x14ac:dyDescent="0.25">
      <c r="A116" s="240"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234" t="s">
        <v>340</v>
      </c>
      <c r="C116" s="234"/>
      <c r="D116" s="234"/>
      <c r="E116" s="234"/>
      <c r="F116" s="234"/>
      <c r="G116" s="234"/>
      <c r="H116" s="234"/>
      <c r="I116" s="234"/>
      <c r="J116" s="234"/>
    </row>
    <row r="117" spans="1:10" x14ac:dyDescent="0.25">
      <c r="A117" s="240" t="s">
        <v>338</v>
      </c>
      <c r="B117" s="234" t="s">
        <v>340</v>
      </c>
      <c r="C117" s="234"/>
      <c r="D117" s="234"/>
      <c r="E117" s="234"/>
      <c r="F117" s="234"/>
      <c r="G117" s="234"/>
      <c r="H117" s="234"/>
      <c r="I117" s="234"/>
      <c r="J117" s="234"/>
    </row>
    <row r="118" spans="1:10" x14ac:dyDescent="0.25">
      <c r="A118" s="240" t="str">
        <f>";  gunnery sergeant"</f>
        <v>;  gunnery sergeant</v>
      </c>
      <c r="B118" s="234" t="s">
        <v>340</v>
      </c>
      <c r="C118" s="234"/>
      <c r="D118" s="234"/>
      <c r="E118" s="234"/>
      <c r="F118" s="234"/>
      <c r="G118" s="234"/>
      <c r="H118" s="234"/>
      <c r="I118" s="234"/>
      <c r="J118" s="234"/>
    </row>
    <row r="119" spans="1:10" x14ac:dyDescent="0.25">
      <c r="A119" s="240" t="e">
        <f ca="1">"+SoldierRanks=(  aAbilityTree=( (AbilityName="""&amp;VLOOKUP(INDIRECT("F33"),Abilities,2,FALSE)&amp;""""&amp;IF(VLOOKUP(INDIRECT("F33"),Abilities,3,FALSE)="","",", ApplyToWeaponSlot=eInvSlot_"&amp;VLOOKUP(INDIRECT("F33"),Abilities,3,FALSE))&amp;"), \\"</f>
        <v>#N/A</v>
      </c>
      <c r="B119" s="234" t="s">
        <v>340</v>
      </c>
      <c r="C119" s="234"/>
      <c r="D119" s="234"/>
      <c r="E119" s="234"/>
      <c r="F119" s="234"/>
      <c r="G119" s="234"/>
      <c r="H119" s="234"/>
      <c r="I119" s="234"/>
      <c r="J119" s="234"/>
    </row>
    <row r="120" spans="1:10" x14ac:dyDescent="0.25">
      <c r="A120" s="240" t="str">
        <f ca="1">IF(INDIRECT("I33")="","\\","(AbilityName="""&amp;VLOOKUP(INDIRECT("I33"),Abilities,2,FALSE)&amp;""""&amp;IF(VLOOKUP(INDIRECT("I33"),Abilities,3,FALSE)="","",", ApplyToWeaponSlot=eInvSlot_"&amp;VLOOKUP(INDIRECT("I33"),Abilities,3,FALSE))&amp;"), \\")</f>
        <v>\\</v>
      </c>
      <c r="B120" s="234" t="s">
        <v>340</v>
      </c>
      <c r="C120" s="234"/>
      <c r="D120" s="234"/>
      <c r="E120" s="234"/>
      <c r="F120" s="234"/>
      <c r="G120" s="234"/>
      <c r="H120" s="234"/>
      <c r="I120" s="234"/>
      <c r="J120" s="234"/>
    </row>
    <row r="121" spans="1:10" x14ac:dyDescent="0.25">
      <c r="A121" s="240" t="e">
        <f ca="1">IF(INDIRECT("L33")="","\\","(AbilityName="""&amp;VLOOKUP(INDIRECT("L33"),Abilities,2,FALSE)&amp;""""&amp;IF(VLOOKUP(INDIRECT("L33"),Abilities,3,FALSE)="","",", ApplyToWeaponSlot=eInvSlot_"&amp;VLOOKUP(INDIRECT("L33"),Abilities,3,FALSE))&amp;"), \\")</f>
        <v>#N/A</v>
      </c>
      <c r="B121" s="234" t="s">
        <v>340</v>
      </c>
      <c r="C121" s="234"/>
      <c r="D121" s="234"/>
      <c r="E121" s="234"/>
      <c r="F121" s="234"/>
      <c r="G121" s="234"/>
      <c r="H121" s="234"/>
      <c r="I121" s="234"/>
      <c r="J121" s="234"/>
    </row>
    <row r="122" spans="1:10" x14ac:dyDescent="0.25">
      <c r="A122" s="240" t="s">
        <v>337</v>
      </c>
      <c r="B122" s="234" t="s">
        <v>340</v>
      </c>
      <c r="C122" s="234"/>
      <c r="D122" s="234"/>
      <c r="E122" s="234"/>
      <c r="F122" s="234"/>
      <c r="G122" s="234"/>
      <c r="H122" s="234"/>
      <c r="I122" s="234"/>
      <c r="J122" s="234"/>
    </row>
    <row r="123" spans="1:10" x14ac:dyDescent="0.25">
      <c r="A123" s="240"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234" t="s">
        <v>340</v>
      </c>
      <c r="C123" s="234"/>
      <c r="D123" s="234"/>
      <c r="E123" s="234"/>
      <c r="F123" s="234"/>
      <c r="G123" s="234"/>
      <c r="H123" s="234"/>
      <c r="I123" s="234"/>
      <c r="J123" s="234"/>
    </row>
    <row r="124" spans="1:10" x14ac:dyDescent="0.25">
      <c r="A124" s="240" t="s">
        <v>338</v>
      </c>
      <c r="B124" s="234" t="s">
        <v>340</v>
      </c>
      <c r="C124" s="234"/>
      <c r="D124" s="234"/>
      <c r="E124" s="234"/>
      <c r="F124" s="234"/>
      <c r="G124" s="234"/>
      <c r="H124" s="234"/>
      <c r="I124" s="234"/>
      <c r="J124" s="234"/>
    </row>
    <row r="125" spans="1:10" x14ac:dyDescent="0.25">
      <c r="A125" s="240" t="str">
        <f>"; master sergeant"</f>
        <v>; master sergeant</v>
      </c>
      <c r="B125" s="234" t="s">
        <v>340</v>
      </c>
      <c r="C125" s="234"/>
      <c r="D125" s="234"/>
      <c r="E125" s="234"/>
      <c r="F125" s="234"/>
      <c r="G125" s="234"/>
      <c r="H125" s="234"/>
      <c r="I125" s="234"/>
      <c r="J125" s="234"/>
    </row>
    <row r="126" spans="1:10" x14ac:dyDescent="0.25">
      <c r="A126" s="240" t="e">
        <f ca="1">"+SoldierRanks=(  aAbilityTree=( (AbilityName="""&amp;VLOOKUP(INDIRECT("F37"),Abilities,2,FALSE)&amp;""""&amp;IF(VLOOKUP(INDIRECT("F37"),Abilities,3,FALSE)="","",", ApplyToWeaponSlot=eInvSlot_"&amp;VLOOKUP(INDIRECT("F37"),Abilities,3,FALSE))&amp;"), \\"</f>
        <v>#N/A</v>
      </c>
      <c r="B126" s="234" t="s">
        <v>340</v>
      </c>
      <c r="C126" s="234"/>
      <c r="D126" s="234"/>
      <c r="E126" s="234"/>
      <c r="F126" s="234"/>
      <c r="G126" s="234"/>
      <c r="H126" s="234"/>
      <c r="I126" s="234"/>
      <c r="J126" s="234"/>
    </row>
    <row r="127" spans="1:10" x14ac:dyDescent="0.25">
      <c r="A127" s="240" t="e">
        <f ca="1">IF(INDIRECT("I37")="","\\","(AbilityName="""&amp;VLOOKUP(INDIRECT("I37"),Abilities,2,FALSE)&amp;""""&amp;IF(VLOOKUP(INDIRECT("I37"),Abilities,3,FALSE)="","",", ApplyToWeaponSlot=eInvSlot_"&amp;VLOOKUP(INDIRECT("I37"),Abilities,3,FALSE))&amp;"), \\")</f>
        <v>#N/A</v>
      </c>
      <c r="B127" s="234" t="s">
        <v>340</v>
      </c>
      <c r="C127" s="234"/>
      <c r="D127" s="234"/>
      <c r="E127" s="234"/>
      <c r="F127" s="234"/>
      <c r="G127" s="234"/>
      <c r="H127" s="234"/>
      <c r="I127" s="234"/>
      <c r="J127" s="234"/>
    </row>
    <row r="128" spans="1:10" x14ac:dyDescent="0.25">
      <c r="A128" s="240" t="str">
        <f ca="1">IF(INDIRECT("L37")="","\\","(AbilityName="""&amp;VLOOKUP(INDIRECT("L37"),Abilities,2,FALSE)&amp;""""&amp;IF(VLOOKUP(INDIRECT("L37"),Abilities,3,FALSE)="","",", ApplyToWeaponSlot=eInvSlot_"&amp;VLOOKUP(INDIRECT("L37"),Abilities,3,FALSE))&amp;"), \\")</f>
        <v>\\</v>
      </c>
      <c r="B128" s="234" t="s">
        <v>340</v>
      </c>
      <c r="C128" s="234"/>
      <c r="D128" s="234"/>
      <c r="E128" s="234"/>
      <c r="F128" s="234"/>
      <c r="G128" s="234"/>
      <c r="H128" s="234"/>
      <c r="I128" s="234"/>
      <c r="J128" s="234"/>
    </row>
    <row r="129" spans="1:10" x14ac:dyDescent="0.25">
      <c r="A129" s="240" t="s">
        <v>337</v>
      </c>
      <c r="B129" s="234" t="s">
        <v>340</v>
      </c>
      <c r="C129" s="234"/>
      <c r="D129" s="234"/>
      <c r="E129" s="234"/>
      <c r="F129" s="234"/>
      <c r="G129" s="234"/>
      <c r="H129" s="234"/>
      <c r="I129" s="234"/>
      <c r="J129" s="234"/>
    </row>
    <row r="130" spans="1:10" x14ac:dyDescent="0.25">
      <c r="A130" s="240"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(StatType=eStat_HP,StatAmount=0), (StatType=eStat_Hacking,StatAmount=0)),\\</v>
      </c>
      <c r="B130" s="234" t="s">
        <v>340</v>
      </c>
      <c r="C130" s="234"/>
      <c r="D130" s="234"/>
      <c r="E130" s="234"/>
      <c r="F130" s="234"/>
      <c r="G130" s="234"/>
      <c r="H130" s="234"/>
      <c r="I130" s="234"/>
      <c r="J130" s="234"/>
    </row>
    <row r="131" spans="1:10" ht="15.75" thickBot="1" x14ac:dyDescent="0.3">
      <c r="A131" s="241" t="s">
        <v>338</v>
      </c>
      <c r="B131" s="234" t="s">
        <v>340</v>
      </c>
      <c r="C131" s="234"/>
      <c r="D131" s="234"/>
      <c r="E131" s="234"/>
      <c r="F131" s="234"/>
      <c r="G131" s="234"/>
      <c r="H131" s="234"/>
      <c r="I131" s="234"/>
      <c r="J131" s="234"/>
    </row>
  </sheetData>
  <sortState ref="V5:W35">
    <sortCondition ref="V35"/>
  </sortState>
  <mergeCells count="140">
    <mergeCell ref="V35:W35"/>
    <mergeCell ref="V28:W28"/>
    <mergeCell ref="V29:W29"/>
    <mergeCell ref="V30:W30"/>
    <mergeCell ref="V31:W31"/>
    <mergeCell ref="V32:W32"/>
    <mergeCell ref="V23:W23"/>
    <mergeCell ref="V24:W24"/>
    <mergeCell ref="V25:W25"/>
    <mergeCell ref="V26:W26"/>
    <mergeCell ref="V27:W27"/>
    <mergeCell ref="V1:Y2"/>
    <mergeCell ref="V3:W3"/>
    <mergeCell ref="X3:Y3"/>
    <mergeCell ref="V4:W4"/>
    <mergeCell ref="X4:Y4"/>
    <mergeCell ref="V11:W11"/>
    <mergeCell ref="X11:Y11"/>
    <mergeCell ref="V12:W12"/>
    <mergeCell ref="X12:Y12"/>
    <mergeCell ref="V8:W8"/>
    <mergeCell ref="X8:Y8"/>
    <mergeCell ref="V9:W9"/>
    <mergeCell ref="X9:Y9"/>
    <mergeCell ref="V10:W10"/>
    <mergeCell ref="X10:Y10"/>
    <mergeCell ref="L33:M33"/>
    <mergeCell ref="F34:H35"/>
    <mergeCell ref="I34:K35"/>
    <mergeCell ref="L34:N35"/>
    <mergeCell ref="V5:W5"/>
    <mergeCell ref="X5:Y5"/>
    <mergeCell ref="V6:W6"/>
    <mergeCell ref="X6:Y6"/>
    <mergeCell ref="V7:W7"/>
    <mergeCell ref="X7:Y7"/>
    <mergeCell ref="V13:W13"/>
    <mergeCell ref="X13:Y13"/>
    <mergeCell ref="V18:W18"/>
    <mergeCell ref="V19:W19"/>
    <mergeCell ref="V20:W20"/>
    <mergeCell ref="V21:W21"/>
    <mergeCell ref="V22:W22"/>
    <mergeCell ref="V14:W14"/>
    <mergeCell ref="X14:Y14"/>
    <mergeCell ref="V15:W15"/>
    <mergeCell ref="V16:W16"/>
    <mergeCell ref="V17:W17"/>
    <mergeCell ref="V33:W33"/>
    <mergeCell ref="V34:W34"/>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F36:N36"/>
    <mergeCell ref="F37:G37"/>
    <mergeCell ref="I37:J37"/>
    <mergeCell ref="L37:M37"/>
    <mergeCell ref="F38:H39"/>
    <mergeCell ref="I38:K39"/>
    <mergeCell ref="L38:N39"/>
    <mergeCell ref="I33:J33"/>
    <mergeCell ref="I17:J17"/>
    <mergeCell ref="L17:M17"/>
    <mergeCell ref="C12:D12"/>
    <mergeCell ref="F12:N12"/>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C10:D10"/>
    <mergeCell ref="F10:H10"/>
    <mergeCell ref="I10:K10"/>
    <mergeCell ref="L10:N10"/>
    <mergeCell ref="C11:D11"/>
    <mergeCell ref="F11:H11"/>
    <mergeCell ref="I11:K11"/>
    <mergeCell ref="L11:N11"/>
    <mergeCell ref="O1:U2"/>
    <mergeCell ref="A3:B3"/>
    <mergeCell ref="C3:E3"/>
    <mergeCell ref="F3:N3"/>
    <mergeCell ref="A4:B4"/>
    <mergeCell ref="C4:E5"/>
    <mergeCell ref="F4:G4"/>
    <mergeCell ref="I4:J4"/>
    <mergeCell ref="L4:M4"/>
    <mergeCell ref="F5:H6"/>
    <mergeCell ref="I5:K6"/>
    <mergeCell ref="L5:N6"/>
    <mergeCell ref="C6:D6"/>
    <mergeCell ref="A40:B41"/>
    <mergeCell ref="C40:E41"/>
    <mergeCell ref="A42:B42"/>
    <mergeCell ref="C42:D42"/>
    <mergeCell ref="E42:F42"/>
    <mergeCell ref="A1:B2"/>
    <mergeCell ref="C1:E2"/>
    <mergeCell ref="F1:N2"/>
    <mergeCell ref="C7:D7"/>
    <mergeCell ref="F7:G7"/>
    <mergeCell ref="I7:J7"/>
    <mergeCell ref="L7:M7"/>
    <mergeCell ref="C8:D8"/>
    <mergeCell ref="F8:H9"/>
    <mergeCell ref="I8:K9"/>
    <mergeCell ref="L8:N9"/>
    <mergeCell ref="C9:D9"/>
    <mergeCell ref="F14:H15"/>
    <mergeCell ref="I14:K15"/>
    <mergeCell ref="L14:N15"/>
    <mergeCell ref="F16:N16"/>
    <mergeCell ref="F17:G17"/>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79874"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79875"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79876"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79877"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79878"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79879"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79880"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79881"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79882"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79883"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79884"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79885"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F4</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I13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E16" sqref="E16"/>
    </sheetView>
  </sheetViews>
  <sheetFormatPr defaultRowHeight="15" x14ac:dyDescent="0.25"/>
  <cols>
    <col min="2" max="2" width="9" customWidth="1"/>
    <col min="6" max="6" width="9" customWidth="1"/>
    <col min="15" max="15" width="10.5703125" bestFit="1" customWidth="1"/>
  </cols>
  <sheetData>
    <row r="1" spans="1:25" ht="18.75" customHeight="1" x14ac:dyDescent="0.25">
      <c r="A1" s="90" t="s">
        <v>308</v>
      </c>
      <c r="B1" s="91"/>
      <c r="C1" s="94" t="s">
        <v>899</v>
      </c>
      <c r="D1" s="95"/>
      <c r="E1" s="95"/>
      <c r="F1" s="98" t="s">
        <v>324</v>
      </c>
      <c r="G1" s="99"/>
      <c r="H1" s="99"/>
      <c r="I1" s="99"/>
      <c r="J1" s="99"/>
      <c r="K1" s="99"/>
      <c r="L1" s="99"/>
      <c r="M1" s="99"/>
      <c r="N1" s="99"/>
      <c r="O1" s="100" t="s">
        <v>325</v>
      </c>
      <c r="P1" s="101"/>
      <c r="Q1" s="101"/>
      <c r="R1" s="101"/>
      <c r="S1" s="101"/>
      <c r="T1" s="101"/>
      <c r="U1" s="102"/>
      <c r="V1" s="196" t="s">
        <v>776</v>
      </c>
      <c r="W1" s="197"/>
      <c r="X1" s="197"/>
      <c r="Y1" s="197"/>
    </row>
    <row r="2" spans="1:25" ht="15" customHeight="1" thickBot="1" x14ac:dyDescent="0.3">
      <c r="A2" s="92"/>
      <c r="B2" s="93"/>
      <c r="C2" s="96"/>
      <c r="D2" s="97"/>
      <c r="E2" s="97"/>
      <c r="F2" s="98"/>
      <c r="G2" s="99"/>
      <c r="H2" s="99"/>
      <c r="I2" s="99"/>
      <c r="J2" s="99"/>
      <c r="K2" s="99"/>
      <c r="L2" s="99"/>
      <c r="M2" s="99"/>
      <c r="N2" s="99"/>
      <c r="O2" s="103"/>
      <c r="P2" s="104"/>
      <c r="Q2" s="104"/>
      <c r="R2" s="104"/>
      <c r="S2" s="104"/>
      <c r="T2" s="104"/>
      <c r="U2" s="105"/>
      <c r="V2" s="198"/>
      <c r="W2" s="199"/>
      <c r="X2" s="199"/>
      <c r="Y2" s="199"/>
    </row>
    <row r="3" spans="1:25" ht="18" thickBot="1" x14ac:dyDescent="0.35">
      <c r="A3" s="106" t="s">
        <v>309</v>
      </c>
      <c r="B3" s="107"/>
      <c r="C3" s="108" t="str">
        <f>Output!$L$1&amp;SUBSTITUTE(C1," ","")</f>
        <v>LWD_Artillery</v>
      </c>
      <c r="D3" s="109"/>
      <c r="E3" s="109"/>
      <c r="F3" s="110" t="s">
        <v>12</v>
      </c>
      <c r="G3" s="111"/>
      <c r="H3" s="111"/>
      <c r="I3" s="111"/>
      <c r="J3" s="111"/>
      <c r="K3" s="111"/>
      <c r="L3" s="111"/>
      <c r="M3" s="111"/>
      <c r="N3" s="112"/>
      <c r="O3" s="15"/>
      <c r="P3" s="16" t="s">
        <v>79</v>
      </c>
      <c r="Q3" s="17" t="s">
        <v>326</v>
      </c>
      <c r="R3" s="17" t="s">
        <v>328</v>
      </c>
      <c r="S3" s="17" t="s">
        <v>327</v>
      </c>
      <c r="T3" s="17" t="s">
        <v>330</v>
      </c>
      <c r="U3" s="18" t="s">
        <v>329</v>
      </c>
      <c r="V3" s="200" t="s">
        <v>810</v>
      </c>
      <c r="W3" s="201"/>
      <c r="X3" s="200" t="s">
        <v>811</v>
      </c>
      <c r="Y3" s="201"/>
    </row>
    <row r="4" spans="1:25" ht="18" thickTop="1" x14ac:dyDescent="0.3">
      <c r="A4" s="113" t="s">
        <v>310</v>
      </c>
      <c r="B4" s="114"/>
      <c r="C4" s="115" t="s">
        <v>314</v>
      </c>
      <c r="D4" s="116"/>
      <c r="E4" s="116"/>
      <c r="F4" s="119" t="s">
        <v>433</v>
      </c>
      <c r="G4" s="120"/>
      <c r="H4" s="4" t="str">
        <f>IFERROR(VLOOKUP(F4,Abilities,4,FALSE),"")</f>
        <v>LW2</v>
      </c>
      <c r="I4" s="121" t="s">
        <v>53</v>
      </c>
      <c r="J4" s="120"/>
      <c r="K4" s="35" t="str">
        <f>IFERROR(VLOOKUP(I4,Abilities,4,FALSE),"")</f>
        <v>XCOM2</v>
      </c>
      <c r="L4" s="122"/>
      <c r="M4" s="120"/>
      <c r="N4" s="10" t="str">
        <f>IFERROR(VLOOKUP(L4,Abilities,4,FALSE),"")</f>
        <v/>
      </c>
      <c r="O4" s="19" t="s">
        <v>12</v>
      </c>
      <c r="P4" s="4">
        <v>7</v>
      </c>
      <c r="Q4" s="20">
        <v>0</v>
      </c>
      <c r="R4" s="20"/>
      <c r="S4" s="4">
        <v>0</v>
      </c>
      <c r="T4" s="4">
        <v>1</v>
      </c>
      <c r="U4" s="10"/>
      <c r="V4" s="192" t="s">
        <v>777</v>
      </c>
      <c r="W4" s="193"/>
      <c r="X4" s="192" t="s">
        <v>801</v>
      </c>
      <c r="Y4" s="193"/>
    </row>
    <row r="5" spans="1:25" ht="15" customHeight="1" x14ac:dyDescent="0.25">
      <c r="A5" s="6"/>
      <c r="B5" s="5" t="b">
        <v>0</v>
      </c>
      <c r="C5" s="117"/>
      <c r="D5" s="118"/>
      <c r="E5" s="118"/>
      <c r="F5" s="123" t="str">
        <f>IFERROR(VLOOKUP(F4,Abilities,7,FALSE),"")</f>
        <v>This soldier is trained to use the XCOM gauntlet, a combination rocket launcher and flamethrower.</v>
      </c>
      <c r="G5" s="124"/>
      <c r="H5" s="125"/>
      <c r="I5" s="129" t="str">
        <f>IFERROR(VLOOKUP(I4,Abilities,7,FALSE),"")</f>
        <v>You can target enemies within squadmates' sight, provided there is line of sight to the target.</v>
      </c>
      <c r="J5" s="130"/>
      <c r="K5" s="131"/>
      <c r="L5" s="130" t="str">
        <f>IFERROR(VLOOKUP(L4,Abilities,7,FALSE),"")</f>
        <v/>
      </c>
      <c r="M5" s="130"/>
      <c r="N5" s="135"/>
      <c r="O5" s="26" t="s">
        <v>456</v>
      </c>
      <c r="P5" s="27">
        <v>3</v>
      </c>
      <c r="Q5" s="28">
        <v>0</v>
      </c>
      <c r="R5" s="28"/>
      <c r="S5" s="27">
        <v>0</v>
      </c>
      <c r="T5" s="27"/>
      <c r="U5" s="29"/>
      <c r="V5" s="190" t="s">
        <v>821</v>
      </c>
      <c r="W5" s="191"/>
      <c r="X5" s="190" t="s">
        <v>802</v>
      </c>
      <c r="Y5" s="191"/>
    </row>
    <row r="6" spans="1:25" ht="15" customHeight="1" x14ac:dyDescent="0.25">
      <c r="A6" s="6"/>
      <c r="B6" s="5" t="b">
        <v>0</v>
      </c>
      <c r="C6" s="137" t="s">
        <v>315</v>
      </c>
      <c r="D6" s="138"/>
      <c r="E6" s="11">
        <v>0</v>
      </c>
      <c r="F6" s="126"/>
      <c r="G6" s="127"/>
      <c r="H6" s="128"/>
      <c r="I6" s="132"/>
      <c r="J6" s="133"/>
      <c r="K6" s="134"/>
      <c r="L6" s="133"/>
      <c r="M6" s="133"/>
      <c r="N6" s="136"/>
      <c r="O6" s="19" t="s">
        <v>15</v>
      </c>
      <c r="P6" s="4">
        <v>3</v>
      </c>
      <c r="Q6" s="20">
        <v>1</v>
      </c>
      <c r="R6" s="20"/>
      <c r="S6" s="4">
        <v>0</v>
      </c>
      <c r="T6" s="4"/>
      <c r="U6" s="10"/>
      <c r="V6" s="192" t="s">
        <v>778</v>
      </c>
      <c r="W6" s="193"/>
      <c r="X6" s="192" t="s">
        <v>803</v>
      </c>
      <c r="Y6" s="193"/>
    </row>
    <row r="7" spans="1:25" ht="15" customHeight="1" x14ac:dyDescent="0.25">
      <c r="A7" s="6"/>
      <c r="B7" s="5" t="b">
        <v>0</v>
      </c>
      <c r="C7" s="137" t="s">
        <v>316</v>
      </c>
      <c r="D7" s="138"/>
      <c r="E7" s="11">
        <v>4</v>
      </c>
      <c r="F7" s="139"/>
      <c r="G7" s="140"/>
      <c r="H7" s="4" t="str">
        <f>IFERROR(VLOOKUP(F7,Abilities,4,FALSE),"")</f>
        <v/>
      </c>
      <c r="I7" s="141"/>
      <c r="J7" s="140"/>
      <c r="K7" s="4" t="str">
        <f>IFERROR(VLOOKUP(I7,Abilities,4,FALSE),"")</f>
        <v/>
      </c>
      <c r="L7" s="142"/>
      <c r="M7" s="140"/>
      <c r="N7" s="10" t="str">
        <f>IFERROR(VLOOKUP(L7,Abilities,4,FALSE),"")</f>
        <v/>
      </c>
      <c r="O7" s="26" t="s">
        <v>21</v>
      </c>
      <c r="P7" s="27">
        <v>3</v>
      </c>
      <c r="Q7" s="28">
        <v>0</v>
      </c>
      <c r="R7" s="28"/>
      <c r="S7" s="27">
        <v>0</v>
      </c>
      <c r="T7" s="27"/>
      <c r="U7" s="29"/>
      <c r="V7" s="190" t="s">
        <v>779</v>
      </c>
      <c r="W7" s="191"/>
      <c r="X7" s="190" t="s">
        <v>804</v>
      </c>
      <c r="Y7" s="191"/>
    </row>
    <row r="8" spans="1:25" ht="15" customHeight="1" thickBot="1" x14ac:dyDescent="0.3">
      <c r="A8" s="6"/>
      <c r="B8" s="5" t="b">
        <v>1</v>
      </c>
      <c r="C8" s="137" t="s">
        <v>317</v>
      </c>
      <c r="D8" s="143"/>
      <c r="E8" s="12" t="s">
        <v>1150</v>
      </c>
      <c r="F8" s="144" t="str">
        <f>IFERROR(VLOOKUP(F7,Abilities,7,FALSE),"")</f>
        <v/>
      </c>
      <c r="G8" s="130"/>
      <c r="H8" s="131"/>
      <c r="I8" s="129" t="str">
        <f>IFERROR(VLOOKUP(I7,Abilities,7,FALSE),"")</f>
        <v/>
      </c>
      <c r="J8" s="130"/>
      <c r="K8" s="131"/>
      <c r="L8" s="130" t="str">
        <f>IFERROR(VLOOKUP(L7,Abilities,7,FALSE),"")</f>
        <v/>
      </c>
      <c r="M8" s="130"/>
      <c r="N8" s="135"/>
      <c r="O8" s="21" t="s">
        <v>457</v>
      </c>
      <c r="P8" s="4">
        <v>3</v>
      </c>
      <c r="Q8" s="20">
        <v>0</v>
      </c>
      <c r="R8" s="20"/>
      <c r="S8" s="4">
        <v>0</v>
      </c>
      <c r="T8" s="4"/>
      <c r="U8" s="10"/>
      <c r="V8" s="192" t="s">
        <v>909</v>
      </c>
      <c r="W8" s="193"/>
      <c r="X8" s="194" t="s">
        <v>805</v>
      </c>
      <c r="Y8" s="195"/>
    </row>
    <row r="9" spans="1:25" ht="15.75" thickBot="1" x14ac:dyDescent="0.3">
      <c r="A9" s="6"/>
      <c r="B9" s="5" t="b">
        <v>1</v>
      </c>
      <c r="C9" s="137" t="s">
        <v>319</v>
      </c>
      <c r="D9" s="143"/>
      <c r="E9" s="12">
        <v>1</v>
      </c>
      <c r="F9" s="145"/>
      <c r="G9" s="133"/>
      <c r="H9" s="134"/>
      <c r="I9" s="146"/>
      <c r="J9" s="147"/>
      <c r="K9" s="148"/>
      <c r="L9" s="133"/>
      <c r="M9" s="133"/>
      <c r="N9" s="136"/>
      <c r="O9" s="26" t="s">
        <v>458</v>
      </c>
      <c r="P9" s="27">
        <v>3</v>
      </c>
      <c r="Q9" s="28">
        <v>0</v>
      </c>
      <c r="R9" s="28"/>
      <c r="S9" s="27">
        <v>0</v>
      </c>
      <c r="T9" s="27"/>
      <c r="U9" s="29"/>
      <c r="V9" s="190" t="s">
        <v>781</v>
      </c>
      <c r="W9" s="191"/>
      <c r="X9" s="200" t="s">
        <v>812</v>
      </c>
      <c r="Y9" s="201"/>
    </row>
    <row r="10" spans="1:25" ht="18.75" x14ac:dyDescent="0.3">
      <c r="A10" s="6"/>
      <c r="B10" s="5" t="b">
        <v>0</v>
      </c>
      <c r="C10" s="137" t="s">
        <v>318</v>
      </c>
      <c r="D10" s="143"/>
      <c r="E10" s="12">
        <v>4</v>
      </c>
      <c r="F10" s="157" t="s">
        <v>311</v>
      </c>
      <c r="G10" s="158"/>
      <c r="H10" s="159"/>
      <c r="I10" s="160" t="s">
        <v>349</v>
      </c>
      <c r="J10" s="158"/>
      <c r="K10" s="159"/>
      <c r="L10" s="158" t="s">
        <v>312</v>
      </c>
      <c r="M10" s="158"/>
      <c r="N10" s="161"/>
      <c r="O10" s="36" t="s">
        <v>459</v>
      </c>
      <c r="P10" s="37">
        <v>3</v>
      </c>
      <c r="Q10" s="37">
        <v>1</v>
      </c>
      <c r="R10" s="37"/>
      <c r="S10" s="37">
        <v>0</v>
      </c>
      <c r="T10" s="37"/>
      <c r="U10" s="38"/>
      <c r="V10" s="192" t="s">
        <v>782</v>
      </c>
      <c r="W10" s="193"/>
      <c r="X10" s="192" t="s">
        <v>806</v>
      </c>
      <c r="Y10" s="193"/>
    </row>
    <row r="11" spans="1:25" ht="15.75" customHeight="1" thickBot="1" x14ac:dyDescent="0.3">
      <c r="A11" s="6"/>
      <c r="B11" s="5" t="b">
        <v>0</v>
      </c>
      <c r="C11" s="137" t="s">
        <v>320</v>
      </c>
      <c r="D11" s="143"/>
      <c r="E11" s="12">
        <v>4</v>
      </c>
      <c r="F11" s="162" t="s">
        <v>1105</v>
      </c>
      <c r="G11" s="163"/>
      <c r="H11" s="164"/>
      <c r="I11" s="165"/>
      <c r="J11" s="163"/>
      <c r="K11" s="164"/>
      <c r="L11" s="163" t="s">
        <v>898</v>
      </c>
      <c r="M11" s="163"/>
      <c r="N11" s="166"/>
      <c r="O11" s="39" t="s">
        <v>460</v>
      </c>
      <c r="P11" s="40">
        <v>3</v>
      </c>
      <c r="Q11" s="41">
        <v>0</v>
      </c>
      <c r="R11" s="41"/>
      <c r="S11" s="40">
        <v>0</v>
      </c>
      <c r="T11" s="40"/>
      <c r="U11" s="42"/>
      <c r="V11" s="190" t="s">
        <v>824</v>
      </c>
      <c r="W11" s="191"/>
      <c r="X11" s="190" t="s">
        <v>807</v>
      </c>
      <c r="Y11" s="191"/>
    </row>
    <row r="12" spans="1:25" ht="18" customHeight="1" thickBot="1" x14ac:dyDescent="0.35">
      <c r="A12" s="6"/>
      <c r="B12" s="5" t="b">
        <v>0</v>
      </c>
      <c r="C12" s="137" t="s">
        <v>321</v>
      </c>
      <c r="D12" s="143"/>
      <c r="E12" s="12">
        <v>1</v>
      </c>
      <c r="F12" s="169" t="s">
        <v>443</v>
      </c>
      <c r="G12" s="170"/>
      <c r="H12" s="170"/>
      <c r="I12" s="170"/>
      <c r="J12" s="170"/>
      <c r="K12" s="170"/>
      <c r="L12" s="170"/>
      <c r="M12" s="170"/>
      <c r="N12" s="171"/>
      <c r="O12" s="149" t="s">
        <v>813</v>
      </c>
      <c r="P12" s="150"/>
      <c r="Q12" s="150"/>
      <c r="R12" s="150"/>
      <c r="S12" s="150"/>
      <c r="T12" s="150"/>
      <c r="U12" s="151"/>
      <c r="V12" s="192" t="s">
        <v>783</v>
      </c>
      <c r="W12" s="193"/>
      <c r="X12" s="192" t="s">
        <v>808</v>
      </c>
      <c r="Y12" s="193"/>
    </row>
    <row r="13" spans="1:25" ht="16.5" thickTop="1" thickBot="1" x14ac:dyDescent="0.3">
      <c r="A13" s="6"/>
      <c r="B13" s="5" t="b">
        <v>0</v>
      </c>
      <c r="C13" s="155" t="s">
        <v>322</v>
      </c>
      <c r="D13" s="156"/>
      <c r="E13" s="13" t="s">
        <v>323</v>
      </c>
      <c r="F13" s="119" t="s">
        <v>1106</v>
      </c>
      <c r="G13" s="120"/>
      <c r="H13" s="4" t="str">
        <f>IFERROR(VLOOKUP(F13,Abilities,4,FALSE),"")</f>
        <v>LWD</v>
      </c>
      <c r="I13" s="121" t="s">
        <v>962</v>
      </c>
      <c r="J13" s="120"/>
      <c r="K13" s="35" t="str">
        <f>IFERROR(VLOOKUP(I13,Abilities,4,FALSE),"")</f>
        <v>BLANK</v>
      </c>
      <c r="L13" s="122" t="s">
        <v>437</v>
      </c>
      <c r="M13" s="120"/>
      <c r="N13" s="10" t="str">
        <f>IFERROR(VLOOKUP(L13,Abilities,4,FALSE),"")</f>
        <v>LW2</v>
      </c>
      <c r="O13" s="152"/>
      <c r="P13" s="153"/>
      <c r="Q13" s="153"/>
      <c r="R13" s="153"/>
      <c r="S13" s="153"/>
      <c r="T13" s="153"/>
      <c r="U13" s="154"/>
      <c r="V13" s="190" t="s">
        <v>818</v>
      </c>
      <c r="W13" s="191"/>
      <c r="X13" s="190" t="s">
        <v>809</v>
      </c>
      <c r="Y13" s="191"/>
    </row>
    <row r="14" spans="1:25" ht="15.75" thickBot="1" x14ac:dyDescent="0.3">
      <c r="A14" s="6"/>
      <c r="B14" s="7" t="b">
        <v>0</v>
      </c>
      <c r="F14" s="144" t="str">
        <f>IFERROR(VLOOKUP(F13,Abilities,7,FALSE),"")</f>
        <v>Your attacks pierce armor. Higher tier weapons pierce more armor and shred.</v>
      </c>
      <c r="G14" s="130"/>
      <c r="H14" s="131"/>
      <c r="I14" s="129" t="str">
        <f>IFERROR(VLOOKUP(I13,Abilities,7,FALSE),"")</f>
        <v xml:space="preserve"> </v>
      </c>
      <c r="J14" s="130"/>
      <c r="K14" s="131"/>
      <c r="L14" s="130">
        <f>IFERROR(VLOOKUP(L13,Abilities,7,FALSE),"")</f>
        <v>0</v>
      </c>
      <c r="M14" s="130"/>
      <c r="N14" s="135"/>
      <c r="O14" s="22"/>
      <c r="P14" s="23" t="s">
        <v>331</v>
      </c>
      <c r="Q14" s="24" t="s">
        <v>332</v>
      </c>
      <c r="R14" s="24" t="s">
        <v>333</v>
      </c>
      <c r="S14" s="24" t="s">
        <v>334</v>
      </c>
      <c r="T14" s="24" t="s">
        <v>336</v>
      </c>
      <c r="U14" s="25" t="s">
        <v>335</v>
      </c>
      <c r="V14" s="192" t="s">
        <v>784</v>
      </c>
      <c r="W14" s="193"/>
      <c r="X14" s="194" t="s">
        <v>814</v>
      </c>
      <c r="Y14" s="195"/>
    </row>
    <row r="15" spans="1:25" ht="15.75" thickBot="1" x14ac:dyDescent="0.3">
      <c r="A15" s="6"/>
      <c r="B15" s="7" t="b">
        <v>0</v>
      </c>
      <c r="F15" s="167"/>
      <c r="G15" s="147"/>
      <c r="H15" s="148"/>
      <c r="I15" s="146"/>
      <c r="J15" s="147"/>
      <c r="K15" s="148"/>
      <c r="L15" s="147"/>
      <c r="M15" s="147"/>
      <c r="N15" s="168"/>
      <c r="O15" s="19" t="s">
        <v>12</v>
      </c>
      <c r="P15" s="4"/>
      <c r="Q15" s="20">
        <v>3</v>
      </c>
      <c r="R15" s="20"/>
      <c r="S15" s="4"/>
      <c r="T15" s="4"/>
      <c r="U15" s="10"/>
      <c r="V15" s="190" t="s">
        <v>823</v>
      </c>
      <c r="W15" s="191"/>
    </row>
    <row r="16" spans="1:25" ht="18" thickBot="1" x14ac:dyDescent="0.35">
      <c r="A16" s="6"/>
      <c r="B16" s="7" t="b">
        <v>0</v>
      </c>
      <c r="F16" s="169" t="s">
        <v>15</v>
      </c>
      <c r="G16" s="170"/>
      <c r="H16" s="170"/>
      <c r="I16" s="170"/>
      <c r="J16" s="170"/>
      <c r="K16" s="170"/>
      <c r="L16" s="170"/>
      <c r="M16" s="170"/>
      <c r="N16" s="171"/>
      <c r="O16" s="26" t="s">
        <v>456</v>
      </c>
      <c r="P16" s="27"/>
      <c r="Q16" s="28">
        <v>3</v>
      </c>
      <c r="R16" s="28"/>
      <c r="S16" s="27"/>
      <c r="T16" s="27"/>
      <c r="U16" s="29"/>
      <c r="V16" s="192" t="s">
        <v>786</v>
      </c>
      <c r="W16" s="193"/>
    </row>
    <row r="17" spans="1:23" ht="16.5" thickTop="1" thickBot="1" x14ac:dyDescent="0.3">
      <c r="A17" s="8"/>
      <c r="B17" s="9" t="b">
        <v>0</v>
      </c>
      <c r="F17" s="121" t="s">
        <v>962</v>
      </c>
      <c r="G17" s="120"/>
      <c r="H17" s="4" t="str">
        <f>IFERROR(VLOOKUP(F17,Abilities,4,FALSE),"")</f>
        <v>BLANK</v>
      </c>
      <c r="I17" s="121" t="s">
        <v>441</v>
      </c>
      <c r="J17" s="120"/>
      <c r="K17" s="35" t="str">
        <f>IFERROR(VLOOKUP(I17,Abilities,4,FALSE),"")</f>
        <v>LW2</v>
      </c>
      <c r="L17" s="121" t="s">
        <v>962</v>
      </c>
      <c r="M17" s="120"/>
      <c r="N17" s="10" t="str">
        <f>IFERROR(VLOOKUP(L17,Abilities,4,FALSE),"")</f>
        <v>BLANK</v>
      </c>
      <c r="O17" s="19" t="s">
        <v>15</v>
      </c>
      <c r="P17" s="4"/>
      <c r="Q17" s="20"/>
      <c r="R17" s="20"/>
      <c r="S17" s="4"/>
      <c r="T17" s="4"/>
      <c r="U17" s="10"/>
      <c r="V17" s="190" t="s">
        <v>910</v>
      </c>
      <c r="W17" s="191"/>
    </row>
    <row r="18" spans="1:23" x14ac:dyDescent="0.25">
      <c r="A18" s="172" t="s">
        <v>344</v>
      </c>
      <c r="B18" s="173"/>
      <c r="F18" s="144" t="str">
        <f>IFERROR(VLOOKUP(F17,Abilities,7,FALSE),"")</f>
        <v xml:space="preserve"> </v>
      </c>
      <c r="G18" s="130"/>
      <c r="H18" s="131"/>
      <c r="I18" s="129" t="str">
        <f>IFERROR(VLOOKUP(I17,Abilities,7,FALSE),"")</f>
        <v>Your rockets are more accurate.</v>
      </c>
      <c r="J18" s="130"/>
      <c r="K18" s="131"/>
      <c r="L18" s="130" t="str">
        <f>IFERROR(VLOOKUP(L17,Abilities,7,FALSE),"")</f>
        <v xml:space="preserve"> </v>
      </c>
      <c r="M18" s="130"/>
      <c r="N18" s="135"/>
      <c r="O18" s="26" t="s">
        <v>21</v>
      </c>
      <c r="P18" s="27"/>
      <c r="Q18" s="28"/>
      <c r="R18" s="28"/>
      <c r="S18" s="27"/>
      <c r="T18" s="27"/>
      <c r="U18" s="29"/>
      <c r="V18" s="192" t="s">
        <v>788</v>
      </c>
      <c r="W18" s="193"/>
    </row>
    <row r="19" spans="1:23" ht="15.75" thickBot="1" x14ac:dyDescent="0.3">
      <c r="A19" s="174"/>
      <c r="B19" s="175"/>
      <c r="D19" s="3"/>
      <c r="F19" s="167"/>
      <c r="G19" s="147"/>
      <c r="H19" s="148"/>
      <c r="I19" s="146"/>
      <c r="J19" s="147"/>
      <c r="K19" s="148"/>
      <c r="L19" s="147"/>
      <c r="M19" s="147"/>
      <c r="N19" s="168"/>
      <c r="O19" s="21" t="s">
        <v>457</v>
      </c>
      <c r="P19" s="4"/>
      <c r="Q19" s="20"/>
      <c r="R19" s="20"/>
      <c r="S19" s="4"/>
      <c r="T19" s="4"/>
      <c r="U19" s="10"/>
      <c r="V19" s="190" t="s">
        <v>789</v>
      </c>
      <c r="W19" s="191"/>
    </row>
    <row r="20" spans="1:23" ht="18" thickBot="1" x14ac:dyDescent="0.35">
      <c r="A20" s="176" t="s">
        <v>1107</v>
      </c>
      <c r="B20" s="177"/>
      <c r="C20" s="178"/>
      <c r="D20" s="178"/>
      <c r="E20" s="179"/>
      <c r="F20" s="169" t="s">
        <v>21</v>
      </c>
      <c r="G20" s="170"/>
      <c r="H20" s="170"/>
      <c r="I20" s="170"/>
      <c r="J20" s="170"/>
      <c r="K20" s="170"/>
      <c r="L20" s="170"/>
      <c r="M20" s="170"/>
      <c r="N20" s="171"/>
      <c r="O20" s="26" t="s">
        <v>458</v>
      </c>
      <c r="P20" s="27"/>
      <c r="Q20" s="28"/>
      <c r="R20" s="28"/>
      <c r="S20" s="27"/>
      <c r="T20" s="27"/>
      <c r="U20" s="29"/>
      <c r="V20" s="192" t="s">
        <v>790</v>
      </c>
      <c r="W20" s="193"/>
    </row>
    <row r="21" spans="1:23" ht="15.75" thickTop="1" x14ac:dyDescent="0.25">
      <c r="A21" s="176"/>
      <c r="B21" s="177"/>
      <c r="C21" s="177"/>
      <c r="D21" s="177"/>
      <c r="E21" s="180"/>
      <c r="F21" s="119" t="s">
        <v>988</v>
      </c>
      <c r="G21" s="120"/>
      <c r="H21" s="4" t="str">
        <f>IFERROR(VLOOKUP(F21,Abilities,4,FALSE),"")</f>
        <v>LWD</v>
      </c>
      <c r="I21" s="121" t="s">
        <v>962</v>
      </c>
      <c r="J21" s="120"/>
      <c r="K21" s="35" t="str">
        <f>IFERROR(VLOOKUP(I21,Abilities,4,FALSE),"")</f>
        <v>BLANK</v>
      </c>
      <c r="L21" s="122" t="s">
        <v>297</v>
      </c>
      <c r="M21" s="120"/>
      <c r="N21" s="10" t="str">
        <f>IFERROR(VLOOKUP(L21,Abilities,4,FALSE),"")</f>
        <v>LW2</v>
      </c>
      <c r="O21" s="36" t="s">
        <v>459</v>
      </c>
      <c r="P21" s="37"/>
      <c r="Q21" s="37"/>
      <c r="R21" s="37"/>
      <c r="S21" s="37"/>
      <c r="T21" s="37"/>
      <c r="U21" s="38"/>
      <c r="V21" s="190" t="s">
        <v>791</v>
      </c>
      <c r="W21" s="191"/>
    </row>
    <row r="22" spans="1:23" ht="15.75" thickBot="1" x14ac:dyDescent="0.3">
      <c r="A22" s="181"/>
      <c r="B22" s="182"/>
      <c r="C22" s="182"/>
      <c r="D22" s="182"/>
      <c r="E22" s="183"/>
      <c r="F22" s="144" t="str">
        <f>IFERROR(VLOOKUP(F21,Abilities,7,FALSE),"")</f>
        <v>Activate at the start of your turn; you gain an extra action, but all of your actions must be spent on movement.</v>
      </c>
      <c r="G22" s="130"/>
      <c r="H22" s="131"/>
      <c r="I22" s="129" t="str">
        <f>IFERROR(VLOOKUP(I21,Abilities,7,FALSE),"")</f>
        <v xml:space="preserve"> </v>
      </c>
      <c r="J22" s="130"/>
      <c r="K22" s="131"/>
      <c r="L22" s="130" t="str">
        <f>IFERROR(VLOOKUP(L21,Abilities,7,FALSE),"")</f>
        <v>Your grenades and standard rockets can inflict critical damage (50% chance for +2 damage)</v>
      </c>
      <c r="M22" s="130"/>
      <c r="N22" s="135"/>
      <c r="O22" s="39" t="s">
        <v>460</v>
      </c>
      <c r="P22" s="40"/>
      <c r="Q22" s="41"/>
      <c r="R22" s="41"/>
      <c r="S22" s="40"/>
      <c r="T22" s="40"/>
      <c r="U22" s="42"/>
      <c r="V22" s="192" t="s">
        <v>792</v>
      </c>
      <c r="W22" s="193"/>
    </row>
    <row r="23" spans="1:23" ht="15.75" thickBot="1" x14ac:dyDescent="0.3">
      <c r="A23" s="184" t="s">
        <v>352</v>
      </c>
      <c r="B23" s="185"/>
      <c r="C23" s="185"/>
      <c r="D23" s="185"/>
      <c r="E23" s="186"/>
      <c r="F23" s="167"/>
      <c r="G23" s="147"/>
      <c r="H23" s="148"/>
      <c r="I23" s="146"/>
      <c r="J23" s="147"/>
      <c r="K23" s="148"/>
      <c r="L23" s="147"/>
      <c r="M23" s="147"/>
      <c r="N23" s="168"/>
      <c r="O23" s="14"/>
      <c r="P23" s="14"/>
      <c r="Q23" s="3"/>
      <c r="V23" s="190" t="s">
        <v>793</v>
      </c>
      <c r="W23" s="191"/>
    </row>
    <row r="24" spans="1:23" ht="18" thickBot="1" x14ac:dyDescent="0.35">
      <c r="A24" s="187"/>
      <c r="B24" s="188"/>
      <c r="C24" s="188"/>
      <c r="D24" s="188"/>
      <c r="E24" s="189"/>
      <c r="F24" s="169" t="s">
        <v>444</v>
      </c>
      <c r="G24" s="170"/>
      <c r="H24" s="170"/>
      <c r="I24" s="170"/>
      <c r="J24" s="170"/>
      <c r="K24" s="170"/>
      <c r="L24" s="170"/>
      <c r="M24" s="170"/>
      <c r="N24" s="171"/>
      <c r="O24" s="14"/>
      <c r="P24" s="14"/>
      <c r="Q24" s="3"/>
      <c r="V24" s="192" t="s">
        <v>794</v>
      </c>
      <c r="W24" s="193"/>
    </row>
    <row r="25" spans="1:23" ht="15.75" thickTop="1" x14ac:dyDescent="0.25">
      <c r="A25" s="50"/>
      <c r="B25" s="51"/>
      <c r="C25" s="51"/>
      <c r="D25" s="51"/>
      <c r="E25" s="52"/>
      <c r="F25" s="119" t="s">
        <v>55</v>
      </c>
      <c r="G25" s="120"/>
      <c r="H25" s="4" t="str">
        <f>IFERROR(VLOOKUP(F25,Abilities,4,FALSE),"")</f>
        <v>XCOM2</v>
      </c>
      <c r="I25" s="121" t="s">
        <v>962</v>
      </c>
      <c r="J25" s="120"/>
      <c r="K25" s="35" t="str">
        <f>IFERROR(VLOOKUP(I25,Abilities,4,FALSE),"")</f>
        <v>BLANK</v>
      </c>
      <c r="L25" s="122" t="s">
        <v>1110</v>
      </c>
      <c r="M25" s="120"/>
      <c r="N25" s="10" t="str">
        <f>IFERROR(VLOOKUP(L25,Abilities,4,FALSE),"")</f>
        <v>LWD</v>
      </c>
      <c r="O25" s="14"/>
      <c r="P25" s="14"/>
      <c r="Q25" s="3"/>
      <c r="V25" s="190" t="s">
        <v>795</v>
      </c>
      <c r="W25" s="191"/>
    </row>
    <row r="26" spans="1:23" x14ac:dyDescent="0.25">
      <c r="A26" s="50"/>
      <c r="B26" s="51"/>
      <c r="C26" s="51"/>
      <c r="D26" s="51"/>
      <c r="E26" s="52"/>
      <c r="F26" s="144" t="str">
        <f>IFERROR(VLOOKUP(F25,Abilities,7,FALSE),"")</f>
        <v>Allow Overwatch to trigger with Squadsight.</v>
      </c>
      <c r="G26" s="130"/>
      <c r="H26" s="131"/>
      <c r="I26" s="129" t="str">
        <f>IFERROR(VLOOKUP(I25,Abilities,7,FALSE),"")</f>
        <v xml:space="preserve"> </v>
      </c>
      <c r="J26" s="130"/>
      <c r="K26" s="131"/>
      <c r="L26" s="130" t="str">
        <f>IFERROR(VLOOKUP(L25,Abilities,7,FALSE),"")</f>
        <v>You carry an additional rocket into battle.</v>
      </c>
      <c r="M26" s="130"/>
      <c r="N26" s="135"/>
      <c r="O26" s="14"/>
      <c r="P26" s="14"/>
      <c r="Q26" s="3"/>
      <c r="V26" s="192" t="s">
        <v>797</v>
      </c>
      <c r="W26" s="193"/>
    </row>
    <row r="27" spans="1:23" ht="15.75" thickBot="1" x14ac:dyDescent="0.3">
      <c r="A27" s="50"/>
      <c r="B27" s="51"/>
      <c r="C27" s="51"/>
      <c r="D27" s="51"/>
      <c r="E27" s="52"/>
      <c r="F27" s="167"/>
      <c r="G27" s="147"/>
      <c r="H27" s="148"/>
      <c r="I27" s="146"/>
      <c r="J27" s="147"/>
      <c r="K27" s="148"/>
      <c r="L27" s="147"/>
      <c r="M27" s="147"/>
      <c r="N27" s="168"/>
      <c r="O27" s="14"/>
      <c r="P27" s="14"/>
      <c r="Q27" s="3"/>
      <c r="V27" s="190" t="s">
        <v>798</v>
      </c>
      <c r="W27" s="191"/>
    </row>
    <row r="28" spans="1:23" ht="18" thickBot="1" x14ac:dyDescent="0.35">
      <c r="A28" s="50"/>
      <c r="B28" s="51"/>
      <c r="C28" s="51"/>
      <c r="D28" s="51"/>
      <c r="E28" s="52"/>
      <c r="F28" s="169" t="s">
        <v>445</v>
      </c>
      <c r="G28" s="170"/>
      <c r="H28" s="170"/>
      <c r="I28" s="170"/>
      <c r="J28" s="170"/>
      <c r="K28" s="170"/>
      <c r="L28" s="170"/>
      <c r="M28" s="170"/>
      <c r="N28" s="171"/>
      <c r="O28" s="14"/>
      <c r="P28" s="14"/>
      <c r="Q28" s="3"/>
      <c r="V28" s="192" t="s">
        <v>799</v>
      </c>
      <c r="W28" s="193"/>
    </row>
    <row r="29" spans="1:23" ht="15.75" thickTop="1" x14ac:dyDescent="0.25">
      <c r="A29" s="50"/>
      <c r="B29" s="51"/>
      <c r="C29" s="51"/>
      <c r="D29" s="51"/>
      <c r="E29" s="52"/>
      <c r="F29" s="119" t="s">
        <v>61</v>
      </c>
      <c r="G29" s="120"/>
      <c r="H29" s="4" t="str">
        <f>IFERROR(VLOOKUP(F29,Abilities,4,FALSE),"")</f>
        <v>XCOM2</v>
      </c>
      <c r="I29" s="121" t="s">
        <v>962</v>
      </c>
      <c r="J29" s="120"/>
      <c r="K29" s="35" t="str">
        <f>IFERROR(VLOOKUP(I29,Abilities,4,FALSE),"")</f>
        <v>BLANK</v>
      </c>
      <c r="L29" s="122" t="s">
        <v>418</v>
      </c>
      <c r="M29" s="120"/>
      <c r="N29" s="10" t="str">
        <f>IFERROR(VLOOKUP(L29,Abilities,4,FALSE),"")</f>
        <v>LW2</v>
      </c>
      <c r="O29" s="14"/>
      <c r="P29" s="14"/>
      <c r="Q29" s="3"/>
      <c r="V29" s="190" t="s">
        <v>825</v>
      </c>
      <c r="W29" s="191"/>
    </row>
    <row r="30" spans="1:23" x14ac:dyDescent="0.25">
      <c r="A30" s="50"/>
      <c r="B30" s="51"/>
      <c r="C30" s="51"/>
      <c r="D30" s="51"/>
      <c r="E30" s="52"/>
      <c r="F30" s="144" t="str">
        <f>IFERROR(VLOOKUP(F29,Abilities,7,FALSE),"")</f>
        <v>Take a shot with a small aim penalty for a significant damage boost. 2 turn cooldown.</v>
      </c>
      <c r="G30" s="130"/>
      <c r="H30" s="131"/>
      <c r="I30" s="129" t="str">
        <f>IFERROR(VLOOKUP(I29,Abilities,7,FALSE),"")</f>
        <v xml:space="preserve"> </v>
      </c>
      <c r="J30" s="130"/>
      <c r="K30" s="131"/>
      <c r="L30" s="130">
        <f>IFERROR(VLOOKUP(L29,Abilities,7,FALSE),"")</f>
        <v>0</v>
      </c>
      <c r="M30" s="130"/>
      <c r="N30" s="135"/>
      <c r="O30" s="14"/>
      <c r="P30" s="14"/>
      <c r="Q30" s="3"/>
      <c r="V30" s="192" t="s">
        <v>819</v>
      </c>
      <c r="W30" s="193"/>
    </row>
    <row r="31" spans="1:23" ht="15.75" thickBot="1" x14ac:dyDescent="0.3">
      <c r="A31" s="50"/>
      <c r="B31" s="51"/>
      <c r="C31" s="51"/>
      <c r="D31" s="51"/>
      <c r="E31" s="52"/>
      <c r="F31" s="167"/>
      <c r="G31" s="147"/>
      <c r="H31" s="148"/>
      <c r="I31" s="146"/>
      <c r="J31" s="147"/>
      <c r="K31" s="148"/>
      <c r="L31" s="147"/>
      <c r="M31" s="147"/>
      <c r="N31" s="168"/>
      <c r="O31" s="14"/>
      <c r="P31" s="14"/>
      <c r="Q31" s="3"/>
      <c r="V31" s="190" t="s">
        <v>820</v>
      </c>
      <c r="W31" s="191"/>
    </row>
    <row r="32" spans="1:23" ht="18" thickBot="1" x14ac:dyDescent="0.35">
      <c r="A32" s="50"/>
      <c r="B32" s="51"/>
      <c r="C32" s="51"/>
      <c r="D32" s="51"/>
      <c r="E32" s="52"/>
      <c r="F32" s="169" t="s">
        <v>446</v>
      </c>
      <c r="G32" s="170"/>
      <c r="H32" s="170"/>
      <c r="I32" s="170"/>
      <c r="J32" s="170"/>
      <c r="K32" s="170"/>
      <c r="L32" s="170"/>
      <c r="M32" s="170"/>
      <c r="N32" s="171"/>
      <c r="O32" s="14"/>
      <c r="P32" s="14"/>
      <c r="Q32" s="3"/>
      <c r="V32" s="192" t="s">
        <v>815</v>
      </c>
      <c r="W32" s="193"/>
    </row>
    <row r="33" spans="1:23" ht="15.75" thickTop="1" x14ac:dyDescent="0.25">
      <c r="A33" s="50"/>
      <c r="B33" s="51"/>
      <c r="C33" s="51"/>
      <c r="D33" s="51"/>
      <c r="E33" s="52"/>
      <c r="F33" s="121" t="s">
        <v>962</v>
      </c>
      <c r="G33" s="120"/>
      <c r="H33" s="4" t="str">
        <f>IFERROR(VLOOKUP(F33,Abilities,4,FALSE),"")</f>
        <v>BLANK</v>
      </c>
      <c r="I33" s="121" t="s">
        <v>439</v>
      </c>
      <c r="J33" s="120"/>
      <c r="K33" s="35" t="str">
        <f>IFERROR(VLOOKUP(I33,Abilities,4,FALSE),"")</f>
        <v>LW2</v>
      </c>
      <c r="L33" s="121" t="s">
        <v>962</v>
      </c>
      <c r="M33" s="120"/>
      <c r="N33" s="10" t="str">
        <f>IFERROR(VLOOKUP(L33,Abilities,4,FALSE),"")</f>
        <v>BLANK</v>
      </c>
      <c r="O33" s="14"/>
      <c r="P33" s="14"/>
      <c r="Q33" s="3"/>
      <c r="V33" s="190" t="s">
        <v>822</v>
      </c>
      <c r="W33" s="191"/>
    </row>
    <row r="34" spans="1:23" x14ac:dyDescent="0.25">
      <c r="A34" s="50"/>
      <c r="B34" s="51"/>
      <c r="C34" s="51"/>
      <c r="D34" s="51"/>
      <c r="E34" s="52"/>
      <c r="F34" s="144" t="str">
        <f>IFERROR(VLOOKUP(F33,Abilities,7,FALSE),"")</f>
        <v xml:space="preserve"> </v>
      </c>
      <c r="G34" s="130"/>
      <c r="H34" s="131"/>
      <c r="I34" s="129">
        <f>IFERROR(VLOOKUP(I33,Abilities,7,FALSE),"")</f>
        <v>0</v>
      </c>
      <c r="J34" s="130"/>
      <c r="K34" s="131"/>
      <c r="L34" s="130" t="str">
        <f>IFERROR(VLOOKUP(L33,Abilities,7,FALSE),"")</f>
        <v xml:space="preserve"> </v>
      </c>
      <c r="M34" s="130"/>
      <c r="N34" s="135"/>
      <c r="O34" s="14"/>
      <c r="P34" s="14"/>
      <c r="Q34" s="3"/>
      <c r="V34" s="192" t="s">
        <v>816</v>
      </c>
      <c r="W34" s="193"/>
    </row>
    <row r="35" spans="1:23" ht="15.75" thickBot="1" x14ac:dyDescent="0.3">
      <c r="A35" s="50"/>
      <c r="B35" s="51"/>
      <c r="C35" s="51"/>
      <c r="D35" s="51"/>
      <c r="E35" s="52"/>
      <c r="F35" s="167"/>
      <c r="G35" s="147"/>
      <c r="H35" s="148"/>
      <c r="I35" s="146"/>
      <c r="J35" s="147"/>
      <c r="K35" s="148"/>
      <c r="L35" s="147"/>
      <c r="M35" s="147"/>
      <c r="N35" s="168"/>
      <c r="O35" s="14"/>
      <c r="P35" s="14"/>
      <c r="Q35" s="3"/>
      <c r="V35" s="190" t="s">
        <v>800</v>
      </c>
      <c r="W35" s="191"/>
    </row>
    <row r="36" spans="1:23" ht="18" thickBot="1" x14ac:dyDescent="0.35">
      <c r="A36" s="50"/>
      <c r="B36" s="51"/>
      <c r="C36" s="51"/>
      <c r="D36" s="51"/>
      <c r="E36" s="52"/>
      <c r="F36" s="169" t="s">
        <v>447</v>
      </c>
      <c r="G36" s="170"/>
      <c r="H36" s="170"/>
      <c r="I36" s="170"/>
      <c r="J36" s="170"/>
      <c r="K36" s="170"/>
      <c r="L36" s="170"/>
      <c r="M36" s="170"/>
      <c r="N36" s="171"/>
    </row>
    <row r="37" spans="1:23" ht="15.75" thickTop="1" x14ac:dyDescent="0.25">
      <c r="A37" s="50"/>
      <c r="B37" s="51"/>
      <c r="C37" s="51"/>
      <c r="D37" s="51"/>
      <c r="E37" s="52"/>
      <c r="F37" s="119" t="s">
        <v>431</v>
      </c>
      <c r="G37" s="120"/>
      <c r="H37" s="4" t="str">
        <f>IFERROR(VLOOKUP(F37,Abilities,4,FALSE),"")</f>
        <v>LW2</v>
      </c>
      <c r="I37" s="121" t="s">
        <v>962</v>
      </c>
      <c r="J37" s="120"/>
      <c r="K37" s="35" t="str">
        <f>IFERROR(VLOOKUP(I37,Abilities,4,FALSE),"")</f>
        <v>BLANK</v>
      </c>
      <c r="L37" s="122" t="s">
        <v>436</v>
      </c>
      <c r="M37" s="120"/>
      <c r="N37" s="10" t="str">
        <f>IFERROR(VLOOKUP(L37,Abilities,4,FALSE),"")</f>
        <v>LW2</v>
      </c>
    </row>
    <row r="38" spans="1:23" x14ac:dyDescent="0.25">
      <c r="A38" s="50"/>
      <c r="B38" s="51"/>
      <c r="C38" s="51"/>
      <c r="D38" s="51"/>
      <c r="E38" s="52"/>
      <c r="F38" s="144">
        <f>IFERROR(VLOOKUP(F37,Abilities,7,FALSE),"")</f>
        <v>0</v>
      </c>
      <c r="G38" s="130"/>
      <c r="H38" s="131"/>
      <c r="I38" s="129" t="str">
        <f>IFERROR(VLOOKUP(I37,Abilities,7,FALSE),"")</f>
        <v xml:space="preserve"> </v>
      </c>
      <c r="J38" s="130"/>
      <c r="K38" s="131"/>
      <c r="L38" s="130">
        <f>IFERROR(VLOOKUP(L37,Abilities,7,FALSE),"")</f>
        <v>0</v>
      </c>
      <c r="M38" s="130"/>
      <c r="N38" s="135"/>
    </row>
    <row r="39" spans="1:23" ht="15.75" thickBot="1" x14ac:dyDescent="0.3">
      <c r="A39" s="53"/>
      <c r="B39" s="54"/>
      <c r="C39" s="54"/>
      <c r="D39" s="54"/>
      <c r="E39" s="55"/>
      <c r="F39" s="167"/>
      <c r="G39" s="147"/>
      <c r="H39" s="148"/>
      <c r="I39" s="146"/>
      <c r="J39" s="147"/>
      <c r="K39" s="148"/>
      <c r="L39" s="147"/>
      <c r="M39" s="147"/>
      <c r="N39" s="168"/>
    </row>
    <row r="40" spans="1:23" ht="15" customHeight="1" x14ac:dyDescent="0.25">
      <c r="A40" s="86" t="s">
        <v>1200</v>
      </c>
      <c r="B40" s="86"/>
      <c r="C40" s="88" t="str">
        <f>SUBSTITUTE(C1," ","")</f>
        <v>Artillery</v>
      </c>
      <c r="D40" s="88"/>
      <c r="E40" s="88"/>
      <c r="F40" s="238"/>
      <c r="G40" s="238"/>
      <c r="H40" s="237"/>
      <c r="I40" s="237"/>
      <c r="J40" s="237"/>
    </row>
    <row r="41" spans="1:23" ht="15.75" customHeight="1" thickBot="1" x14ac:dyDescent="0.3">
      <c r="A41" s="87"/>
      <c r="B41" s="87"/>
      <c r="C41" s="89"/>
      <c r="D41" s="89"/>
      <c r="E41" s="89"/>
      <c r="F41" s="239"/>
      <c r="G41" s="239"/>
      <c r="H41" s="237"/>
      <c r="I41" s="237"/>
      <c r="J41" s="237"/>
    </row>
    <row r="42" spans="1:23" ht="16.5" thickBot="1" x14ac:dyDescent="0.3">
      <c r="A42" s="242" t="s">
        <v>339</v>
      </c>
      <c r="B42" s="244"/>
      <c r="C42" s="253" t="s">
        <v>342</v>
      </c>
      <c r="D42" s="247"/>
      <c r="E42" s="251" t="s">
        <v>343</v>
      </c>
      <c r="F42" s="250"/>
      <c r="G42" s="234"/>
      <c r="H42" s="235"/>
      <c r="I42" s="235"/>
      <c r="J42" s="235"/>
    </row>
    <row r="43" spans="1:23" x14ac:dyDescent="0.25">
      <c r="A43" s="243" t="str">
        <f ca="1">"; "&amp;INDIRECT("C1")&amp;" class data"</f>
        <v>; Artillery class data</v>
      </c>
      <c r="B43" s="234" t="s">
        <v>340</v>
      </c>
      <c r="C43" s="254" t="str">
        <f ca="1">"; "&amp;INDIRECT("C1")&amp;" class loadout"</f>
        <v>; Artillery class loadout</v>
      </c>
      <c r="D43" s="234" t="s">
        <v>340</v>
      </c>
      <c r="E43" s="252" t="str">
        <f ca="1">"["&amp;INDIRECT("C3")&amp;" X2SoldierClassTemplate]"</f>
        <v>[LWD_Artillery X2SoldierClassTemplate]</v>
      </c>
      <c r="F43" s="234" t="s">
        <v>340</v>
      </c>
      <c r="G43" s="234"/>
      <c r="H43" s="235"/>
      <c r="I43" s="235"/>
      <c r="J43" s="235"/>
    </row>
    <row r="44" spans="1:23" x14ac:dyDescent="0.25">
      <c r="A44" s="240"/>
      <c r="B44" s="234"/>
      <c r="C44" s="245"/>
      <c r="D44" s="234" t="s">
        <v>340</v>
      </c>
      <c r="E44" s="248" t="str">
        <f ca="1">"+DisplayName="""&amp;INDIRECT("C1")&amp;""""</f>
        <v>+DisplayName="Artillery"</v>
      </c>
      <c r="F44" s="234" t="s">
        <v>340</v>
      </c>
      <c r="G44" s="234"/>
      <c r="H44" s="235"/>
      <c r="I44" s="235"/>
      <c r="J44" s="235"/>
    </row>
    <row r="45" spans="1:23" x14ac:dyDescent="0.25">
      <c r="A45" s="240" t="str">
        <f>"[XComGame.X2SoldierClass_DefaultClasses]"</f>
        <v>[XComGame.X2SoldierClass_DefaultClasses]</v>
      </c>
      <c r="B45" s="234" t="s">
        <v>340</v>
      </c>
      <c r="C45" s="245" t="s">
        <v>341</v>
      </c>
      <c r="D45" s="234" t="s">
        <v>340</v>
      </c>
      <c r="E45" s="248" t="str">
        <f ca="1">"+ClassSummary="""&amp;INDIRECT("A20")&amp;""""</f>
        <v>+ClassSummary="Artillery train with sniper rifles and rocket launchers, and are at their best when their enemy is a mile away."</v>
      </c>
      <c r="F45" s="234" t="s">
        <v>340</v>
      </c>
      <c r="G45" s="234"/>
      <c r="H45" s="235"/>
      <c r="I45" s="235"/>
      <c r="J45" s="235"/>
    </row>
    <row r="46" spans="1:23" x14ac:dyDescent="0.25">
      <c r="A46" s="240" t="str">
        <f ca="1">"+SoldierClasses="&amp;INDIRECT("C3")</f>
        <v>+SoldierClasses=LWD_Artillery</v>
      </c>
      <c r="B46" s="234" t="s">
        <v>340</v>
      </c>
      <c r="C46" s="245"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+Loadouts=(LoadoutName="SquaddieLWD_Artillery", Items[0]=(Item="SniperRifle_CV"), Items[1]=(Item="LWGauntlet_CV"))</v>
      </c>
      <c r="D46" s="234" t="s">
        <v>340</v>
      </c>
      <c r="E46" s="248" t="str">
        <f ca="1">"+LeftAbilityTreeTitle="""&amp;INDIRECT("F11")&amp;""""</f>
        <v>+LeftAbilityTreeTitle="Tankbuster"</v>
      </c>
      <c r="F46" s="234" t="s">
        <v>340</v>
      </c>
      <c r="G46" s="234"/>
      <c r="H46" s="235"/>
      <c r="I46" s="234"/>
      <c r="J46" s="234"/>
    </row>
    <row r="47" spans="1:23" x14ac:dyDescent="0.25">
      <c r="A47" s="240"/>
      <c r="B47" s="234" t="s">
        <v>340</v>
      </c>
      <c r="C47" s="245"/>
      <c r="D47" s="234" t="s">
        <v>340</v>
      </c>
      <c r="E47" s="248" t="str">
        <f ca="1">"+RightAbilityTreeTitle="""&amp;INDIRECT("L11")&amp;""""</f>
        <v>+RightAbilityTreeTitle="Mortar"</v>
      </c>
      <c r="F47" s="234" t="s">
        <v>340</v>
      </c>
      <c r="G47" s="234"/>
      <c r="H47" s="235"/>
      <c r="I47" s="234"/>
      <c r="J47" s="234"/>
    </row>
    <row r="48" spans="1:23" x14ac:dyDescent="0.25">
      <c r="A48" s="240" t="str">
        <f ca="1">"["&amp;INDIRECT("C3")&amp;" X2SoldierClassTemplate]"</f>
        <v>[LWD_Artillery X2SoldierClassTemplate]</v>
      </c>
      <c r="B48" s="234" t="s">
        <v>340</v>
      </c>
      <c r="C48" s="245" t="s">
        <v>351</v>
      </c>
      <c r="D48" s="234" t="s">
        <v>340</v>
      </c>
      <c r="E48" s="248" t="str">
        <f>"; Nicknames"</f>
        <v>; Nicknames</v>
      </c>
      <c r="F48" s="234" t="s">
        <v>340</v>
      </c>
      <c r="G48" s="234"/>
      <c r="H48" s="234"/>
      <c r="I48" s="234"/>
      <c r="J48" s="234"/>
    </row>
    <row r="49" spans="1:10" ht="15.75" thickBot="1" x14ac:dyDescent="0.3">
      <c r="A49" s="240" t="str">
        <f ca="1">"+bMultiplayerOnly="&amp;INDIRECT("E6")</f>
        <v>+bMultiplayerOnly=0</v>
      </c>
      <c r="B49" s="234" t="s">
        <v>340</v>
      </c>
      <c r="C49" s="246" t="str">
        <f ca="1">"+DEBUG_StartingSoldierClasses="""&amp;INDIRECT("C3")&amp;""""</f>
        <v>+DEBUG_StartingSoldierClasses="LWD_Artillery"</v>
      </c>
      <c r="D49" s="234" t="s">
        <v>340</v>
      </c>
      <c r="E49" s="248" t="str">
        <f ca="1">IF(INDIRECT("V4")&lt;&gt;"","RandomNickNames[0]="""&amp;INDIRECT("V4")&amp;"""","")</f>
        <v>RandomNickNames[0]="Angel"</v>
      </c>
      <c r="F49" s="234" t="s">
        <v>340</v>
      </c>
      <c r="G49" s="234"/>
      <c r="H49" s="234"/>
      <c r="I49" s="234"/>
      <c r="J49" s="234"/>
    </row>
    <row r="50" spans="1:10" x14ac:dyDescent="0.25">
      <c r="A50" s="240" t="str">
        <f ca="1">"+ClassPoints="&amp;INDIRECT("E7")</f>
        <v>+ClassPoints=4</v>
      </c>
      <c r="B50" s="234" t="s">
        <v>340</v>
      </c>
      <c r="C50" s="234"/>
      <c r="D50" s="234"/>
      <c r="E50" s="248" t="str">
        <f ca="1">IF(INDIRECT("V5")&lt;&gt;"","RandomNickNames[1]="""&amp;INDIRECT("V5")&amp;"""","")</f>
        <v>RandomNickNames[1]="Bargain"</v>
      </c>
      <c r="F50" s="234" t="s">
        <v>340</v>
      </c>
      <c r="G50" s="234"/>
      <c r="H50" s="234"/>
      <c r="I50" s="234"/>
      <c r="J50" s="234"/>
    </row>
    <row r="51" spans="1:10" x14ac:dyDescent="0.25">
      <c r="A51" s="240" t="str">
        <f ca="1">"+IconImage="&amp;""""&amp;INDIRECT("E8")&amp;""""</f>
        <v>+IconImage="img:///UILibrary_LWD.class_Artillery"</v>
      </c>
      <c r="B51" s="234" t="s">
        <v>340</v>
      </c>
      <c r="C51" s="234"/>
      <c r="D51" s="234"/>
      <c r="E51" s="248" t="str">
        <f ca="1">IF(INDIRECT("V6")&lt;&gt;"","RandomNickNames[2]="""&amp;INDIRECT("V6")&amp;"""","")</f>
        <v>RandomNickNames[2]="Beta"</v>
      </c>
      <c r="F51" s="234" t="s">
        <v>340</v>
      </c>
      <c r="G51" s="234"/>
      <c r="H51" s="234"/>
      <c r="I51" s="234"/>
      <c r="J51" s="234"/>
    </row>
    <row r="52" spans="1:10" x14ac:dyDescent="0.25">
      <c r="A52" s="240" t="str">
        <f ca="1">"+NumInForcedDeck="&amp;INDIRECT("E9")</f>
        <v>+NumInForcedDeck=1</v>
      </c>
      <c r="B52" s="234" t="s">
        <v>340</v>
      </c>
      <c r="C52" s="234"/>
      <c r="D52" s="234"/>
      <c r="E52" s="248" t="str">
        <f ca="1">IF(INDIRECT("V7")&lt;&gt;"","RandomNickNames[3]="""&amp;INDIRECT("V7")&amp;"""","")</f>
        <v>RandomNickNames[3]="Bishop"</v>
      </c>
      <c r="F52" s="234" t="s">
        <v>340</v>
      </c>
      <c r="G52" s="234"/>
      <c r="H52" s="234"/>
      <c r="I52" s="234"/>
      <c r="J52" s="234"/>
    </row>
    <row r="53" spans="1:10" x14ac:dyDescent="0.25">
      <c r="A53" s="240" t="str">
        <f ca="1">"+NumInDeck="&amp;INDIRECT("E10")</f>
        <v>+NumInDeck=4</v>
      </c>
      <c r="B53" s="234" t="s">
        <v>340</v>
      </c>
      <c r="C53" s="234"/>
      <c r="D53" s="234"/>
      <c r="E53" s="248" t="str">
        <f ca="1">IF(INDIRECT("V8")&lt;&gt;"","RandomNickNames[4]="""&amp;INDIRECT("V8")&amp;"""","")</f>
        <v>RandomNickNames[4]="Hometown"</v>
      </c>
      <c r="F53" s="234" t="s">
        <v>340</v>
      </c>
      <c r="G53" s="234"/>
      <c r="H53" s="234"/>
      <c r="I53" s="234"/>
      <c r="J53" s="234"/>
    </row>
    <row r="54" spans="1:10" x14ac:dyDescent="0.25">
      <c r="A54" s="240" t="str">
        <f ca="1">"+KillAssistsPerKill="&amp;INDIRECT("E11")</f>
        <v>+KillAssistsPerKill=4</v>
      </c>
      <c r="B54" s="234" t="s">
        <v>340</v>
      </c>
      <c r="C54" s="234"/>
      <c r="D54" s="234"/>
      <c r="E54" s="248" t="str">
        <f ca="1">IF(INDIRECT("V9")&lt;&gt;"","RandomNickNames[5]="""&amp;INDIRECT("V9")&amp;"""","")</f>
        <v>RandomNickNames[5]="Breaker"</v>
      </c>
      <c r="F54" s="234" t="s">
        <v>340</v>
      </c>
      <c r="G54" s="234"/>
      <c r="H54" s="234"/>
      <c r="I54" s="234"/>
      <c r="J54" s="234"/>
    </row>
    <row r="55" spans="1:10" x14ac:dyDescent="0.25">
      <c r="A55" s="240" t="str">
        <f ca="1">"+SquaddieLoadout=Squaddie"&amp;INDIRECT("C3")</f>
        <v>+SquaddieLoadout=SquaddieLWD_Artillery</v>
      </c>
      <c r="B55" s="234" t="s">
        <v>340</v>
      </c>
      <c r="C55" s="234"/>
      <c r="D55" s="234"/>
      <c r="E55" s="248" t="str">
        <f ca="1">IF(INDIRECT("V10")&lt;&gt;"","RandomNickNames[6]="""&amp;INDIRECT("V10")&amp;"""","")</f>
        <v>RandomNickNames[6]="Broker"</v>
      </c>
      <c r="F55" s="234" t="s">
        <v>340</v>
      </c>
      <c r="G55" s="234"/>
      <c r="H55" s="234"/>
      <c r="I55" s="234"/>
      <c r="J55" s="234"/>
    </row>
    <row r="56" spans="1:10" x14ac:dyDescent="0.25">
      <c r="A56" s="240" t="str">
        <f ca="1">";+bAllowAWCAbilities="&amp;INDIRECT("E12")&amp;" ; Not a thing in LW2"</f>
        <v>;+bAllowAWCAbilities=1 ; Not a thing in LW2</v>
      </c>
      <c r="B56" s="234" t="s">
        <v>340</v>
      </c>
      <c r="C56" s="234"/>
      <c r="D56" s="234"/>
      <c r="E56" s="248" t="str">
        <f ca="1">IF(INDIRECT("V11")&lt;&gt;"","RandomNickNames[7]="""&amp;INDIRECT("V11")&amp;"""","")</f>
        <v>RandomNickNames[7]="Conquest"</v>
      </c>
      <c r="F56" s="234" t="s">
        <v>340</v>
      </c>
      <c r="G56" s="234"/>
      <c r="H56" s="234"/>
      <c r="I56" s="234"/>
      <c r="J56" s="234"/>
    </row>
    <row r="57" spans="1:10" x14ac:dyDescent="0.25">
      <c r="A57" s="240" t="str">
        <f ca="1">IF(INDIRECT("B5")=FALSE,";","")&amp;"+AllowedWeapons=(SlotType=eInvSlot_PrimaryWeapon, WeaponType=""rifle"")"</f>
        <v>;+AllowedWeapons=(SlotType=eInvSlot_PrimaryWeapon, WeaponType="rifle")</v>
      </c>
      <c r="B57" s="234" t="s">
        <v>340</v>
      </c>
      <c r="C57" s="234"/>
      <c r="D57" s="234"/>
      <c r="E57" s="248" t="str">
        <f ca="1">IF(INDIRECT("V12")&lt;&gt;"","RandomNickNames[8]="""&amp;INDIRECT("V12")&amp;"""","")</f>
        <v>RandomNickNames[8]="Deacon"</v>
      </c>
      <c r="F57" s="234" t="s">
        <v>340</v>
      </c>
      <c r="G57" s="234"/>
      <c r="H57" s="234"/>
      <c r="I57" s="234"/>
      <c r="J57" s="234"/>
    </row>
    <row r="58" spans="1:10" x14ac:dyDescent="0.25">
      <c r="A58" s="240" t="str">
        <f ca="1">IF(INDIRECT("B6")=FALSE,";","")&amp;"+AllowedWeapons=(SlotType=eInvSlot_PrimaryWeapon, WeaponType=""cannon"")"</f>
        <v>;+AllowedWeapons=(SlotType=eInvSlot_PrimaryWeapon, WeaponType="cannon")</v>
      </c>
      <c r="B58" s="234" t="s">
        <v>340</v>
      </c>
      <c r="C58" s="234"/>
      <c r="D58" s="234"/>
      <c r="E58" s="248" t="str">
        <f ca="1">IF(INDIRECT("V13")&lt;&gt;"","RandomNickNames[9]="""&amp;INDIRECT("V13")&amp;"""","")</f>
        <v>RandomNickNames[9]="Doomtrain"</v>
      </c>
      <c r="F58" s="234" t="s">
        <v>340</v>
      </c>
      <c r="G58" s="234"/>
      <c r="H58" s="234"/>
      <c r="I58" s="234"/>
      <c r="J58" s="234"/>
    </row>
    <row r="59" spans="1:10" x14ac:dyDescent="0.25">
      <c r="A59" s="240" t="str">
        <f ca="1">IF(INDIRECT("B7")=FALSE,";","")&amp;"+AllowedWeapons=(SlotType=eInvSlot_PrimaryWeapon, WeaponType=""shotgun"")"</f>
        <v>;+AllowedWeapons=(SlotType=eInvSlot_PrimaryWeapon, WeaponType="shotgun")</v>
      </c>
      <c r="B59" s="234" t="s">
        <v>340</v>
      </c>
      <c r="C59" s="234"/>
      <c r="D59" s="234"/>
      <c r="E59" s="248" t="str">
        <f ca="1">IF(INDIRECT("V14")&lt;&gt;"","RandomNickNames[10]="""&amp;INDIRECT("V14")&amp;"""","")</f>
        <v>RandomNickNames[10]="Dr. Feelgood"</v>
      </c>
      <c r="F59" s="234" t="s">
        <v>340</v>
      </c>
      <c r="G59" s="234"/>
      <c r="H59" s="234"/>
      <c r="I59" s="234"/>
      <c r="J59" s="234"/>
    </row>
    <row r="60" spans="1:10" x14ac:dyDescent="0.25">
      <c r="A60" s="240" t="str">
        <f ca="1">IF(INDIRECT("B8")=FALSE,";","")&amp;"+AllowedWeapons=(SlotType=eInvSlot_PrimaryWeapon, WeaponType=""sniper_rifle"")"</f>
        <v>+AllowedWeapons=(SlotType=eInvSlot_PrimaryWeapon, WeaponType="sniper_rifle")</v>
      </c>
      <c r="B60" s="234" t="s">
        <v>340</v>
      </c>
      <c r="C60" s="234"/>
      <c r="D60" s="234"/>
      <c r="E60" s="248" t="str">
        <f ca="1">IF(INDIRECT("V15")&lt;&gt;"","RandomNickNames[11]="""&amp;INDIRECT("V15")&amp;"""","")</f>
        <v>RandomNickNames[11]="Famine"</v>
      </c>
      <c r="F60" s="234" t="s">
        <v>340</v>
      </c>
      <c r="G60" s="234"/>
      <c r="H60" s="234"/>
      <c r="I60" s="234"/>
      <c r="J60" s="234"/>
    </row>
    <row r="61" spans="1:10" x14ac:dyDescent="0.25">
      <c r="A61" s="240" t="str">
        <f ca="1">IF(INDIRECT("B9")=FALSE,";","")&amp;"+AllowedWeapons=(SlotType=eInvSlot_SecondaryWeapon, WeaponType=""gauntlet"")"</f>
        <v>+AllowedWeapons=(SlotType=eInvSlot_SecondaryWeapon, WeaponType="gauntlet")</v>
      </c>
      <c r="B61" s="234" t="s">
        <v>340</v>
      </c>
      <c r="C61" s="234"/>
      <c r="D61" s="234"/>
      <c r="E61" s="248" t="str">
        <f ca="1">IF(INDIRECT("V16")&lt;&gt;"","RandomNickNames[12]="""&amp;INDIRECT("V16")&amp;"""","")</f>
        <v>RandomNickNames[12]="Feedback"</v>
      </c>
      <c r="F61" s="234" t="s">
        <v>340</v>
      </c>
      <c r="G61" s="234"/>
      <c r="H61" s="234"/>
      <c r="I61" s="234"/>
      <c r="J61" s="234"/>
    </row>
    <row r="62" spans="1:10" x14ac:dyDescent="0.25">
      <c r="A62" s="240" t="str">
        <f ca="1">IF(INDIRECT("B10")=FALSE,";","")&amp;"+AllowedWeapons=(SlotType=eInvSlot_SecondaryWeapon, WeaponType=""combatknife"")"</f>
        <v>;+AllowedWeapons=(SlotType=eInvSlot_SecondaryWeapon, WeaponType="combatknife")</v>
      </c>
      <c r="B62" s="234" t="s">
        <v>340</v>
      </c>
      <c r="C62" s="234"/>
      <c r="D62" s="234"/>
      <c r="E62" s="248" t="str">
        <f ca="1">IF(INDIRECT("V17")&lt;&gt;"","RandomNickNames[13]="""&amp;INDIRECT("V17")&amp;"""","")</f>
        <v>RandomNickNames[13]="Sure Thing"</v>
      </c>
      <c r="F62" s="234" t="s">
        <v>340</v>
      </c>
      <c r="G62" s="234"/>
      <c r="H62" s="234"/>
      <c r="I62" s="234"/>
      <c r="J62" s="234"/>
    </row>
    <row r="63" spans="1:10" x14ac:dyDescent="0.25">
      <c r="A63" s="240" t="str">
        <f ca="1">IF(INDIRECT("B11")=FALSE,";","")&amp;"+AllowedWeapons=(SlotType=eInvSlot_SecondaryWeapon, WeaponType=""grenade_launcher"")"</f>
        <v>;+AllowedWeapons=(SlotType=eInvSlot_SecondaryWeapon, WeaponType="grenade_launcher")</v>
      </c>
      <c r="B63" s="234" t="s">
        <v>340</v>
      </c>
      <c r="C63" s="234"/>
      <c r="D63" s="234"/>
      <c r="E63" s="248" t="str">
        <f ca="1">IF(INDIRECT("V18")&lt;&gt;"","RandomNickNames[14]="""&amp;INDIRECT("V18")&amp;"""","")</f>
        <v>RandomNickNames[14]="Genius"</v>
      </c>
      <c r="F63" s="234" t="s">
        <v>340</v>
      </c>
      <c r="G63" s="234"/>
      <c r="H63" s="234"/>
      <c r="I63" s="234"/>
      <c r="J63" s="234"/>
    </row>
    <row r="64" spans="1:10" x14ac:dyDescent="0.25">
      <c r="A64" s="240" t="str">
        <f ca="1">IF(INDIRECT("B12")=FALSE,";","")&amp;"+AllowedWeapons=(SlotType=eInvSlot_SecondaryWeapon, WeaponType=""gremlin"")"</f>
        <v>;+AllowedWeapons=(SlotType=eInvSlot_SecondaryWeapon, WeaponType="gremlin")</v>
      </c>
      <c r="B64" s="234" t="s">
        <v>340</v>
      </c>
      <c r="C64" s="234"/>
      <c r="D64" s="234"/>
      <c r="E64" s="248" t="str">
        <f ca="1">IF(INDIRECT("V19")&lt;&gt;"","RandomNickNames[15]="""&amp;INDIRECT("V19")&amp;"""","")</f>
        <v>RandomNickNames[15]="Gizmo"</v>
      </c>
      <c r="F64" s="234" t="s">
        <v>340</v>
      </c>
      <c r="G64" s="234"/>
      <c r="H64" s="234"/>
      <c r="I64" s="234"/>
      <c r="J64" s="234"/>
    </row>
    <row r="65" spans="1:10" x14ac:dyDescent="0.25">
      <c r="A65" s="240" t="str">
        <f ca="1">IF(INDIRECT("B13")=FALSE,";","")&amp;"+AllowedWeapons=(SlotType=eInvSlot_SecondaryWeapon, WeaponType=""sword"")"</f>
        <v>;+AllowedWeapons=(SlotType=eInvSlot_SecondaryWeapon, WeaponType="sword")</v>
      </c>
      <c r="B65" s="234" t="s">
        <v>340</v>
      </c>
      <c r="C65" s="234"/>
      <c r="D65" s="234"/>
      <c r="E65" s="248" t="str">
        <f ca="1">IF(INDIRECT("V20")&lt;&gt;"","RandomNickNames[16]="""&amp;INDIRECT("V20")&amp;"""","")</f>
        <v>RandomNickNames[16]="Jester"</v>
      </c>
      <c r="F65" s="234" t="s">
        <v>340</v>
      </c>
      <c r="G65" s="234"/>
      <c r="H65" s="234"/>
      <c r="I65" s="234"/>
      <c r="J65" s="234"/>
    </row>
    <row r="66" spans="1:10" x14ac:dyDescent="0.25">
      <c r="A66" s="240" t="str">
        <f ca="1">IF(INDIRECT("B14")=FALSE,";","")&amp;"+AllowedWeapons=(SlotType=eInvSlot_SecondaryWeapon, WeaponType=""sawedoffshotgun"")"</f>
        <v>;+AllowedWeapons=(SlotType=eInvSlot_SecondaryWeapon, WeaponType="sawedoffshotgun")</v>
      </c>
      <c r="B66" s="234" t="s">
        <v>340</v>
      </c>
      <c r="C66" s="234"/>
      <c r="D66" s="234"/>
      <c r="E66" s="248" t="str">
        <f ca="1">IF(INDIRECT("V21")&lt;&gt;"","RandomNickNames[17]="""&amp;INDIRECT("V21")&amp;"""","")</f>
        <v>RandomNickNames[17]="Jolt"</v>
      </c>
      <c r="F66" s="234" t="s">
        <v>340</v>
      </c>
      <c r="G66" s="234"/>
      <c r="H66" s="234"/>
      <c r="I66" s="234"/>
      <c r="J66" s="234"/>
    </row>
    <row r="67" spans="1:10" x14ac:dyDescent="0.25">
      <c r="A67" s="240" t="str">
        <f ca="1">IF(INDIRECT("B15")=FALSE,";","")&amp;"+AllowedWeapons=(SlotType=eInvSlot_SecondaryWeapon, WeaponType=""arcthrower"")"</f>
        <v>;+AllowedWeapons=(SlotType=eInvSlot_SecondaryWeapon, WeaponType="arcthrower")</v>
      </c>
      <c r="B67" s="234" t="s">
        <v>340</v>
      </c>
      <c r="C67" s="234"/>
      <c r="D67" s="234"/>
      <c r="E67" s="248" t="str">
        <f ca="1">IF(INDIRECT("V22")&lt;&gt;"","RandomNickNames[18]="""&amp;INDIRECT("V22")&amp;"""","")</f>
        <v>RandomNickNames[18]="Lightning"</v>
      </c>
      <c r="F67" s="234" t="s">
        <v>340</v>
      </c>
      <c r="G67" s="234"/>
      <c r="H67" s="234"/>
      <c r="I67" s="234"/>
      <c r="J67" s="234"/>
    </row>
    <row r="68" spans="1:10" x14ac:dyDescent="0.25">
      <c r="A68" s="240" t="str">
        <f ca="1">IF(INDIRECT("B16")=FALSE,";","")&amp;"+AllowedWeapons=(SlotType=eInvSlot_SecondaryWeapon, WeaponType=""holotargeter"")"</f>
        <v>;+AllowedWeapons=(SlotType=eInvSlot_SecondaryWeapon, WeaponType="holotargeter")</v>
      </c>
      <c r="B68" s="234" t="s">
        <v>340</v>
      </c>
      <c r="C68" s="234"/>
      <c r="D68" s="234"/>
      <c r="E68" s="248" t="str">
        <f ca="1">IF(INDIRECT("V23")&lt;&gt;"","RandomNickNames[19]="""&amp;INDIRECT("V23")&amp;"""","")</f>
        <v>RandomNickNames[19]="Mayday"</v>
      </c>
      <c r="F68" s="234" t="s">
        <v>340</v>
      </c>
      <c r="G68" s="234"/>
      <c r="H68" s="234"/>
      <c r="I68" s="234"/>
      <c r="J68" s="234"/>
    </row>
    <row r="69" spans="1:10" x14ac:dyDescent="0.25">
      <c r="A69" s="240" t="str">
        <f ca="1">IF(INDIRECT("B17")=FALSE,";","")&amp;"+AllowedWeapons=(SlotType=eInvSlot_SecondaryWeapon, WeaponType=""psiamp"")"</f>
        <v>;+AllowedWeapons=(SlotType=eInvSlot_SecondaryWeapon, WeaponType="psiamp")</v>
      </c>
      <c r="B69" s="234" t="s">
        <v>340</v>
      </c>
      <c r="C69" s="234"/>
      <c r="D69" s="234"/>
      <c r="E69" s="248" t="str">
        <f ca="1">IF(INDIRECT("V24")&lt;&gt;"","RandomNickNames[20]="""&amp;INDIRECT("V24")&amp;"""","")</f>
        <v>RandomNickNames[20]="Mega"</v>
      </c>
      <c r="F69" s="234" t="s">
        <v>340</v>
      </c>
      <c r="G69" s="234"/>
      <c r="H69" s="234"/>
      <c r="I69" s="234"/>
      <c r="J69" s="234"/>
    </row>
    <row r="70" spans="1:10" x14ac:dyDescent="0.25">
      <c r="A70" s="240" t="str">
        <f ca="1">IF(INDIRECT("B9")=FALSE,";","")&amp;"+AllowedWeapons=(SlotType=eInvSlot_HeavyWeapon, WeaponType=""heavyammo"")"</f>
        <v>+AllowedWeapons=(SlotType=eInvSlot_HeavyWeapon, WeaponType="heavyammo")</v>
      </c>
      <c r="B70" s="234" t="s">
        <v>340</v>
      </c>
      <c r="C70" s="234"/>
      <c r="D70" s="234"/>
      <c r="E70" s="248" t="str">
        <f ca="1">IF(INDIRECT("V25")&lt;&gt;"","RandomNickNames[21]="""&amp;INDIRECT("V25")&amp;"""","")</f>
        <v>RandomNickNames[21]="Newton"</v>
      </c>
      <c r="F70" s="234" t="s">
        <v>340</v>
      </c>
      <c r="G70" s="234"/>
      <c r="H70" s="234"/>
      <c r="I70" s="234"/>
      <c r="J70" s="234"/>
    </row>
    <row r="71" spans="1:10" x14ac:dyDescent="0.25">
      <c r="A71" s="240" t="str">
        <f ca="1">IF(INDIRECT("B9")=TRUE,";","")&amp;"+AllowedWeapons=(SlotType=eInvSlot_HeavyWeapon, WeaponType=""heavy"")"</f>
        <v>;+AllowedWeapons=(SlotType=eInvSlot_HeavyWeapon, WeaponType="heavy")</v>
      </c>
      <c r="B71" s="234" t="s">
        <v>340</v>
      </c>
      <c r="C71" s="234"/>
      <c r="D71" s="234"/>
      <c r="E71" s="248" t="str">
        <f ca="1">IF(INDIRECT("V26")&lt;&gt;"","RandomNickNames[22]="""&amp;INDIRECT("V26")&amp;"""","")</f>
        <v>RandomNickNames[22]="Ragtime"</v>
      </c>
      <c r="F71" s="234" t="s">
        <v>340</v>
      </c>
      <c r="G71" s="234"/>
      <c r="H71" s="234"/>
      <c r="I71" s="234"/>
      <c r="J71" s="234"/>
    </row>
    <row r="72" spans="1:10" x14ac:dyDescent="0.25">
      <c r="A72" s="240" t="str">
        <f ca="1">"+AllowedArmors="&amp;INDIRECT("E13")</f>
        <v>+AllowedArmors=soldier</v>
      </c>
      <c r="B72" s="234" t="s">
        <v>340</v>
      </c>
      <c r="C72" s="234"/>
      <c r="D72" s="234"/>
      <c r="E72" s="248" t="str">
        <f ca="1">IF(INDIRECT("V27")&lt;&gt;"","RandomNickNames[23]="""&amp;INDIRECT("V27")&amp;"""","")</f>
        <v>RandomNickNames[23]="Rascal"</v>
      </c>
      <c r="F72" s="234" t="s">
        <v>340</v>
      </c>
      <c r="G72" s="234"/>
      <c r="H72" s="234"/>
      <c r="I72" s="234"/>
      <c r="J72" s="234"/>
    </row>
    <row r="73" spans="1:10" x14ac:dyDescent="0.25">
      <c r="A73" s="240" t="str">
        <f>"; squaddie"</f>
        <v>; squaddie</v>
      </c>
      <c r="B73" s="234" t="s">
        <v>340</v>
      </c>
      <c r="C73" s="234"/>
      <c r="D73" s="234"/>
      <c r="E73" s="248" t="str">
        <f ca="1">IF(INDIRECT("V28")&lt;&gt;"","RandomNickNames[24]="""&amp;INDIRECT("V28")&amp;"""","")</f>
        <v>RandomNickNames[24]="Rattler"</v>
      </c>
      <c r="F73" s="234" t="s">
        <v>340</v>
      </c>
      <c r="G73" s="234"/>
      <c r="H73" s="234"/>
      <c r="I73" s="234"/>
      <c r="J73" s="234"/>
    </row>
    <row r="74" spans="1:10" x14ac:dyDescent="0.25">
      <c r="A74" s="240" t="str">
        <f ca="1">"+SoldierRanks=(  aAbilityTree=( (AbilityName="""&amp;VLOOKUP(INDIRECT("F4"),Abilities,2,FALSE)&amp;""""&amp;IF(VLOOKUP(INDIRECT("F4"),Abilities,3,FALSE)="","",", ApplyToWeaponSlot=eInvSlot_"&amp;VLOOKUP(INDIRECT("F4"),Abilities,3,FALSE))&amp;"), \\"</f>
        <v>+SoldierRanks=(  aAbilityTree=( (AbilityName="HeavyArmaments", ApplyToWeaponSlot=eInvSlot_Unknown), \\</v>
      </c>
      <c r="B74" s="234" t="s">
        <v>340</v>
      </c>
      <c r="C74" s="234"/>
      <c r="D74" s="234"/>
      <c r="E74" s="248" t="str">
        <f ca="1">IF(INDIRECT("V29")&lt;&gt;"","RandomNickNames[25]="""&amp;INDIRECT("V29")&amp;"""","")</f>
        <v>RandomNickNames[25]="Revelation"</v>
      </c>
      <c r="F74" s="234" t="s">
        <v>340</v>
      </c>
      <c r="G74" s="234"/>
      <c r="H74" s="234"/>
      <c r="I74" s="234"/>
      <c r="J74" s="234"/>
    </row>
    <row r="75" spans="1:10" x14ac:dyDescent="0.25">
      <c r="A75" s="240" t="str">
        <f ca="1">IF(INDIRECT("I4")="","\\","(AbilityName="""&amp;VLOOKUP(INDIRECT("I4"),Abilities,2,FALSE)&amp;""""&amp;IF(VLOOKUP(INDIRECT("I4"),Abilities,3,FALSE)="","",", ApplyToWeaponSlot=eInvSlot_"&amp;VLOOKUP(INDIRECT("I4"),Abilities,3,FALSE))&amp;"), \\")</f>
        <v>(AbilityName="Squadsight"), \\</v>
      </c>
      <c r="B75" s="234" t="s">
        <v>340</v>
      </c>
      <c r="C75" s="234"/>
      <c r="D75" s="234"/>
      <c r="E75" s="248" t="str">
        <f ca="1">IF(INDIRECT("V30")&lt;&gt;"","RandomNickNames[26]="""&amp;INDIRECT("V30")&amp;"""","")</f>
        <v>RandomNickNames[26]="Skipper"</v>
      </c>
      <c r="F75" s="234" t="s">
        <v>340</v>
      </c>
      <c r="G75" s="234"/>
      <c r="H75" s="234"/>
      <c r="I75" s="234"/>
      <c r="J75" s="234"/>
    </row>
    <row r="76" spans="1:10" x14ac:dyDescent="0.25">
      <c r="A76" s="240" t="str">
        <f ca="1">IF(INDIRECT("L4")="","\\","(AbilityName="""&amp;VLOOKUP(INDIRECT("L4"),Abilities,2,FALSE)&amp;""""&amp;IF(VLOOKUP(INDIRECT("L4"),Abilities,3,FALSE)="","",", ApplyToWeaponSlot=eInvSlot_"&amp;VLOOKUP(INDIRECT("L4"),Abilities,3,FALSE))&amp;"), \\")</f>
        <v>\\</v>
      </c>
      <c r="B76" s="234" t="s">
        <v>340</v>
      </c>
      <c r="C76" s="234"/>
      <c r="D76" s="234"/>
      <c r="E76" s="248" t="str">
        <f ca="1">IF(INDIRECT("V31")&lt;&gt;"","RandomNickNames[27]="""&amp;INDIRECT("V31")&amp;"""","")</f>
        <v>RandomNickNames[27]="Thunder"</v>
      </c>
      <c r="F76" s="234" t="s">
        <v>340</v>
      </c>
      <c r="G76" s="234"/>
      <c r="H76" s="234"/>
      <c r="I76" s="234"/>
      <c r="J76" s="234"/>
    </row>
    <row r="77" spans="1:10" x14ac:dyDescent="0.25">
      <c r="A77" s="240" t="str">
        <f ca="1">IF(INDIRECT("F7")="","\\","(AbilityName="""&amp;VLOOKUP(INDIRECT("F7"),Abilities,2,FALSE)&amp;""""&amp;IF(VLOOKUP(INDIRECT("F7"),Abilities,3,FALSE)="","",", ApplyToWeaponSlot=eInvSlot_"&amp;VLOOKUP(INDIRECT("F7"),Abilities,3,FALSE))&amp;"), \\")</f>
        <v>\\</v>
      </c>
      <c r="B77" s="234" t="s">
        <v>340</v>
      </c>
      <c r="C77" s="234"/>
      <c r="D77" s="234"/>
      <c r="E77" s="248" t="str">
        <f ca="1">IF(INDIRECT("V32")&lt;&gt;"","RandomNickNames[28]="""&amp;INDIRECT("V32")&amp;"""","")</f>
        <v>RandomNickNames[28]="Undertaker"</v>
      </c>
      <c r="F77" s="234" t="s">
        <v>340</v>
      </c>
      <c r="G77" s="234"/>
      <c r="H77" s="234"/>
      <c r="I77" s="234"/>
      <c r="J77" s="234"/>
    </row>
    <row r="78" spans="1:10" x14ac:dyDescent="0.25">
      <c r="A78" s="240" t="str">
        <f ca="1">IF(INDIRECT("I7")="","\\","(AbilityName="""&amp;VLOOKUP(INDIRECT("I7"),Abilities,2,FALSE)&amp;""""&amp;IF(VLOOKUP(INDIRECT("I7"),Abilities,3,FALSE)="","",", ApplyToWeaponSlot=eInvSlot_"&amp;VLOOKUP(INDIRECT("I7"),Abilities,3,FALSE))&amp;"), \\")</f>
        <v>\\</v>
      </c>
      <c r="B78" s="234" t="s">
        <v>340</v>
      </c>
      <c r="C78" s="234"/>
      <c r="D78" s="234"/>
      <c r="E78" s="248" t="str">
        <f ca="1">IF(INDIRECT("V33")&lt;&gt;"","RandomNickNames[29]="""&amp;INDIRECT("V33")&amp;"""","")</f>
        <v>RandomNickNames[29]="War"</v>
      </c>
      <c r="F78" s="234" t="s">
        <v>340</v>
      </c>
      <c r="G78" s="234"/>
      <c r="H78" s="234"/>
      <c r="I78" s="234"/>
      <c r="J78" s="234"/>
    </row>
    <row r="79" spans="1:10" x14ac:dyDescent="0.25">
      <c r="A79" s="240" t="str">
        <f ca="1">IF(INDIRECT("L7")="","\\","(AbilityName="""&amp;VLOOKUP(INDIRECT("L7"),Abilities,2,FALSE)&amp;""""&amp;IF(VLOOKUP(INDIRECT("L7"),Abilities,3,FALSE)="","",", ApplyToWeaponSlot=eInvSlot_"&amp;VLOOKUP(INDIRECT("L7"),Abilities,3,FALSE))&amp;"), \\")</f>
        <v>\\</v>
      </c>
      <c r="B79" s="234" t="s">
        <v>340</v>
      </c>
      <c r="C79" s="234"/>
      <c r="D79" s="234"/>
      <c r="E79" s="248" t="str">
        <f ca="1">IF(INDIRECT("V34")&lt;&gt;"","RandomNickNames[30]="""&amp;INDIRECT("V34")&amp;"""","")</f>
        <v>RandomNickNames[30]="Whoopsie"</v>
      </c>
      <c r="F79" s="234" t="s">
        <v>340</v>
      </c>
      <c r="G79" s="234"/>
      <c r="H79" s="234"/>
      <c r="I79" s="234"/>
      <c r="J79" s="234"/>
    </row>
    <row r="80" spans="1:10" x14ac:dyDescent="0.25">
      <c r="A80" s="240" t="s">
        <v>337</v>
      </c>
      <c r="B80" s="234" t="s">
        <v>340</v>
      </c>
      <c r="C80" s="234"/>
      <c r="D80" s="234"/>
      <c r="E80" s="248" t="str">
        <f ca="1">IF(INDIRECT("V35")&lt;&gt;"","RandomNickNames[31]="""&amp;INDIRECT("V35")&amp;"""","")</f>
        <v>RandomNickNames[31]="Zulu"</v>
      </c>
      <c r="F80" s="234" t="s">
        <v>340</v>
      </c>
      <c r="G80" s="234"/>
      <c r="H80" s="234"/>
      <c r="I80" s="234"/>
      <c r="J80" s="234"/>
    </row>
    <row r="81" spans="1:10" x14ac:dyDescent="0.25">
      <c r="A81" s="240"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aStatProgression=((StatType=eStat_Offense,StatAmount=7), (StatType=eStat_HP,StatAmount=0), (StatType=eStat_Hacking,StatAmount=0), (StatType=eStat_CombatSims,StatAmount=1), (StatType=eStat_Will,StatAmount=3)),\\</v>
      </c>
      <c r="B81" s="234" t="s">
        <v>340</v>
      </c>
      <c r="C81" s="234"/>
      <c r="D81" s="234"/>
      <c r="E81" s="248" t="str">
        <f>"; Male Nicknames"</f>
        <v>; Male Nicknames</v>
      </c>
      <c r="F81" s="234" t="s">
        <v>340</v>
      </c>
      <c r="G81" s="234"/>
      <c r="H81" s="234"/>
      <c r="I81" s="234"/>
      <c r="J81" s="234"/>
    </row>
    <row r="82" spans="1:10" x14ac:dyDescent="0.25">
      <c r="A82" s="240" t="s">
        <v>338</v>
      </c>
      <c r="B82" s="234" t="s">
        <v>340</v>
      </c>
      <c r="C82" s="234"/>
      <c r="D82" s="234"/>
      <c r="E82" s="248" t="str">
        <f ca="1">IF(INDIRECT("X4")&lt;&gt;"","RandomNickNames_Male[0]="""&amp;INDIRECT("X4")&amp;"""","")</f>
        <v>RandomNickNames_Male[0]="Candyman"</v>
      </c>
      <c r="F82" s="234" t="s">
        <v>340</v>
      </c>
      <c r="G82" s="234"/>
      <c r="H82" s="234"/>
      <c r="I82" s="234"/>
      <c r="J82" s="234"/>
    </row>
    <row r="83" spans="1:10" x14ac:dyDescent="0.25">
      <c r="A83" s="240" t="str">
        <f>"; lance corporal"</f>
        <v>; lance corporal</v>
      </c>
      <c r="B83" s="234" t="s">
        <v>340</v>
      </c>
      <c r="C83" s="234"/>
      <c r="D83" s="234"/>
      <c r="E83" s="248" t="str">
        <f ca="1">IF(INDIRECT("X5")&lt;&gt;"","RandomNickNames_Male[1]="""&amp;INDIRECT("X5")&amp;"""","")</f>
        <v>RandomNickNames_Male[1]="Magic Man"</v>
      </c>
      <c r="F83" s="234" t="s">
        <v>340</v>
      </c>
      <c r="G83" s="234"/>
      <c r="H83" s="234"/>
      <c r="I83" s="234"/>
      <c r="J83" s="234"/>
    </row>
    <row r="84" spans="1:10" x14ac:dyDescent="0.25">
      <c r="A84" s="240" t="str">
        <f ca="1">"+SoldierRanks=(  aAbilityTree=( (AbilityName="""&amp;VLOOKUP(INDIRECT("F13"),Abilities,2,FALSE)&amp;""""&amp;IF(VLOOKUP(INDIRECT("F13"),Abilities,3,FALSE)="","",", ApplyToWeaponSlot=eInvSlot_"&amp;VLOOKUP(INDIRECT("F13"),Abilities,3,FALSE))&amp;"), \\"</f>
        <v>+SoldierRanks=(  aAbilityTree=( (AbilityName="LWD_AntiMateriel", ApplyToWeaponSlot=eInvSlot_PrimaryWeapon), \\</v>
      </c>
      <c r="B84" s="234" t="s">
        <v>340</v>
      </c>
      <c r="C84" s="234"/>
      <c r="D84" s="234"/>
      <c r="E84" s="248" t="str">
        <f ca="1">IF(INDIRECT("X6")&lt;&gt;"","RandomNickNames_Male[2]="""&amp;INDIRECT("X6")&amp;"""","")</f>
        <v>RandomNickNames_Male[2]="Priest"</v>
      </c>
      <c r="F84" s="234" t="s">
        <v>340</v>
      </c>
      <c r="G84" s="234"/>
      <c r="H84" s="234"/>
      <c r="I84" s="234"/>
      <c r="J84" s="234"/>
    </row>
    <row r="85" spans="1:10" x14ac:dyDescent="0.25">
      <c r="A85" s="240" t="str">
        <f ca="1">IF(INDIRECT("I13")="","\\","(AbilityName="""&amp;VLOOKUP(INDIRECT("I13"),Abilities,2,FALSE)&amp;""""&amp;IF(VLOOKUP(INDIRECT("I13"),Abilities,3,FALSE)="","",", ApplyToWeaponSlot=eInvSlot_"&amp;VLOOKUP(INDIRECT("I13"),Abilities,3,FALSE))&amp;"), \\")</f>
        <v>(AbilityName=" "), \\</v>
      </c>
      <c r="B85" s="234" t="s">
        <v>340</v>
      </c>
      <c r="C85" s="234"/>
      <c r="D85" s="234"/>
      <c r="E85" s="248" t="str">
        <f ca="1">IF(INDIRECT("X7")&lt;&gt;"","RandomNickNames_Male[3]="""&amp;INDIRECT("X7")&amp;"""","")</f>
        <v>RandomNickNames_Male[3]="Rainman"</v>
      </c>
      <c r="F85" s="234" t="s">
        <v>340</v>
      </c>
      <c r="G85" s="234"/>
      <c r="H85" s="234"/>
      <c r="I85" s="234"/>
      <c r="J85" s="234"/>
    </row>
    <row r="86" spans="1:10" x14ac:dyDescent="0.25">
      <c r="A86" s="240" t="str">
        <f ca="1">IF(INDIRECT("L13")="","\\","(AbilityName="""&amp;VLOOKUP(INDIRECT("L13"),Abilities,2,FALSE)&amp;""""&amp;IF(VLOOKUP(INDIRECT("L13"),Abilities,3,FALSE)="","",", ApplyToWeaponSlot=eInvSlot_"&amp;VLOOKUP(INDIRECT("L13"),Abilities,3,FALSE))&amp;"), \\")</f>
        <v>(AbilityName="JavelinRockets", ApplyToWeaponSlot=eInvSlot_SecondaryWeapon), \\</v>
      </c>
      <c r="B86" s="234" t="s">
        <v>340</v>
      </c>
      <c r="C86" s="234"/>
      <c r="D86" s="234"/>
      <c r="E86" s="248" t="str">
        <f ca="1">IF(INDIRECT("X8")&lt;&gt;"","RandomNickNames_Male[4]="""&amp;INDIRECT("X8")&amp;"""","")</f>
        <v>RandomNickNames_Male[4]="Rooster"</v>
      </c>
      <c r="F86" s="234" t="s">
        <v>340</v>
      </c>
      <c r="G86" s="234"/>
      <c r="H86" s="234"/>
      <c r="I86" s="234"/>
      <c r="J86" s="234"/>
    </row>
    <row r="87" spans="1:10" x14ac:dyDescent="0.25">
      <c r="A87" s="240" t="s">
        <v>337</v>
      </c>
      <c r="B87" s="234" t="s">
        <v>340</v>
      </c>
      <c r="C87" s="234"/>
      <c r="D87" s="234"/>
      <c r="E87" s="248" t="str">
        <f>"; Female Nicknames"</f>
        <v>; Female Nicknames</v>
      </c>
      <c r="F87" s="234" t="s">
        <v>340</v>
      </c>
      <c r="G87" s="234"/>
      <c r="H87" s="234"/>
      <c r="I87" s="234"/>
      <c r="J87" s="234"/>
    </row>
    <row r="88" spans="1:10" x14ac:dyDescent="0.25">
      <c r="A88" s="240"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aStatProgression=((StatType=eStat_Offense,StatAmount=3), (StatType=eStat_HP,StatAmount=0), (StatType=eStat_Hacking,StatAmount=0), (StatType=eStat_Will,StatAmount=3)),\\</v>
      </c>
      <c r="B88" s="234" t="s">
        <v>340</v>
      </c>
      <c r="C88" s="234"/>
      <c r="D88" s="234"/>
      <c r="E88" s="248" t="str">
        <f ca="1">IF(INDIRECT("X10")&lt;&gt;"","RandomNickNames_Female[0]="""&amp;INDIRECT("X10")&amp;"""","")</f>
        <v>RandomNickNames_Female[0]="Priestess"</v>
      </c>
      <c r="F88" s="234" t="s">
        <v>340</v>
      </c>
      <c r="G88" s="234"/>
      <c r="H88" s="234"/>
      <c r="I88" s="234"/>
      <c r="J88" s="234"/>
    </row>
    <row r="89" spans="1:10" x14ac:dyDescent="0.25">
      <c r="A89" s="240" t="s">
        <v>338</v>
      </c>
      <c r="B89" s="234" t="s">
        <v>340</v>
      </c>
      <c r="C89" s="234"/>
      <c r="D89" s="234"/>
      <c r="E89" s="248" t="str">
        <f ca="1">IF(INDIRECT("X11")&lt;&gt;"","RandomNickNames_Female[1]="""&amp;INDIRECT("X11")&amp;"""","")</f>
        <v>RandomNickNames_Female[1]="Wolfmother"</v>
      </c>
      <c r="F89" s="234" t="s">
        <v>340</v>
      </c>
      <c r="G89" s="234"/>
      <c r="H89" s="234"/>
      <c r="I89" s="234"/>
      <c r="J89" s="234"/>
    </row>
    <row r="90" spans="1:10" x14ac:dyDescent="0.25">
      <c r="A90" s="240" t="str">
        <f>"; corporal"</f>
        <v>; corporal</v>
      </c>
      <c r="B90" s="234" t="s">
        <v>340</v>
      </c>
      <c r="C90" s="234"/>
      <c r="D90" s="234"/>
      <c r="E90" s="248" t="str">
        <f ca="1">IF(INDIRECT("X12")&lt;&gt;"","RandomNickNames_Female[2]="""&amp;INDIRECT("X12")&amp;"""","")</f>
        <v>RandomNickNames_Female[2]="Black Widow"</v>
      </c>
      <c r="F90" s="234" t="s">
        <v>340</v>
      </c>
      <c r="G90" s="234"/>
      <c r="H90" s="234"/>
      <c r="I90" s="234"/>
      <c r="J90" s="234"/>
    </row>
    <row r="91" spans="1:10" x14ac:dyDescent="0.25">
      <c r="A91" s="240" t="str">
        <f ca="1">"+SoldierRanks=(  aAbilityTree=( (AbilityName="""&amp;VLOOKUP(INDIRECT("F17"),Abilities,2,FALSE)&amp;""""&amp;IF(VLOOKUP(INDIRECT("F17"),Abilities,3,FALSE)="","",", ApplyToWeaponSlot=eInvSlot_"&amp;VLOOKUP(INDIRECT("F17"),Abilities,3,FALSE))&amp;"), \\"</f>
        <v>+SoldierRanks=(  aAbilityTree=( (AbilityName=" "), \\</v>
      </c>
      <c r="B91" s="234" t="s">
        <v>340</v>
      </c>
      <c r="C91" s="234"/>
      <c r="D91" s="234"/>
      <c r="E91" s="248" t="str">
        <f ca="1">IF(INDIRECT("X13")&lt;&gt;"","RandomNickNames_Female[3]="""&amp;INDIRECT("X13")&amp;"""","")</f>
        <v>RandomNickNames_Female[3]="Duchess"</v>
      </c>
      <c r="F91" s="234" t="s">
        <v>340</v>
      </c>
      <c r="G91" s="234"/>
      <c r="H91" s="234"/>
      <c r="I91" s="234"/>
      <c r="J91" s="234"/>
    </row>
    <row r="92" spans="1:10" ht="15.75" thickBot="1" x14ac:dyDescent="0.3">
      <c r="A92" s="240" t="str">
        <f ca="1">IF(INDIRECT("I17")="","\\","(AbilityName="""&amp;VLOOKUP(INDIRECT("I17"),Abilities,2,FALSE)&amp;""""&amp;IF(VLOOKUP(INDIRECT("I17"),Abilities,3,FALSE)="","",", ApplyToWeaponSlot=eInvSlot_"&amp;VLOOKUP(INDIRECT("I17"),Abilities,3,FALSE))&amp;"), \\")</f>
        <v>(AbilityName="FireInTheHole", ApplyToWeaponSlot=eInvSlot_SecondaryWeapon), \\</v>
      </c>
      <c r="B92" s="234" t="s">
        <v>340</v>
      </c>
      <c r="C92" s="234"/>
      <c r="D92" s="234"/>
      <c r="E92" s="249" t="str">
        <f ca="1">IF(INDIRECT("X14")&lt;&gt;"","RandomNickNames_Female[4]="""&amp;INDIRECT("X14")&amp;"""","")</f>
        <v>RandomNickNames_Female[4]="Queen"</v>
      </c>
      <c r="F92" s="234" t="s">
        <v>340</v>
      </c>
      <c r="G92" s="234"/>
      <c r="H92" s="234"/>
      <c r="I92" s="234"/>
      <c r="J92" s="234"/>
    </row>
    <row r="93" spans="1:10" x14ac:dyDescent="0.25">
      <c r="A93" s="240" t="str">
        <f ca="1">IF(INDIRECT("L17")="","\\","(AbilityName="""&amp;VLOOKUP(INDIRECT("L17"),Abilities,2,FALSE)&amp;""""&amp;IF(VLOOKUP(INDIRECT("L17"),Abilities,3,FALSE)="","",", ApplyToWeaponSlot=eInvSlot_"&amp;VLOOKUP(INDIRECT("L17"),Abilities,3,FALSE))&amp;"), \\")</f>
        <v>(AbilityName=" "), \\</v>
      </c>
      <c r="B93" s="234" t="s">
        <v>340</v>
      </c>
      <c r="C93" s="234"/>
      <c r="D93" s="234"/>
      <c r="E93" s="234"/>
      <c r="F93" s="234"/>
      <c r="G93" s="234"/>
      <c r="H93" s="234"/>
      <c r="I93" s="234"/>
      <c r="J93" s="234"/>
    </row>
    <row r="94" spans="1:10" x14ac:dyDescent="0.25">
      <c r="A94" s="240" t="s">
        <v>337</v>
      </c>
      <c r="B94" s="234" t="s">
        <v>340</v>
      </c>
      <c r="C94" s="234"/>
      <c r="D94" s="234"/>
      <c r="E94" s="234"/>
      <c r="F94" s="234"/>
      <c r="G94" s="234"/>
      <c r="H94" s="234"/>
      <c r="I94" s="234"/>
      <c r="J94" s="234"/>
    </row>
    <row r="95" spans="1:10" x14ac:dyDescent="0.25">
      <c r="A95" s="240"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aStatProgression=((StatType=eStat_Offense,StatAmount=3), (StatType=eStat_HP,StatAmount=1), (StatType=eStat_Hacking,StatAmount=0)),\\</v>
      </c>
      <c r="B95" s="234" t="s">
        <v>340</v>
      </c>
      <c r="C95" s="234"/>
      <c r="D95" s="234"/>
      <c r="E95" s="234"/>
      <c r="F95" s="234"/>
      <c r="G95" s="234"/>
      <c r="H95" s="234"/>
      <c r="I95" s="234"/>
      <c r="J95" s="234"/>
    </row>
    <row r="96" spans="1:10" x14ac:dyDescent="0.25">
      <c r="A96" s="240" t="s">
        <v>338</v>
      </c>
      <c r="B96" s="234" t="s">
        <v>340</v>
      </c>
      <c r="C96" s="234"/>
      <c r="D96" s="234"/>
      <c r="E96" s="234"/>
      <c r="F96" s="234"/>
      <c r="G96" s="234"/>
      <c r="H96" s="234"/>
      <c r="I96" s="234"/>
      <c r="J96" s="234"/>
    </row>
    <row r="97" spans="1:10" x14ac:dyDescent="0.25">
      <c r="A97" s="240" t="str">
        <f>"; sergeant"</f>
        <v>; sergeant</v>
      </c>
      <c r="B97" s="234" t="s">
        <v>340</v>
      </c>
      <c r="C97" s="234"/>
      <c r="D97" s="234"/>
      <c r="E97" s="234"/>
      <c r="F97" s="234"/>
      <c r="G97" s="234"/>
      <c r="H97" s="234"/>
      <c r="I97" s="234"/>
      <c r="J97" s="234"/>
    </row>
    <row r="98" spans="1:10" x14ac:dyDescent="0.25">
      <c r="A98" s="240" t="str">
        <f ca="1">"+SoldierRanks=(  aAbilityTree=( (AbilityName="""&amp;VLOOKUP(INDIRECT("F21"),Abilities,2,FALSE)&amp;""""&amp;IF(VLOOKUP(INDIRECT("F21"),Abilities,3,FALSE)="","",", ApplyToWeaponSlot=eInvSlot_"&amp;VLOOKUP(INDIRECT("F21"),Abilities,3,FALSE))&amp;"), \\"</f>
        <v>+SoldierRanks=(  aAbilityTree=( (AbilityName="LWD_Gallop"), \\</v>
      </c>
      <c r="B98" s="234" t="s">
        <v>340</v>
      </c>
      <c r="C98" s="234"/>
      <c r="D98" s="234"/>
      <c r="E98" s="234"/>
      <c r="F98" s="234"/>
      <c r="G98" s="234"/>
      <c r="H98" s="234"/>
      <c r="I98" s="234"/>
      <c r="J98" s="234"/>
    </row>
    <row r="99" spans="1:10" x14ac:dyDescent="0.25">
      <c r="A99" s="240" t="str">
        <f ca="1">IF(INDIRECT("I21")="","\\","(AbilityName="""&amp;VLOOKUP(INDIRECT("I21"),Abilities,2,FALSE)&amp;""""&amp;IF(VLOOKUP(INDIRECT("I21"),Abilities,3,FALSE)="","",", ApplyToWeaponSlot=eInvSlot_"&amp;VLOOKUP(INDIRECT("I21"),Abilities,3,FALSE))&amp;"), \\")</f>
        <v>(AbilityName=" "), \\</v>
      </c>
      <c r="B99" s="234" t="s">
        <v>340</v>
      </c>
      <c r="C99" s="234"/>
      <c r="D99" s="234"/>
      <c r="E99" s="234"/>
      <c r="F99" s="234"/>
      <c r="G99" s="234"/>
      <c r="H99" s="234"/>
      <c r="I99" s="234"/>
      <c r="J99" s="234"/>
    </row>
    <row r="100" spans="1:10" x14ac:dyDescent="0.25">
      <c r="A100" s="240" t="str">
        <f ca="1">IF(INDIRECT("L21")="","\\","(AbilityName="""&amp;VLOOKUP(INDIRECT("L21"),Abilities,2,FALSE)&amp;""""&amp;IF(VLOOKUP(INDIRECT("L21"),Abilities,3,FALSE)="","",", ApplyToWeaponSlot=eInvSlot_"&amp;VLOOKUP(INDIRECT("L21"),Abilities,3,FALSE))&amp;"), \\")</f>
        <v>(AbilityName="BiggestBooms_LW"), \\</v>
      </c>
      <c r="B100" s="234" t="s">
        <v>340</v>
      </c>
      <c r="C100" s="234"/>
      <c r="D100" s="234"/>
      <c r="E100" s="234"/>
      <c r="F100" s="234"/>
      <c r="G100" s="234"/>
      <c r="H100" s="234"/>
      <c r="I100" s="234"/>
      <c r="J100" s="234"/>
    </row>
    <row r="101" spans="1:10" x14ac:dyDescent="0.25">
      <c r="A101" s="240" t="s">
        <v>337</v>
      </c>
      <c r="B101" s="234" t="s">
        <v>340</v>
      </c>
      <c r="C101" s="234"/>
      <c r="D101" s="234"/>
      <c r="E101" s="234"/>
      <c r="F101" s="234"/>
      <c r="G101" s="234"/>
      <c r="H101" s="234"/>
      <c r="I101" s="234"/>
      <c r="J101" s="234"/>
    </row>
    <row r="102" spans="1:10" x14ac:dyDescent="0.25">
      <c r="A102" s="240"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aStatProgression=((StatType=eStat_Offense,StatAmount=3), (StatType=eStat_HP,StatAmount=0), (StatType=eStat_Hacking,StatAmount=0)),\\</v>
      </c>
      <c r="B102" s="234" t="s">
        <v>340</v>
      </c>
      <c r="C102" s="234"/>
      <c r="D102" s="234"/>
      <c r="E102" s="234"/>
      <c r="F102" s="234"/>
      <c r="G102" s="234"/>
      <c r="H102" s="234"/>
      <c r="I102" s="234"/>
      <c r="J102" s="234"/>
    </row>
    <row r="103" spans="1:10" x14ac:dyDescent="0.25">
      <c r="A103" s="240" t="s">
        <v>338</v>
      </c>
      <c r="B103" s="234" t="s">
        <v>340</v>
      </c>
      <c r="C103" s="234"/>
      <c r="D103" s="234"/>
      <c r="E103" s="234"/>
      <c r="F103" s="234"/>
      <c r="G103" s="234"/>
      <c r="H103" s="234"/>
      <c r="I103" s="234"/>
      <c r="J103" s="234"/>
    </row>
    <row r="104" spans="1:10" x14ac:dyDescent="0.25">
      <c r="A104" s="240" t="str">
        <f>"; staff sergeant"</f>
        <v>; staff sergeant</v>
      </c>
      <c r="B104" s="234" t="s">
        <v>340</v>
      </c>
      <c r="C104" s="234"/>
      <c r="D104" s="234"/>
      <c r="E104" s="234"/>
      <c r="F104" s="234"/>
      <c r="G104" s="234"/>
      <c r="H104" s="234"/>
      <c r="I104" s="234"/>
      <c r="J104" s="234"/>
    </row>
    <row r="105" spans="1:10" x14ac:dyDescent="0.25">
      <c r="A105" s="240" t="str">
        <f ca="1">"+SoldierRanks=(  aAbilityTree=( (AbilityName="""&amp;VLOOKUP(INDIRECT("F25"),Abilities,2,FALSE)&amp;""""&amp;IF(VLOOKUP(INDIRECT("F25"),Abilities,3,FALSE)="","",", ApplyToWeaponSlot=eInvSlot_"&amp;VLOOKUP(INDIRECT("F25"),Abilities,3,FALSE))&amp;"), \\"</f>
        <v>+SoldierRanks=(  aAbilityTree=( (AbilityName="LongWatch", ApplyToWeaponSlot=eInvSlot_PrimaryWeapon), \\</v>
      </c>
      <c r="B105" s="234" t="s">
        <v>340</v>
      </c>
      <c r="C105" s="234"/>
      <c r="D105" s="234"/>
      <c r="E105" s="234"/>
      <c r="F105" s="234"/>
      <c r="G105" s="234"/>
      <c r="H105" s="234"/>
      <c r="I105" s="234"/>
      <c r="J105" s="234"/>
    </row>
    <row r="106" spans="1:10" x14ac:dyDescent="0.25">
      <c r="A106" s="240" t="str">
        <f ca="1">IF(INDIRECT("I25")="","\\","(AbilityName="""&amp;VLOOKUP(INDIRECT("I25"),Abilities,2,FALSE)&amp;""""&amp;IF(VLOOKUP(INDIRECT("I25"),Abilities,3,FALSE)="","",", ApplyToWeaponSlot=eInvSlot_"&amp;VLOOKUP(INDIRECT("I25"),Abilities,3,FALSE))&amp;"), \\")</f>
        <v>(AbilityName=" "), \\</v>
      </c>
      <c r="B106" s="234" t="s">
        <v>340</v>
      </c>
      <c r="C106" s="234"/>
      <c r="D106" s="234"/>
      <c r="E106" s="234"/>
      <c r="F106" s="234"/>
      <c r="G106" s="234"/>
      <c r="H106" s="234"/>
      <c r="I106" s="234"/>
      <c r="J106" s="234"/>
    </row>
    <row r="107" spans="1:10" x14ac:dyDescent="0.25">
      <c r="A107" s="240" t="str">
        <f ca="1">IF(INDIRECT("L25")="","\\","(AbilityName="""&amp;VLOOKUP(INDIRECT("L25"),Abilities,2,FALSE)&amp;""""&amp;IF(VLOOKUP(INDIRECT("L25"),Abilities,3,FALSE)="","",", ApplyToWeaponSlot=eInvSlot_"&amp;VLOOKUP(INDIRECT("L25"),Abilities,3,FALSE))&amp;"), \\")</f>
        <v>(AbilityName="LWD_FullyStocked"), \\</v>
      </c>
      <c r="B107" s="234" t="s">
        <v>340</v>
      </c>
      <c r="C107" s="234"/>
      <c r="D107" s="234"/>
      <c r="E107" s="234"/>
      <c r="F107" s="234"/>
      <c r="G107" s="234"/>
      <c r="H107" s="234"/>
      <c r="I107" s="234"/>
      <c r="J107" s="234"/>
    </row>
    <row r="108" spans="1:10" x14ac:dyDescent="0.25">
      <c r="A108" s="240" t="s">
        <v>337</v>
      </c>
      <c r="B108" s="234" t="s">
        <v>340</v>
      </c>
      <c r="C108" s="234"/>
      <c r="D108" s="234"/>
      <c r="E108" s="234"/>
      <c r="F108" s="234"/>
      <c r="G108" s="234"/>
      <c r="H108" s="234"/>
      <c r="I108" s="234"/>
      <c r="J108" s="234"/>
    </row>
    <row r="109" spans="1:10" x14ac:dyDescent="0.25">
      <c r="A109" s="240"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(StatType=eStat_HP,StatAmount=0), (StatType=eStat_Hacking,StatAmount=0)),\\</v>
      </c>
      <c r="B109" s="234" t="s">
        <v>340</v>
      </c>
      <c r="C109" s="234"/>
      <c r="D109" s="234"/>
      <c r="E109" s="234"/>
      <c r="F109" s="234"/>
      <c r="G109" s="234"/>
      <c r="H109" s="234"/>
      <c r="I109" s="234"/>
      <c r="J109" s="234"/>
    </row>
    <row r="110" spans="1:10" x14ac:dyDescent="0.25">
      <c r="A110" s="240" t="s">
        <v>338</v>
      </c>
      <c r="B110" s="234" t="s">
        <v>340</v>
      </c>
      <c r="C110" s="234"/>
      <c r="D110" s="234"/>
      <c r="E110" s="234"/>
      <c r="F110" s="234"/>
      <c r="G110" s="234"/>
      <c r="H110" s="234"/>
      <c r="I110" s="234"/>
      <c r="J110" s="234"/>
    </row>
    <row r="111" spans="1:10" x14ac:dyDescent="0.25">
      <c r="A111" s="240" t="str">
        <f>"; tech sergeant"</f>
        <v>; tech sergeant</v>
      </c>
      <c r="B111" s="234" t="s">
        <v>340</v>
      </c>
      <c r="C111" s="234"/>
      <c r="D111" s="234"/>
      <c r="E111" s="234"/>
      <c r="F111" s="234"/>
      <c r="G111" s="234"/>
      <c r="H111" s="234"/>
      <c r="I111" s="234"/>
      <c r="J111" s="234"/>
    </row>
    <row r="112" spans="1:10" x14ac:dyDescent="0.25">
      <c r="A112" s="240" t="str">
        <f ca="1">"+SoldierRanks=(  aAbilityTree=( (AbilityName="""&amp;VLOOKUP(INDIRECT("F29"),Abilities,2,FALSE)&amp;""""&amp;IF(VLOOKUP(INDIRECT("F29"),Abilities,3,FALSE)="","",", ApplyToWeaponSlot=eInvSlot_"&amp;VLOOKUP(INDIRECT("F29"),Abilities,3,FALSE))&amp;"), \\"</f>
        <v>+SoldierRanks=(  aAbilityTree=( (AbilityName="Deadeye", ApplyToWeaponSlot=eInvSlot_PrimaryWeapon), \\</v>
      </c>
      <c r="B112" s="234" t="s">
        <v>340</v>
      </c>
      <c r="C112" s="234"/>
      <c r="D112" s="234"/>
      <c r="E112" s="234"/>
      <c r="F112" s="234"/>
      <c r="G112" s="234"/>
      <c r="H112" s="234"/>
      <c r="I112" s="234"/>
      <c r="J112" s="234"/>
    </row>
    <row r="113" spans="1:10" x14ac:dyDescent="0.25">
      <c r="A113" s="240" t="str">
        <f ca="1">IF(INDIRECT("I29")="","\\","(AbilityName="""&amp;VLOOKUP(INDIRECT("I29"),Abilities,2,FALSE)&amp;""""&amp;IF(VLOOKUP(INDIRECT("I29"),Abilities,3,FALSE)="","",", ApplyToWeaponSlot=eInvSlot_"&amp;VLOOKUP(INDIRECT("I29"),Abilities,3,FALSE))&amp;"), \\")</f>
        <v>(AbilityName=" "), \\</v>
      </c>
      <c r="B113" s="234" t="s">
        <v>340</v>
      </c>
      <c r="C113" s="234"/>
      <c r="D113" s="234"/>
      <c r="E113" s="234"/>
      <c r="F113" s="234"/>
      <c r="G113" s="234"/>
      <c r="H113" s="234"/>
      <c r="I113" s="234"/>
      <c r="J113" s="234"/>
    </row>
    <row r="114" spans="1:10" x14ac:dyDescent="0.25">
      <c r="A114" s="240" t="str">
        <f ca="1">IF(INDIRECT("L29")="","\\","(AbilityName="""&amp;VLOOKUP(INDIRECT("L29"),Abilities,2,FALSE)&amp;""""&amp;IF(VLOOKUP(INDIRECT("L29"),Abilities,3,FALSE)="","",", ApplyToWeaponSlot=eInvSlot_"&amp;VLOOKUP(INDIRECT("L29"),Abilities,3,FALSE))&amp;"), \\")</f>
        <v>(AbilityName="TandemWarheads"), \\</v>
      </c>
      <c r="B114" s="234" t="s">
        <v>340</v>
      </c>
      <c r="C114" s="234"/>
      <c r="D114" s="234"/>
      <c r="E114" s="234"/>
      <c r="F114" s="234"/>
      <c r="G114" s="234"/>
      <c r="H114" s="234"/>
      <c r="I114" s="234"/>
      <c r="J114" s="234"/>
    </row>
    <row r="115" spans="1:10" x14ac:dyDescent="0.25">
      <c r="A115" s="240" t="s">
        <v>337</v>
      </c>
      <c r="B115" s="234" t="s">
        <v>340</v>
      </c>
      <c r="C115" s="234"/>
      <c r="D115" s="234"/>
      <c r="E115" s="234"/>
      <c r="F115" s="234"/>
      <c r="G115" s="234"/>
      <c r="H115" s="234"/>
      <c r="I115" s="234"/>
      <c r="J115" s="234"/>
    </row>
    <row r="116" spans="1:10" x14ac:dyDescent="0.25">
      <c r="A116" s="240"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aStatProgression=((StatType=eStat_Offense,StatAmount=3), (StatType=eStat_HP,StatAmount=0), (StatType=eStat_Hacking,StatAmount=0)),\\</v>
      </c>
      <c r="B116" s="234" t="s">
        <v>340</v>
      </c>
      <c r="C116" s="234"/>
      <c r="D116" s="234"/>
      <c r="E116" s="234"/>
      <c r="F116" s="234"/>
      <c r="G116" s="234"/>
      <c r="H116" s="234"/>
      <c r="I116" s="234"/>
      <c r="J116" s="234"/>
    </row>
    <row r="117" spans="1:10" x14ac:dyDescent="0.25">
      <c r="A117" s="240" t="s">
        <v>338</v>
      </c>
      <c r="B117" s="234" t="s">
        <v>340</v>
      </c>
      <c r="C117" s="234"/>
      <c r="D117" s="234"/>
      <c r="E117" s="234"/>
      <c r="F117" s="234"/>
      <c r="G117" s="234"/>
      <c r="H117" s="234"/>
      <c r="I117" s="234"/>
      <c r="J117" s="234"/>
    </row>
    <row r="118" spans="1:10" x14ac:dyDescent="0.25">
      <c r="A118" s="240" t="str">
        <f>";  gunnery sergeant"</f>
        <v>;  gunnery sergeant</v>
      </c>
      <c r="B118" s="234" t="s">
        <v>340</v>
      </c>
      <c r="C118" s="234"/>
      <c r="D118" s="234"/>
      <c r="E118" s="234"/>
      <c r="F118" s="234"/>
      <c r="G118" s="234"/>
      <c r="H118" s="234"/>
      <c r="I118" s="234"/>
      <c r="J118" s="234"/>
    </row>
    <row r="119" spans="1:10" x14ac:dyDescent="0.25">
      <c r="A119" s="240" t="str">
        <f ca="1">"+SoldierRanks=(  aAbilityTree=( (AbilityName="""&amp;VLOOKUP(INDIRECT("F33"),Abilities,2,FALSE)&amp;""""&amp;IF(VLOOKUP(INDIRECT("F33"),Abilities,3,FALSE)="","",", ApplyToWeaponSlot=eInvSlot_"&amp;VLOOKUP(INDIRECT("F33"),Abilities,3,FALSE))&amp;"), \\"</f>
        <v>+SoldierRanks=(  aAbilityTree=( (AbilityName=" "), \\</v>
      </c>
      <c r="B119" s="234" t="s">
        <v>340</v>
      </c>
      <c r="C119" s="234"/>
      <c r="D119" s="234"/>
      <c r="E119" s="234"/>
      <c r="F119" s="234"/>
      <c r="G119" s="234"/>
      <c r="H119" s="234"/>
      <c r="I119" s="234"/>
      <c r="J119" s="234"/>
    </row>
    <row r="120" spans="1:10" x14ac:dyDescent="0.25">
      <c r="A120" s="240" t="str">
        <f ca="1">IF(INDIRECT("I33")="","\\","(AbilityName="""&amp;VLOOKUP(INDIRECT("I33"),Abilities,2,FALSE)&amp;""""&amp;IF(VLOOKUP(INDIRECT("I33"),Abilities,3,FALSE)="","",", ApplyToWeaponSlot=eInvSlot_"&amp;VLOOKUP(INDIRECT("I33"),Abilities,3,FALSE))&amp;"), \\")</f>
        <v>(AbilityName="FireandSteel", ApplyToWeaponSlot=eInvSlot_SecondaryWeapon), \\</v>
      </c>
      <c r="B120" s="234" t="s">
        <v>340</v>
      </c>
      <c r="C120" s="234"/>
      <c r="D120" s="234"/>
      <c r="E120" s="234"/>
      <c r="F120" s="234"/>
      <c r="G120" s="234"/>
      <c r="H120" s="234"/>
      <c r="I120" s="234"/>
      <c r="J120" s="234"/>
    </row>
    <row r="121" spans="1:10" x14ac:dyDescent="0.25">
      <c r="A121" s="240" t="str">
        <f ca="1">IF(INDIRECT("L33")="","\\","(AbilityName="""&amp;VLOOKUP(INDIRECT("L33"),Abilities,2,FALSE)&amp;""""&amp;IF(VLOOKUP(INDIRECT("L33"),Abilities,3,FALSE)="","",", ApplyToWeaponSlot=eInvSlot_"&amp;VLOOKUP(INDIRECT("L33"),Abilities,3,FALSE))&amp;"), \\")</f>
        <v>(AbilityName=" "), \\</v>
      </c>
      <c r="B121" s="234" t="s">
        <v>340</v>
      </c>
      <c r="C121" s="234"/>
      <c r="D121" s="234"/>
      <c r="E121" s="234"/>
      <c r="F121" s="234"/>
      <c r="G121" s="234"/>
      <c r="H121" s="234"/>
      <c r="I121" s="234"/>
      <c r="J121" s="234"/>
    </row>
    <row r="122" spans="1:10" x14ac:dyDescent="0.25">
      <c r="A122" s="240" t="s">
        <v>337</v>
      </c>
      <c r="B122" s="234" t="s">
        <v>340</v>
      </c>
      <c r="C122" s="234"/>
      <c r="D122" s="234"/>
      <c r="E122" s="234"/>
      <c r="F122" s="234"/>
      <c r="G122" s="234"/>
      <c r="H122" s="234"/>
      <c r="I122" s="234"/>
      <c r="J122" s="234"/>
    </row>
    <row r="123" spans="1:10" x14ac:dyDescent="0.25">
      <c r="A123" s="240"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(StatType=eStat_HP,StatAmount=1), (StatType=eStat_Hacking,StatAmount=0)),\\</v>
      </c>
      <c r="B123" s="234" t="s">
        <v>340</v>
      </c>
      <c r="C123" s="234"/>
      <c r="D123" s="234"/>
      <c r="E123" s="234"/>
      <c r="F123" s="234"/>
      <c r="G123" s="234"/>
      <c r="H123" s="234"/>
      <c r="I123" s="234"/>
      <c r="J123" s="234"/>
    </row>
    <row r="124" spans="1:10" x14ac:dyDescent="0.25">
      <c r="A124" s="240" t="s">
        <v>338</v>
      </c>
      <c r="B124" s="234" t="s">
        <v>340</v>
      </c>
      <c r="C124" s="234"/>
      <c r="D124" s="234"/>
      <c r="E124" s="234"/>
      <c r="F124" s="234"/>
      <c r="G124" s="234"/>
      <c r="H124" s="234"/>
      <c r="I124" s="234"/>
      <c r="J124" s="234"/>
    </row>
    <row r="125" spans="1:10" x14ac:dyDescent="0.25">
      <c r="A125" s="240" t="str">
        <f>"; master sergeant"</f>
        <v>; master sergeant</v>
      </c>
      <c r="B125" s="234" t="s">
        <v>340</v>
      </c>
      <c r="C125" s="234"/>
      <c r="D125" s="234"/>
      <c r="E125" s="234"/>
      <c r="F125" s="234"/>
      <c r="G125" s="234"/>
      <c r="H125" s="234"/>
      <c r="I125" s="234"/>
      <c r="J125" s="234"/>
    </row>
    <row r="126" spans="1:10" x14ac:dyDescent="0.25">
      <c r="A126" s="240" t="str">
        <f ca="1">"+SoldierRanks=(  aAbilityTree=( (AbilityName="""&amp;VLOOKUP(INDIRECT("F37"),Abilities,2,FALSE)&amp;""""&amp;IF(VLOOKUP(INDIRECT("F37"),Abilities,3,FALSE)="","",", ApplyToWeaponSlot=eInvSlot_"&amp;VLOOKUP(INDIRECT("F37"),Abilities,3,FALSE))&amp;"), \\"</f>
        <v>+SoldierRanks=(  aAbilityTree=( (AbilityName="AlphaMikeFoxtrot", ApplyToWeaponSlot=eInvSlot_PrimaryWeapon), \\</v>
      </c>
      <c r="B126" s="234" t="s">
        <v>340</v>
      </c>
      <c r="C126" s="234"/>
      <c r="D126" s="234"/>
      <c r="E126" s="234"/>
      <c r="F126" s="234"/>
      <c r="G126" s="234"/>
      <c r="H126" s="234"/>
      <c r="I126" s="234"/>
      <c r="J126" s="234"/>
    </row>
    <row r="127" spans="1:10" x14ac:dyDescent="0.25">
      <c r="A127" s="240" t="str">
        <f ca="1">IF(INDIRECT("I37")="","\\","(AbilityName="""&amp;VLOOKUP(INDIRECT("I37"),Abilities,2,FALSE)&amp;""""&amp;IF(VLOOKUP(INDIRECT("I37"),Abilities,3,FALSE)="","",", ApplyToWeaponSlot=eInvSlot_"&amp;VLOOKUP(INDIRECT("I37"),Abilities,3,FALSE))&amp;"), \\")</f>
        <v>(AbilityName=" "), \\</v>
      </c>
      <c r="B127" s="234" t="s">
        <v>340</v>
      </c>
      <c r="C127" s="234"/>
      <c r="D127" s="234"/>
      <c r="E127" s="234"/>
      <c r="F127" s="234"/>
      <c r="G127" s="234"/>
      <c r="H127" s="234"/>
      <c r="I127" s="234"/>
      <c r="J127" s="234"/>
    </row>
    <row r="128" spans="1:10" x14ac:dyDescent="0.25">
      <c r="A128" s="240" t="str">
        <f ca="1">IF(INDIRECT("L37")="","\\","(AbilityName="""&amp;VLOOKUP(INDIRECT("L37"),Abilities,2,FALSE)&amp;""""&amp;IF(VLOOKUP(INDIRECT("L37"),Abilities,3,FALSE)="","",", ApplyToWeaponSlot=eInvSlot_"&amp;VLOOKUP(INDIRECT("L37"),Abilities,3,FALSE))&amp;"), \\")</f>
        <v>(AbilityName="BunkerBuster", ApplyToWeaponSlot=eInvSlot_SecondaryWeapon), \\</v>
      </c>
      <c r="B128" s="234" t="s">
        <v>340</v>
      </c>
      <c r="C128" s="234"/>
      <c r="D128" s="234"/>
      <c r="E128" s="234"/>
      <c r="F128" s="234"/>
      <c r="G128" s="234"/>
      <c r="H128" s="234"/>
      <c r="I128" s="234"/>
      <c r="J128" s="234"/>
    </row>
    <row r="129" spans="1:10" x14ac:dyDescent="0.25">
      <c r="A129" s="240" t="s">
        <v>337</v>
      </c>
      <c r="B129" s="234" t="s">
        <v>340</v>
      </c>
      <c r="C129" s="234"/>
      <c r="D129" s="234"/>
      <c r="E129" s="234"/>
      <c r="F129" s="234"/>
      <c r="G129" s="234"/>
      <c r="H129" s="234"/>
      <c r="I129" s="234"/>
      <c r="J129" s="234"/>
    </row>
    <row r="130" spans="1:10" x14ac:dyDescent="0.25">
      <c r="A130" s="240"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aStatProgression=((StatType=eStat_Offense,StatAmount=3), (StatType=eStat_HP,StatAmount=0), (StatType=eStat_Hacking,StatAmount=0)),\\</v>
      </c>
      <c r="B130" s="234" t="s">
        <v>340</v>
      </c>
      <c r="C130" s="234"/>
      <c r="D130" s="234"/>
      <c r="E130" s="234"/>
      <c r="F130" s="234"/>
      <c r="G130" s="234"/>
      <c r="H130" s="234"/>
      <c r="I130" s="234"/>
      <c r="J130" s="234"/>
    </row>
    <row r="131" spans="1:10" ht="15.75" thickBot="1" x14ac:dyDescent="0.3">
      <c r="A131" s="241" t="s">
        <v>338</v>
      </c>
      <c r="B131" s="234" t="s">
        <v>340</v>
      </c>
      <c r="C131" s="234"/>
      <c r="D131" s="234"/>
      <c r="E131" s="234"/>
      <c r="F131" s="234"/>
      <c r="G131" s="234"/>
      <c r="H131" s="234"/>
      <c r="I131" s="234"/>
      <c r="J131" s="234"/>
    </row>
  </sheetData>
  <mergeCells count="140">
    <mergeCell ref="F37:G37"/>
    <mergeCell ref="I37:J37"/>
    <mergeCell ref="L37:M37"/>
    <mergeCell ref="F38:H39"/>
    <mergeCell ref="I38:K39"/>
    <mergeCell ref="L38:N39"/>
    <mergeCell ref="F34:H35"/>
    <mergeCell ref="I34:K35"/>
    <mergeCell ref="L34:N35"/>
    <mergeCell ref="I30:K31"/>
    <mergeCell ref="L30:N31"/>
    <mergeCell ref="V30:W30"/>
    <mergeCell ref="V31:W31"/>
    <mergeCell ref="V34:W34"/>
    <mergeCell ref="V35:W35"/>
    <mergeCell ref="F36:N36"/>
    <mergeCell ref="F32:N32"/>
    <mergeCell ref="V32:W32"/>
    <mergeCell ref="F33:G33"/>
    <mergeCell ref="I33:J33"/>
    <mergeCell ref="L33:M33"/>
    <mergeCell ref="V33:W33"/>
    <mergeCell ref="F28:N28"/>
    <mergeCell ref="V28:W28"/>
    <mergeCell ref="V22:W22"/>
    <mergeCell ref="A23:E24"/>
    <mergeCell ref="V23:W23"/>
    <mergeCell ref="F24:N24"/>
    <mergeCell ref="V24:W24"/>
    <mergeCell ref="A25:E39"/>
    <mergeCell ref="F25:G25"/>
    <mergeCell ref="I25:J25"/>
    <mergeCell ref="L25:M25"/>
    <mergeCell ref="V25:W25"/>
    <mergeCell ref="A20:E22"/>
    <mergeCell ref="F20:N20"/>
    <mergeCell ref="V20:W20"/>
    <mergeCell ref="F21:G21"/>
    <mergeCell ref="I21:J21"/>
    <mergeCell ref="L21:M21"/>
    <mergeCell ref="V21:W21"/>
    <mergeCell ref="F29:G29"/>
    <mergeCell ref="I29:J29"/>
    <mergeCell ref="L29:M29"/>
    <mergeCell ref="V29:W29"/>
    <mergeCell ref="F30:H31"/>
    <mergeCell ref="I18:K19"/>
    <mergeCell ref="L18:N19"/>
    <mergeCell ref="V18:W18"/>
    <mergeCell ref="V19:W19"/>
    <mergeCell ref="F26:H27"/>
    <mergeCell ref="I26:K27"/>
    <mergeCell ref="L26:N27"/>
    <mergeCell ref="V26:W26"/>
    <mergeCell ref="V27:W27"/>
    <mergeCell ref="V16:W16"/>
    <mergeCell ref="F17:G17"/>
    <mergeCell ref="I17:J17"/>
    <mergeCell ref="L17:M17"/>
    <mergeCell ref="V17:W17"/>
    <mergeCell ref="X13:Y13"/>
    <mergeCell ref="F14:H15"/>
    <mergeCell ref="I14:K15"/>
    <mergeCell ref="L14:N15"/>
    <mergeCell ref="V14:W14"/>
    <mergeCell ref="X14:Y14"/>
    <mergeCell ref="V15:W15"/>
    <mergeCell ref="V11:W11"/>
    <mergeCell ref="X11:Y11"/>
    <mergeCell ref="C10:D10"/>
    <mergeCell ref="F10:H10"/>
    <mergeCell ref="I10:K10"/>
    <mergeCell ref="L10:N10"/>
    <mergeCell ref="V10:W10"/>
    <mergeCell ref="X10:Y10"/>
    <mergeCell ref="C12:D12"/>
    <mergeCell ref="F12:N12"/>
    <mergeCell ref="O12:U13"/>
    <mergeCell ref="V12:W12"/>
    <mergeCell ref="X12:Y12"/>
    <mergeCell ref="C13:D13"/>
    <mergeCell ref="F13:G13"/>
    <mergeCell ref="I13:J13"/>
    <mergeCell ref="L13:M13"/>
    <mergeCell ref="V13:W13"/>
    <mergeCell ref="V7:W7"/>
    <mergeCell ref="X7:Y7"/>
    <mergeCell ref="C8:D8"/>
    <mergeCell ref="F8:H9"/>
    <mergeCell ref="I8:K9"/>
    <mergeCell ref="L8:N9"/>
    <mergeCell ref="V8:W8"/>
    <mergeCell ref="X8:Y8"/>
    <mergeCell ref="C9:D9"/>
    <mergeCell ref="V9:W9"/>
    <mergeCell ref="X9:Y9"/>
    <mergeCell ref="O1:U2"/>
    <mergeCell ref="V1:Y2"/>
    <mergeCell ref="A3:B3"/>
    <mergeCell ref="C3:E3"/>
    <mergeCell ref="F3:N3"/>
    <mergeCell ref="V3:W3"/>
    <mergeCell ref="X3:Y3"/>
    <mergeCell ref="X4:Y4"/>
    <mergeCell ref="F5:H6"/>
    <mergeCell ref="I5:K6"/>
    <mergeCell ref="L5:N6"/>
    <mergeCell ref="V5:W5"/>
    <mergeCell ref="X5:Y5"/>
    <mergeCell ref="A4:B4"/>
    <mergeCell ref="C4:E5"/>
    <mergeCell ref="F4:G4"/>
    <mergeCell ref="I4:J4"/>
    <mergeCell ref="L4:M4"/>
    <mergeCell ref="V4:W4"/>
    <mergeCell ref="C6:D6"/>
    <mergeCell ref="V6:W6"/>
    <mergeCell ref="X6:Y6"/>
    <mergeCell ref="A40:B41"/>
    <mergeCell ref="C40:E41"/>
    <mergeCell ref="A42:B42"/>
    <mergeCell ref="C42:D42"/>
    <mergeCell ref="E42:F42"/>
    <mergeCell ref="A1:B2"/>
    <mergeCell ref="C1:E2"/>
    <mergeCell ref="F1:N2"/>
    <mergeCell ref="C7:D7"/>
    <mergeCell ref="F7:G7"/>
    <mergeCell ref="I7:J7"/>
    <mergeCell ref="L7:M7"/>
    <mergeCell ref="C11:D11"/>
    <mergeCell ref="F11:H11"/>
    <mergeCell ref="I11:K11"/>
    <mergeCell ref="L11:N11"/>
    <mergeCell ref="F16:N16"/>
    <mergeCell ref="F22:H23"/>
    <mergeCell ref="I22:K23"/>
    <mergeCell ref="L22:N23"/>
    <mergeCell ref="A18:B19"/>
    <mergeCell ref="F18:H19"/>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87393"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87394"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87395"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87396"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87397"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87398"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87399"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87400"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87401"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87402"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87403"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87404"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87405"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Abilities!$A:$A</xm:f>
          </x14:formula1>
          <xm:sqref>I13 F17 L17 I21 I25 I29 L33 F33 I37 F4 L37 F37 L29 L25 L21 L4 L7 L13 I33 F29 F25 F21 I17 I4 I7 F7 F13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90" t="s">
        <v>308</v>
      </c>
      <c r="B1" s="91"/>
      <c r="C1" s="94" t="s">
        <v>210</v>
      </c>
      <c r="D1" s="95"/>
      <c r="E1" s="95"/>
      <c r="F1" s="98" t="s">
        <v>324</v>
      </c>
      <c r="G1" s="99"/>
      <c r="H1" s="99"/>
      <c r="I1" s="99"/>
      <c r="J1" s="99"/>
      <c r="K1" s="99"/>
      <c r="L1" s="99"/>
      <c r="M1" s="99"/>
      <c r="N1" s="99"/>
      <c r="O1" s="100" t="s">
        <v>325</v>
      </c>
      <c r="P1" s="101"/>
      <c r="Q1" s="101"/>
      <c r="R1" s="101"/>
      <c r="S1" s="101"/>
      <c r="T1" s="101"/>
      <c r="U1" s="102"/>
      <c r="V1" s="196" t="s">
        <v>776</v>
      </c>
      <c r="W1" s="197"/>
      <c r="X1" s="197"/>
      <c r="Y1" s="197"/>
    </row>
    <row r="2" spans="1:25" ht="15" customHeight="1" thickBot="1" x14ac:dyDescent="0.3">
      <c r="A2" s="92"/>
      <c r="B2" s="93"/>
      <c r="C2" s="96"/>
      <c r="D2" s="97"/>
      <c r="E2" s="97"/>
      <c r="F2" s="98"/>
      <c r="G2" s="99"/>
      <c r="H2" s="99"/>
      <c r="I2" s="99"/>
      <c r="J2" s="99"/>
      <c r="K2" s="99"/>
      <c r="L2" s="99"/>
      <c r="M2" s="99"/>
      <c r="N2" s="99"/>
      <c r="O2" s="103"/>
      <c r="P2" s="104"/>
      <c r="Q2" s="104"/>
      <c r="R2" s="104"/>
      <c r="S2" s="104"/>
      <c r="T2" s="104"/>
      <c r="U2" s="105"/>
      <c r="V2" s="198"/>
      <c r="W2" s="199"/>
      <c r="X2" s="199"/>
      <c r="Y2" s="199"/>
    </row>
    <row r="3" spans="1:25" ht="18" thickBot="1" x14ac:dyDescent="0.35">
      <c r="A3" s="106" t="s">
        <v>309</v>
      </c>
      <c r="B3" s="107"/>
      <c r="C3" s="108" t="str">
        <f>Output!$L$1&amp;SUBSTITUTE(C1," ","")</f>
        <v>LWD_Assault</v>
      </c>
      <c r="D3" s="109"/>
      <c r="E3" s="109"/>
      <c r="F3" s="110" t="s">
        <v>12</v>
      </c>
      <c r="G3" s="111"/>
      <c r="H3" s="111"/>
      <c r="I3" s="111"/>
      <c r="J3" s="111"/>
      <c r="K3" s="111"/>
      <c r="L3" s="111"/>
      <c r="M3" s="111"/>
      <c r="N3" s="112"/>
      <c r="O3" s="15"/>
      <c r="P3" s="16" t="s">
        <v>79</v>
      </c>
      <c r="Q3" s="17" t="s">
        <v>326</v>
      </c>
      <c r="R3" s="17" t="s">
        <v>328</v>
      </c>
      <c r="S3" s="17" t="s">
        <v>327</v>
      </c>
      <c r="T3" s="17" t="s">
        <v>330</v>
      </c>
      <c r="U3" s="18" t="s">
        <v>329</v>
      </c>
      <c r="V3" s="200" t="s">
        <v>810</v>
      </c>
      <c r="W3" s="201"/>
      <c r="X3" s="200" t="s">
        <v>811</v>
      </c>
      <c r="Y3" s="201"/>
    </row>
    <row r="4" spans="1:25" ht="18" thickTop="1" x14ac:dyDescent="0.3">
      <c r="A4" s="113" t="s">
        <v>310</v>
      </c>
      <c r="B4" s="114"/>
      <c r="C4" s="115" t="s">
        <v>314</v>
      </c>
      <c r="D4" s="116"/>
      <c r="E4" s="116"/>
      <c r="F4" s="119" t="s">
        <v>410</v>
      </c>
      <c r="G4" s="120"/>
      <c r="H4" s="4" t="str">
        <f>IFERROR(VLOOKUP(F4,Abilities,4,FALSE),"")</f>
        <v>LW2</v>
      </c>
      <c r="I4" s="121" t="s">
        <v>29</v>
      </c>
      <c r="J4" s="120"/>
      <c r="K4" s="35" t="str">
        <f>IFERROR(VLOOKUP(I4,Abilities,4,FALSE),"")</f>
        <v>LW2</v>
      </c>
      <c r="L4" s="122"/>
      <c r="M4" s="120"/>
      <c r="N4" s="10" t="str">
        <f>IFERROR(VLOOKUP(L4,Abilities,4,FALSE),"")</f>
        <v/>
      </c>
      <c r="O4" s="19" t="s">
        <v>12</v>
      </c>
      <c r="P4" s="4">
        <v>2</v>
      </c>
      <c r="Q4" s="20">
        <v>0</v>
      </c>
      <c r="R4" s="20"/>
      <c r="S4" s="4">
        <v>0</v>
      </c>
      <c r="T4" s="4">
        <v>1</v>
      </c>
      <c r="U4" s="10"/>
      <c r="V4" s="192" t="s">
        <v>777</v>
      </c>
      <c r="W4" s="193"/>
      <c r="X4" s="192" t="s">
        <v>801</v>
      </c>
      <c r="Y4" s="193"/>
    </row>
    <row r="5" spans="1:25" ht="15" customHeight="1" x14ac:dyDescent="0.25">
      <c r="A5" s="6"/>
      <c r="B5" s="5" t="b">
        <v>0</v>
      </c>
      <c r="C5" s="117"/>
      <c r="D5" s="118"/>
      <c r="E5" s="118"/>
      <c r="F5" s="123">
        <f>IFERROR(VLOOKUP(F4,Abilities,7,FALSE),"")</f>
        <v>0</v>
      </c>
      <c r="G5" s="124"/>
      <c r="H5" s="125"/>
      <c r="I5" s="129">
        <f>IFERROR(VLOOKUP(I4,Abilities,7,FALSE),"")</f>
        <v>0</v>
      </c>
      <c r="J5" s="130"/>
      <c r="K5" s="131"/>
      <c r="L5" s="130" t="str">
        <f>IFERROR(VLOOKUP(L4,Abilities,7,FALSE),"")</f>
        <v/>
      </c>
      <c r="M5" s="130"/>
      <c r="N5" s="135"/>
      <c r="O5" s="26" t="s">
        <v>456</v>
      </c>
      <c r="P5" s="27">
        <v>2</v>
      </c>
      <c r="Q5" s="28">
        <v>1</v>
      </c>
      <c r="R5" s="28"/>
      <c r="S5" s="27">
        <v>0</v>
      </c>
      <c r="T5" s="27"/>
      <c r="U5" s="29"/>
      <c r="V5" s="190" t="s">
        <v>821</v>
      </c>
      <c r="W5" s="191"/>
      <c r="X5" s="190" t="s">
        <v>802</v>
      </c>
      <c r="Y5" s="191"/>
    </row>
    <row r="6" spans="1:25" ht="15" customHeight="1" x14ac:dyDescent="0.25">
      <c r="A6" s="6"/>
      <c r="B6" s="5" t="b">
        <v>0</v>
      </c>
      <c r="C6" s="137" t="s">
        <v>315</v>
      </c>
      <c r="D6" s="138"/>
      <c r="E6" s="11">
        <v>0</v>
      </c>
      <c r="F6" s="126"/>
      <c r="G6" s="127"/>
      <c r="H6" s="128"/>
      <c r="I6" s="132"/>
      <c r="J6" s="133"/>
      <c r="K6" s="134"/>
      <c r="L6" s="133"/>
      <c r="M6" s="133"/>
      <c r="N6" s="136"/>
      <c r="O6" s="19" t="s">
        <v>15</v>
      </c>
      <c r="P6" s="4">
        <v>2</v>
      </c>
      <c r="Q6" s="20">
        <v>0</v>
      </c>
      <c r="R6" s="20"/>
      <c r="S6" s="4">
        <v>0</v>
      </c>
      <c r="T6" s="4"/>
      <c r="U6" s="10"/>
      <c r="V6" s="190" t="s">
        <v>778</v>
      </c>
      <c r="W6" s="191"/>
      <c r="X6" s="192" t="s">
        <v>803</v>
      </c>
      <c r="Y6" s="193"/>
    </row>
    <row r="7" spans="1:25" ht="15" customHeight="1" x14ac:dyDescent="0.25">
      <c r="A7" s="6"/>
      <c r="B7" s="5" t="b">
        <v>1</v>
      </c>
      <c r="C7" s="137" t="s">
        <v>316</v>
      </c>
      <c r="D7" s="138"/>
      <c r="E7" s="11">
        <v>4</v>
      </c>
      <c r="F7" s="139"/>
      <c r="G7" s="140"/>
      <c r="H7" s="4" t="str">
        <f>IFERROR(VLOOKUP(F7,Abilities,4,FALSE),"")</f>
        <v/>
      </c>
      <c r="I7" s="141"/>
      <c r="J7" s="140"/>
      <c r="K7" s="4" t="str">
        <f>IFERROR(VLOOKUP(I7,Abilities,4,FALSE),"")</f>
        <v/>
      </c>
      <c r="L7" s="142"/>
      <c r="M7" s="140"/>
      <c r="N7" s="10" t="str">
        <f>IFERROR(VLOOKUP(L7,Abilities,4,FALSE),"")</f>
        <v/>
      </c>
      <c r="O7" s="26" t="s">
        <v>21</v>
      </c>
      <c r="P7" s="27">
        <v>2</v>
      </c>
      <c r="Q7" s="28">
        <v>1</v>
      </c>
      <c r="R7" s="28"/>
      <c r="S7" s="27">
        <v>0</v>
      </c>
      <c r="T7" s="27"/>
      <c r="U7" s="29"/>
      <c r="V7" s="192" t="s">
        <v>779</v>
      </c>
      <c r="W7" s="193"/>
      <c r="X7" s="190" t="s">
        <v>904</v>
      </c>
      <c r="Y7" s="191"/>
    </row>
    <row r="8" spans="1:25" ht="15" customHeight="1" thickBot="1" x14ac:dyDescent="0.3">
      <c r="A8" s="6"/>
      <c r="B8" s="5" t="b">
        <v>0</v>
      </c>
      <c r="C8" s="137" t="s">
        <v>317</v>
      </c>
      <c r="D8" s="143"/>
      <c r="E8" s="12" t="s">
        <v>638</v>
      </c>
      <c r="F8" s="144" t="str">
        <f>IFERROR(VLOOKUP(F7,Abilities,7,FALSE),"")</f>
        <v/>
      </c>
      <c r="G8" s="130"/>
      <c r="H8" s="131"/>
      <c r="I8" s="129" t="str">
        <f>IFERROR(VLOOKUP(I7,Abilities,7,FALSE),"")</f>
        <v/>
      </c>
      <c r="J8" s="130"/>
      <c r="K8" s="131"/>
      <c r="L8" s="130" t="str">
        <f>IFERROR(VLOOKUP(L7,Abilities,7,FALSE),"")</f>
        <v/>
      </c>
      <c r="M8" s="130"/>
      <c r="N8" s="135"/>
      <c r="O8" s="21" t="s">
        <v>457</v>
      </c>
      <c r="P8" s="4">
        <v>2</v>
      </c>
      <c r="Q8" s="20">
        <v>0</v>
      </c>
      <c r="R8" s="20"/>
      <c r="S8" s="4">
        <v>0</v>
      </c>
      <c r="T8" s="4"/>
      <c r="U8" s="10"/>
      <c r="V8" s="190" t="s">
        <v>905</v>
      </c>
      <c r="W8" s="191"/>
      <c r="X8" s="192" t="s">
        <v>805</v>
      </c>
      <c r="Y8" s="193"/>
    </row>
    <row r="9" spans="1:25" ht="15.75" thickBot="1" x14ac:dyDescent="0.3">
      <c r="A9" s="6"/>
      <c r="B9" s="5" t="b">
        <v>0</v>
      </c>
      <c r="C9" s="137" t="s">
        <v>319</v>
      </c>
      <c r="D9" s="143"/>
      <c r="E9" s="12">
        <v>1</v>
      </c>
      <c r="F9" s="145"/>
      <c r="G9" s="133"/>
      <c r="H9" s="134"/>
      <c r="I9" s="146"/>
      <c r="J9" s="147"/>
      <c r="K9" s="148"/>
      <c r="L9" s="133"/>
      <c r="M9" s="133"/>
      <c r="N9" s="136"/>
      <c r="O9" s="26" t="s">
        <v>458</v>
      </c>
      <c r="P9" s="27">
        <v>2</v>
      </c>
      <c r="Q9" s="28">
        <v>1</v>
      </c>
      <c r="R9" s="28"/>
      <c r="S9" s="27">
        <v>0</v>
      </c>
      <c r="T9" s="27"/>
      <c r="U9" s="29"/>
      <c r="V9" s="192" t="s">
        <v>781</v>
      </c>
      <c r="W9" s="193"/>
      <c r="X9" s="200" t="s">
        <v>812</v>
      </c>
      <c r="Y9" s="201"/>
    </row>
    <row r="10" spans="1:25" ht="18.75" x14ac:dyDescent="0.3">
      <c r="A10" s="6"/>
      <c r="B10" s="5" t="b">
        <v>0</v>
      </c>
      <c r="C10" s="137" t="s">
        <v>318</v>
      </c>
      <c r="D10" s="143"/>
      <c r="E10" s="12">
        <v>4</v>
      </c>
      <c r="F10" s="157" t="s">
        <v>311</v>
      </c>
      <c r="G10" s="158"/>
      <c r="H10" s="159"/>
      <c r="I10" s="160" t="s">
        <v>349</v>
      </c>
      <c r="J10" s="158"/>
      <c r="K10" s="159"/>
      <c r="L10" s="158" t="s">
        <v>312</v>
      </c>
      <c r="M10" s="158"/>
      <c r="N10" s="161"/>
      <c r="O10" s="36" t="s">
        <v>459</v>
      </c>
      <c r="P10" s="37">
        <v>2</v>
      </c>
      <c r="Q10" s="37">
        <v>0</v>
      </c>
      <c r="R10" s="37"/>
      <c r="S10" s="37">
        <v>0</v>
      </c>
      <c r="T10" s="37"/>
      <c r="U10" s="38"/>
      <c r="V10" s="190" t="s">
        <v>782</v>
      </c>
      <c r="W10" s="191"/>
      <c r="X10" s="192" t="s">
        <v>806</v>
      </c>
      <c r="Y10" s="193"/>
    </row>
    <row r="11" spans="1:25" ht="15.75" customHeight="1" thickBot="1" x14ac:dyDescent="0.3">
      <c r="A11" s="6"/>
      <c r="B11" s="5" t="b">
        <v>0</v>
      </c>
      <c r="C11" s="137" t="s">
        <v>320</v>
      </c>
      <c r="D11" s="143"/>
      <c r="E11" s="12">
        <v>5</v>
      </c>
      <c r="F11" s="162" t="s">
        <v>754</v>
      </c>
      <c r="G11" s="163"/>
      <c r="H11" s="164"/>
      <c r="I11" s="165"/>
      <c r="J11" s="163"/>
      <c r="K11" s="164"/>
      <c r="L11" s="163" t="s">
        <v>1136</v>
      </c>
      <c r="M11" s="163"/>
      <c r="N11" s="166"/>
      <c r="O11" s="39" t="s">
        <v>460</v>
      </c>
      <c r="P11" s="40">
        <v>2</v>
      </c>
      <c r="Q11" s="41">
        <v>1</v>
      </c>
      <c r="R11" s="41"/>
      <c r="S11" s="40">
        <v>0</v>
      </c>
      <c r="T11" s="40"/>
      <c r="U11" s="42"/>
      <c r="V11" s="192" t="s">
        <v>824</v>
      </c>
      <c r="W11" s="193"/>
      <c r="X11" s="190" t="s">
        <v>807</v>
      </c>
      <c r="Y11" s="191"/>
    </row>
    <row r="12" spans="1:25" ht="18" customHeight="1" thickBot="1" x14ac:dyDescent="0.35">
      <c r="A12" s="6"/>
      <c r="B12" s="5" t="b">
        <v>0</v>
      </c>
      <c r="C12" s="137" t="s">
        <v>321</v>
      </c>
      <c r="D12" s="143"/>
      <c r="E12" s="12">
        <v>1</v>
      </c>
      <c r="F12" s="169" t="s">
        <v>443</v>
      </c>
      <c r="G12" s="170"/>
      <c r="H12" s="170"/>
      <c r="I12" s="170"/>
      <c r="J12" s="170"/>
      <c r="K12" s="170"/>
      <c r="L12" s="170"/>
      <c r="M12" s="170"/>
      <c r="N12" s="171"/>
      <c r="O12" s="149" t="s">
        <v>813</v>
      </c>
      <c r="P12" s="150"/>
      <c r="Q12" s="150"/>
      <c r="R12" s="150"/>
      <c r="S12" s="150"/>
      <c r="T12" s="150"/>
      <c r="U12" s="151"/>
      <c r="V12" s="192" t="s">
        <v>783</v>
      </c>
      <c r="W12" s="193"/>
      <c r="X12" s="192" t="s">
        <v>808</v>
      </c>
      <c r="Y12" s="193"/>
    </row>
    <row r="13" spans="1:25" ht="16.5" thickTop="1" thickBot="1" x14ac:dyDescent="0.3">
      <c r="A13" s="6"/>
      <c r="B13" s="5" t="b">
        <v>0</v>
      </c>
      <c r="C13" s="155" t="s">
        <v>322</v>
      </c>
      <c r="D13" s="156"/>
      <c r="E13" s="13" t="s">
        <v>323</v>
      </c>
      <c r="F13" s="119" t="s">
        <v>396</v>
      </c>
      <c r="G13" s="120"/>
      <c r="H13" s="4" t="str">
        <f>IFERROR(VLOOKUP(F13,Abilities,4,FALSE),"")</f>
        <v>LW2</v>
      </c>
      <c r="I13" s="121" t="s">
        <v>962</v>
      </c>
      <c r="J13" s="120"/>
      <c r="K13" s="35" t="str">
        <f>IFERROR(VLOOKUP(I13,Abilities,4,FALSE),"")</f>
        <v>BLANK</v>
      </c>
      <c r="L13" s="122" t="s">
        <v>204</v>
      </c>
      <c r="M13" s="120"/>
      <c r="N13" s="10" t="str">
        <f>IFERROR(VLOOKUP(L13,Abilities,4,FALSE),"")</f>
        <v>LW2</v>
      </c>
      <c r="O13" s="152"/>
      <c r="P13" s="153"/>
      <c r="Q13" s="153"/>
      <c r="R13" s="153"/>
      <c r="S13" s="153"/>
      <c r="T13" s="153"/>
      <c r="U13" s="154"/>
      <c r="V13" s="192" t="s">
        <v>818</v>
      </c>
      <c r="W13" s="193"/>
      <c r="X13" s="190" t="s">
        <v>809</v>
      </c>
      <c r="Y13" s="191"/>
    </row>
    <row r="14" spans="1:25" ht="15.75" thickBot="1" x14ac:dyDescent="0.3">
      <c r="A14" s="6"/>
      <c r="B14" s="7" t="b">
        <v>0</v>
      </c>
      <c r="F14" s="144">
        <f>IFERROR(VLOOKUP(F13,Abilities,7,FALSE),"")</f>
        <v>0</v>
      </c>
      <c r="G14" s="130"/>
      <c r="H14" s="131"/>
      <c r="I14" s="129" t="str">
        <f>IFERROR(VLOOKUP(I13,Abilities,7,FALSE),"")</f>
        <v xml:space="preserve"> </v>
      </c>
      <c r="J14" s="130"/>
      <c r="K14" s="131"/>
      <c r="L14" s="130">
        <f>IFERROR(VLOOKUP(L13,Abilities,7,FALSE),"")</f>
        <v>0</v>
      </c>
      <c r="M14" s="130"/>
      <c r="N14" s="135"/>
      <c r="O14" s="22"/>
      <c r="P14" s="23" t="s">
        <v>331</v>
      </c>
      <c r="Q14" s="24" t="s">
        <v>332</v>
      </c>
      <c r="R14" s="24" t="s">
        <v>333</v>
      </c>
      <c r="S14" s="24" t="s">
        <v>334</v>
      </c>
      <c r="T14" s="24" t="s">
        <v>336</v>
      </c>
      <c r="U14" s="25" t="s">
        <v>335</v>
      </c>
      <c r="V14" s="190" t="s">
        <v>784</v>
      </c>
      <c r="W14" s="191"/>
      <c r="X14" s="194" t="s">
        <v>908</v>
      </c>
      <c r="Y14" s="195"/>
    </row>
    <row r="15" spans="1:25" ht="15.75" thickBot="1" x14ac:dyDescent="0.3">
      <c r="A15" s="6"/>
      <c r="B15" s="7" t="b">
        <v>1</v>
      </c>
      <c r="F15" s="167"/>
      <c r="G15" s="147"/>
      <c r="H15" s="148"/>
      <c r="I15" s="146"/>
      <c r="J15" s="147"/>
      <c r="K15" s="148"/>
      <c r="L15" s="147"/>
      <c r="M15" s="147"/>
      <c r="N15" s="168"/>
      <c r="O15" s="19" t="s">
        <v>12</v>
      </c>
      <c r="P15" s="4"/>
      <c r="Q15" s="20">
        <v>5</v>
      </c>
      <c r="R15" s="20">
        <v>1</v>
      </c>
      <c r="S15" s="4"/>
      <c r="T15" s="4"/>
      <c r="U15" s="10"/>
      <c r="V15" s="190" t="s">
        <v>823</v>
      </c>
      <c r="W15" s="191"/>
    </row>
    <row r="16" spans="1:25" ht="18" thickBot="1" x14ac:dyDescent="0.35">
      <c r="A16" s="6"/>
      <c r="B16" s="7" t="b">
        <v>0</v>
      </c>
      <c r="F16" s="169" t="s">
        <v>15</v>
      </c>
      <c r="G16" s="170"/>
      <c r="H16" s="170"/>
      <c r="I16" s="170"/>
      <c r="J16" s="170"/>
      <c r="K16" s="170"/>
      <c r="L16" s="170"/>
      <c r="M16" s="170"/>
      <c r="N16" s="171"/>
      <c r="O16" s="26" t="s">
        <v>456</v>
      </c>
      <c r="P16" s="27"/>
      <c r="Q16" s="28">
        <v>5</v>
      </c>
      <c r="R16" s="28"/>
      <c r="S16" s="27"/>
      <c r="T16" s="27"/>
      <c r="U16" s="29"/>
      <c r="V16" s="190" t="s">
        <v>786</v>
      </c>
      <c r="W16" s="191"/>
    </row>
    <row r="17" spans="1:23" ht="16.5" thickTop="1" thickBot="1" x14ac:dyDescent="0.3">
      <c r="A17" s="8"/>
      <c r="B17" s="9" t="b">
        <v>0</v>
      </c>
      <c r="F17" s="121" t="s">
        <v>962</v>
      </c>
      <c r="G17" s="120"/>
      <c r="H17" s="4" t="str">
        <f>IFERROR(VLOOKUP(F17,Abilities,4,FALSE),"")</f>
        <v>BLANK</v>
      </c>
      <c r="I17" s="121" t="s">
        <v>217</v>
      </c>
      <c r="J17" s="120"/>
      <c r="K17" s="35" t="str">
        <f>IFERROR(VLOOKUP(I17,Abilities,4,FALSE),"")</f>
        <v>LW2</v>
      </c>
      <c r="L17" s="121" t="s">
        <v>962</v>
      </c>
      <c r="M17" s="120"/>
      <c r="N17" s="10" t="str">
        <f>IFERROR(VLOOKUP(L17,Abilities,4,FALSE),"")</f>
        <v>BLANK</v>
      </c>
      <c r="O17" s="19" t="s">
        <v>15</v>
      </c>
      <c r="P17" s="4"/>
      <c r="Q17" s="20"/>
      <c r="R17" s="20"/>
      <c r="S17" s="4"/>
      <c r="T17" s="4"/>
      <c r="U17" s="10"/>
      <c r="V17" s="192" t="s">
        <v>787</v>
      </c>
      <c r="W17" s="193"/>
    </row>
    <row r="18" spans="1:23" x14ac:dyDescent="0.25">
      <c r="A18" s="172" t="s">
        <v>344</v>
      </c>
      <c r="B18" s="173"/>
      <c r="F18" s="144" t="str">
        <f>IFERROR(VLOOKUP(F17,Abilities,7,FALSE),"")</f>
        <v xml:space="preserve"> </v>
      </c>
      <c r="G18" s="130"/>
      <c r="H18" s="131"/>
      <c r="I18" s="129">
        <f>IFERROR(VLOOKUP(I17,Abilities,7,FALSE),"")</f>
        <v>0</v>
      </c>
      <c r="J18" s="130"/>
      <c r="K18" s="131"/>
      <c r="L18" s="130" t="str">
        <f>IFERROR(VLOOKUP(L17,Abilities,7,FALSE),"")</f>
        <v xml:space="preserve"> </v>
      </c>
      <c r="M18" s="130"/>
      <c r="N18" s="135"/>
      <c r="O18" s="26" t="s">
        <v>21</v>
      </c>
      <c r="P18" s="27"/>
      <c r="Q18" s="28"/>
      <c r="R18" s="28"/>
      <c r="S18" s="27"/>
      <c r="T18" s="27"/>
      <c r="U18" s="29"/>
      <c r="V18" s="190" t="s">
        <v>788</v>
      </c>
      <c r="W18" s="191"/>
    </row>
    <row r="19" spans="1:23" ht="15.75" thickBot="1" x14ac:dyDescent="0.3">
      <c r="A19" s="174"/>
      <c r="B19" s="175"/>
      <c r="D19" s="3"/>
      <c r="F19" s="167"/>
      <c r="G19" s="147"/>
      <c r="H19" s="148"/>
      <c r="I19" s="146"/>
      <c r="J19" s="147"/>
      <c r="K19" s="148"/>
      <c r="L19" s="147"/>
      <c r="M19" s="147"/>
      <c r="N19" s="168"/>
      <c r="O19" s="21" t="s">
        <v>457</v>
      </c>
      <c r="P19" s="4"/>
      <c r="Q19" s="20"/>
      <c r="R19" s="20"/>
      <c r="S19" s="4"/>
      <c r="T19" s="4"/>
      <c r="U19" s="10"/>
      <c r="V19" s="192" t="s">
        <v>906</v>
      </c>
      <c r="W19" s="193"/>
    </row>
    <row r="20" spans="1:23" ht="18" thickBot="1" x14ac:dyDescent="0.35">
      <c r="A20" s="176" t="s">
        <v>1109</v>
      </c>
      <c r="B20" s="177"/>
      <c r="C20" s="178"/>
      <c r="D20" s="178"/>
      <c r="E20" s="179"/>
      <c r="F20" s="169" t="s">
        <v>21</v>
      </c>
      <c r="G20" s="170"/>
      <c r="H20" s="170"/>
      <c r="I20" s="170"/>
      <c r="J20" s="170"/>
      <c r="K20" s="170"/>
      <c r="L20" s="170"/>
      <c r="M20" s="170"/>
      <c r="N20" s="171"/>
      <c r="O20" s="26" t="s">
        <v>458</v>
      </c>
      <c r="P20" s="27"/>
      <c r="Q20" s="28"/>
      <c r="R20" s="28"/>
      <c r="S20" s="27"/>
      <c r="T20" s="27"/>
      <c r="U20" s="29"/>
      <c r="V20" s="192" t="s">
        <v>790</v>
      </c>
      <c r="W20" s="193"/>
    </row>
    <row r="21" spans="1:23" ht="15.75" thickTop="1" x14ac:dyDescent="0.25">
      <c r="A21" s="176"/>
      <c r="B21" s="177"/>
      <c r="C21" s="177"/>
      <c r="D21" s="177"/>
      <c r="E21" s="180"/>
      <c r="F21" s="119" t="s">
        <v>223</v>
      </c>
      <c r="G21" s="120"/>
      <c r="H21" s="4" t="str">
        <f>IFERROR(VLOOKUP(F21,Abilities,4,FALSE),"")</f>
        <v>LW2</v>
      </c>
      <c r="I21" s="121" t="s">
        <v>962</v>
      </c>
      <c r="J21" s="120"/>
      <c r="K21" s="35" t="str">
        <f>IFERROR(VLOOKUP(I21,Abilities,4,FALSE),"")</f>
        <v>BLANK</v>
      </c>
      <c r="L21" s="122" t="s">
        <v>938</v>
      </c>
      <c r="M21" s="120"/>
      <c r="N21" s="10" t="str">
        <f>IFERROR(VLOOKUP(L21,Abilities,4,FALSE),"")</f>
        <v>LWD</v>
      </c>
      <c r="O21" s="36" t="s">
        <v>459</v>
      </c>
      <c r="P21" s="37"/>
      <c r="Q21" s="37"/>
      <c r="R21" s="37"/>
      <c r="S21" s="37"/>
      <c r="T21" s="37"/>
      <c r="U21" s="38"/>
      <c r="V21" s="190" t="s">
        <v>791</v>
      </c>
      <c r="W21" s="191"/>
    </row>
    <row r="22" spans="1:23" ht="15.75" thickBot="1" x14ac:dyDescent="0.3">
      <c r="A22" s="181"/>
      <c r="B22" s="182"/>
      <c r="C22" s="182"/>
      <c r="D22" s="182"/>
      <c r="E22" s="183"/>
      <c r="F22" s="144">
        <f>IFERROR(VLOOKUP(F21,Abilities,7,FALSE),"")</f>
        <v>0</v>
      </c>
      <c r="G22" s="130"/>
      <c r="H22" s="131"/>
      <c r="I22" s="129" t="str">
        <f>IFERROR(VLOOKUP(I21,Abilities,7,FALSE),"")</f>
        <v xml:space="preserve"> </v>
      </c>
      <c r="J22" s="130"/>
      <c r="K22" s="131"/>
      <c r="L22" s="130" t="str">
        <f>IFERROR(VLOOKUP(L21,Abilities,7,FALSE),"")</f>
        <v>Whenever you spend all your actions on movement, reload your weapon for free.</v>
      </c>
      <c r="M22" s="130"/>
      <c r="N22" s="135"/>
      <c r="O22" s="39" t="s">
        <v>460</v>
      </c>
      <c r="P22" s="40"/>
      <c r="Q22" s="41"/>
      <c r="R22" s="41"/>
      <c r="S22" s="40"/>
      <c r="T22" s="40"/>
      <c r="U22" s="42"/>
      <c r="V22" s="192" t="s">
        <v>792</v>
      </c>
      <c r="W22" s="193"/>
    </row>
    <row r="23" spans="1:23" ht="15.75" thickBot="1" x14ac:dyDescent="0.3">
      <c r="A23" s="184" t="s">
        <v>352</v>
      </c>
      <c r="B23" s="185"/>
      <c r="C23" s="185"/>
      <c r="D23" s="185"/>
      <c r="E23" s="186"/>
      <c r="F23" s="167"/>
      <c r="G23" s="147"/>
      <c r="H23" s="148"/>
      <c r="I23" s="146"/>
      <c r="J23" s="147"/>
      <c r="K23" s="148"/>
      <c r="L23" s="147"/>
      <c r="M23" s="147"/>
      <c r="N23" s="168"/>
      <c r="O23" s="14"/>
      <c r="P23" s="14"/>
      <c r="Q23" s="3"/>
      <c r="V23" s="190" t="s">
        <v>793</v>
      </c>
      <c r="W23" s="191"/>
    </row>
    <row r="24" spans="1:23" ht="18" thickBot="1" x14ac:dyDescent="0.35">
      <c r="A24" s="187"/>
      <c r="B24" s="188"/>
      <c r="C24" s="188"/>
      <c r="D24" s="188"/>
      <c r="E24" s="189"/>
      <c r="F24" s="169" t="s">
        <v>444</v>
      </c>
      <c r="G24" s="170"/>
      <c r="H24" s="170"/>
      <c r="I24" s="170"/>
      <c r="J24" s="170"/>
      <c r="K24" s="170"/>
      <c r="L24" s="170"/>
      <c r="M24" s="170"/>
      <c r="N24" s="171"/>
      <c r="O24" s="14"/>
      <c r="P24" s="14"/>
      <c r="Q24" s="3"/>
      <c r="V24" s="192" t="s">
        <v>794</v>
      </c>
      <c r="W24" s="193"/>
    </row>
    <row r="25" spans="1:23" ht="15.75" thickTop="1" x14ac:dyDescent="0.25">
      <c r="A25" s="50"/>
      <c r="B25" s="51"/>
      <c r="C25" s="51"/>
      <c r="D25" s="51"/>
      <c r="E25" s="52"/>
      <c r="F25" s="119" t="s">
        <v>228</v>
      </c>
      <c r="G25" s="120"/>
      <c r="H25" s="4" t="str">
        <f>IFERROR(VLOOKUP(F25,Abilities,4,FALSE),"")</f>
        <v>LW2</v>
      </c>
      <c r="I25" s="121" t="s">
        <v>962</v>
      </c>
      <c r="J25" s="120"/>
      <c r="K25" s="35" t="str">
        <f>IFERROR(VLOOKUP(I25,Abilities,4,FALSE),"")</f>
        <v>BLANK</v>
      </c>
      <c r="L25" s="122" t="s">
        <v>231</v>
      </c>
      <c r="M25" s="120"/>
      <c r="N25" s="10" t="str">
        <f>IFERROR(VLOOKUP(L25,Abilities,4,FALSE),"")</f>
        <v>LW2</v>
      </c>
      <c r="O25" s="14"/>
      <c r="P25" s="14"/>
      <c r="Q25" s="3"/>
      <c r="V25" s="190" t="s">
        <v>795</v>
      </c>
      <c r="W25" s="191"/>
    </row>
    <row r="26" spans="1:23" x14ac:dyDescent="0.25">
      <c r="A26" s="50"/>
      <c r="B26" s="51"/>
      <c r="C26" s="51"/>
      <c r="D26" s="51"/>
      <c r="E26" s="52"/>
      <c r="F26" s="144">
        <f>IFERROR(VLOOKUP(F25,Abilities,7,FALSE),"")</f>
        <v>0</v>
      </c>
      <c r="G26" s="130"/>
      <c r="H26" s="131"/>
      <c r="I26" s="129" t="str">
        <f>IFERROR(VLOOKUP(I25,Abilities,7,FALSE),"")</f>
        <v xml:space="preserve"> </v>
      </c>
      <c r="J26" s="130"/>
      <c r="K26" s="131"/>
      <c r="L26" s="130">
        <f>IFERROR(VLOOKUP(L25,Abilities,7,FALSE),"")</f>
        <v>0</v>
      </c>
      <c r="M26" s="130"/>
      <c r="N26" s="135"/>
      <c r="O26" s="14"/>
      <c r="P26" s="14"/>
      <c r="Q26" s="3"/>
      <c r="V26" s="190" t="s">
        <v>797</v>
      </c>
      <c r="W26" s="191"/>
    </row>
    <row r="27" spans="1:23" ht="15.75" thickBot="1" x14ac:dyDescent="0.3">
      <c r="A27" s="50"/>
      <c r="B27" s="51"/>
      <c r="C27" s="51"/>
      <c r="D27" s="51"/>
      <c r="E27" s="52"/>
      <c r="F27" s="167"/>
      <c r="G27" s="147"/>
      <c r="H27" s="148"/>
      <c r="I27" s="146"/>
      <c r="J27" s="147"/>
      <c r="K27" s="148"/>
      <c r="L27" s="147"/>
      <c r="M27" s="147"/>
      <c r="N27" s="168"/>
      <c r="O27" s="14"/>
      <c r="P27" s="14"/>
      <c r="Q27" s="3"/>
      <c r="V27" s="192" t="s">
        <v>907</v>
      </c>
      <c r="W27" s="193"/>
    </row>
    <row r="28" spans="1:23" ht="18" thickBot="1" x14ac:dyDescent="0.35">
      <c r="A28" s="50"/>
      <c r="B28" s="51"/>
      <c r="C28" s="51"/>
      <c r="D28" s="51"/>
      <c r="E28" s="52"/>
      <c r="F28" s="169" t="s">
        <v>445</v>
      </c>
      <c r="G28" s="170"/>
      <c r="H28" s="170"/>
      <c r="I28" s="170"/>
      <c r="J28" s="170"/>
      <c r="K28" s="170"/>
      <c r="L28" s="170"/>
      <c r="M28" s="170"/>
      <c r="N28" s="171"/>
      <c r="O28" s="14"/>
      <c r="P28" s="14"/>
      <c r="Q28" s="3"/>
      <c r="V28" s="190" t="s">
        <v>799</v>
      </c>
      <c r="W28" s="191"/>
    </row>
    <row r="29" spans="1:23" ht="15.75" thickTop="1" x14ac:dyDescent="0.25">
      <c r="A29" s="50"/>
      <c r="B29" s="51"/>
      <c r="C29" s="51"/>
      <c r="D29" s="51"/>
      <c r="E29" s="52"/>
      <c r="F29" s="119" t="s">
        <v>411</v>
      </c>
      <c r="G29" s="120"/>
      <c r="H29" s="4" t="str">
        <f>IFERROR(VLOOKUP(F29,Abilities,4,FALSE),"")</f>
        <v>LW2</v>
      </c>
      <c r="I29" s="121" t="s">
        <v>962</v>
      </c>
      <c r="J29" s="120"/>
      <c r="K29" s="35" t="str">
        <f>IFERROR(VLOOKUP(I29,Abilities,4,FALSE),"")</f>
        <v>BLANK</v>
      </c>
      <c r="L29" s="122" t="s">
        <v>152</v>
      </c>
      <c r="M29" s="120"/>
      <c r="N29" s="10" t="str">
        <f>IFERROR(VLOOKUP(L29,Abilities,4,FALSE),"")</f>
        <v>XCOM2</v>
      </c>
      <c r="O29" s="14"/>
      <c r="P29" s="14"/>
      <c r="Q29" s="3"/>
      <c r="V29" s="190" t="s">
        <v>825</v>
      </c>
      <c r="W29" s="191"/>
    </row>
    <row r="30" spans="1:23" x14ac:dyDescent="0.25">
      <c r="A30" s="50"/>
      <c r="B30" s="51"/>
      <c r="C30" s="51"/>
      <c r="D30" s="51"/>
      <c r="E30" s="52"/>
      <c r="F30" s="144">
        <f>IFERROR(VLOOKUP(F29,Abilities,7,FALSE),"")</f>
        <v>0</v>
      </c>
      <c r="G30" s="130"/>
      <c r="H30" s="131"/>
      <c r="I30" s="129" t="str">
        <f>IFERROR(VLOOKUP(I29,Abilities,7,FALSE),"")</f>
        <v xml:space="preserve"> </v>
      </c>
      <c r="J30" s="130"/>
      <c r="K30" s="131"/>
      <c r="L30" s="130" t="str">
        <f>IFERROR(VLOOKUP(L29,Abilities,7,FALSE),"")</f>
        <v>If you spend all of your actions on moves, you are granted an automatic overwatch shot at the end of the turn.</v>
      </c>
      <c r="M30" s="130"/>
      <c r="N30" s="135"/>
      <c r="O30" s="14"/>
      <c r="P30" s="14"/>
      <c r="Q30" s="3"/>
      <c r="V30" s="190" t="s">
        <v>819</v>
      </c>
      <c r="W30" s="191"/>
    </row>
    <row r="31" spans="1:23" ht="15.75" thickBot="1" x14ac:dyDescent="0.3">
      <c r="A31" s="50"/>
      <c r="B31" s="51"/>
      <c r="C31" s="51"/>
      <c r="D31" s="51"/>
      <c r="E31" s="52"/>
      <c r="F31" s="167"/>
      <c r="G31" s="147"/>
      <c r="H31" s="148"/>
      <c r="I31" s="146"/>
      <c r="J31" s="147"/>
      <c r="K31" s="148"/>
      <c r="L31" s="147"/>
      <c r="M31" s="147"/>
      <c r="N31" s="168"/>
      <c r="O31" s="14"/>
      <c r="P31" s="14"/>
      <c r="Q31" s="3"/>
      <c r="V31" s="192" t="s">
        <v>820</v>
      </c>
      <c r="W31" s="193"/>
    </row>
    <row r="32" spans="1:23" ht="18" thickBot="1" x14ac:dyDescent="0.35">
      <c r="A32" s="50"/>
      <c r="B32" s="51"/>
      <c r="C32" s="51"/>
      <c r="D32" s="51"/>
      <c r="E32" s="52"/>
      <c r="F32" s="169" t="s">
        <v>446</v>
      </c>
      <c r="G32" s="170"/>
      <c r="H32" s="170"/>
      <c r="I32" s="170"/>
      <c r="J32" s="170"/>
      <c r="K32" s="170"/>
      <c r="L32" s="170"/>
      <c r="M32" s="170"/>
      <c r="N32" s="171"/>
      <c r="O32" s="14"/>
      <c r="P32" s="14"/>
      <c r="Q32" s="3"/>
      <c r="V32" s="192" t="s">
        <v>815</v>
      </c>
      <c r="W32" s="193"/>
    </row>
    <row r="33" spans="1:23" ht="15.75" thickTop="1" x14ac:dyDescent="0.25">
      <c r="A33" s="50"/>
      <c r="B33" s="51"/>
      <c r="C33" s="51"/>
      <c r="D33" s="51"/>
      <c r="E33" s="52"/>
      <c r="F33" s="121" t="s">
        <v>962</v>
      </c>
      <c r="G33" s="120"/>
      <c r="H33" s="4" t="str">
        <f>IFERROR(VLOOKUP(F33,Abilities,4,FALSE),"")</f>
        <v>BLANK</v>
      </c>
      <c r="I33" s="121" t="s">
        <v>212</v>
      </c>
      <c r="J33" s="120"/>
      <c r="K33" s="35" t="str">
        <f>IFERROR(VLOOKUP(I33,Abilities,4,FALSE),"")</f>
        <v>LW2</v>
      </c>
      <c r="L33" s="121" t="s">
        <v>962</v>
      </c>
      <c r="M33" s="120"/>
      <c r="N33" s="10" t="str">
        <f>IFERROR(VLOOKUP(L33,Abilities,4,FALSE),"")</f>
        <v>BLANK</v>
      </c>
      <c r="O33" s="14"/>
      <c r="P33" s="14"/>
      <c r="Q33" s="3"/>
      <c r="V33" s="192" t="s">
        <v>822</v>
      </c>
      <c r="W33" s="193"/>
    </row>
    <row r="34" spans="1:23" x14ac:dyDescent="0.25">
      <c r="A34" s="50"/>
      <c r="B34" s="51"/>
      <c r="C34" s="51"/>
      <c r="D34" s="51"/>
      <c r="E34" s="52"/>
      <c r="F34" s="144" t="str">
        <f>IFERROR(VLOOKUP(F33,Abilities,7,FALSE),"")</f>
        <v xml:space="preserve"> </v>
      </c>
      <c r="G34" s="130"/>
      <c r="H34" s="131"/>
      <c r="I34" s="129">
        <f>IFERROR(VLOOKUP(I33,Abilities,7,FALSE),"")</f>
        <v>0</v>
      </c>
      <c r="J34" s="130"/>
      <c r="K34" s="131"/>
      <c r="L34" s="130" t="str">
        <f>IFERROR(VLOOKUP(L33,Abilities,7,FALSE),"")</f>
        <v xml:space="preserve"> </v>
      </c>
      <c r="M34" s="130"/>
      <c r="N34" s="135"/>
      <c r="O34" s="14"/>
      <c r="P34" s="14"/>
      <c r="Q34" s="3"/>
      <c r="V34" s="190" t="s">
        <v>816</v>
      </c>
      <c r="W34" s="191"/>
    </row>
    <row r="35" spans="1:23" ht="15.75" thickBot="1" x14ac:dyDescent="0.3">
      <c r="A35" s="50"/>
      <c r="B35" s="51"/>
      <c r="C35" s="51"/>
      <c r="D35" s="51"/>
      <c r="E35" s="52"/>
      <c r="F35" s="167"/>
      <c r="G35" s="147"/>
      <c r="H35" s="148"/>
      <c r="I35" s="146"/>
      <c r="J35" s="147"/>
      <c r="K35" s="148"/>
      <c r="L35" s="147"/>
      <c r="M35" s="147"/>
      <c r="N35" s="168"/>
      <c r="O35" s="14"/>
      <c r="P35" s="14"/>
      <c r="Q35" s="3"/>
      <c r="V35" s="194" t="s">
        <v>800</v>
      </c>
      <c r="W35" s="195"/>
    </row>
    <row r="36" spans="1:23" ht="18" thickBot="1" x14ac:dyDescent="0.35">
      <c r="A36" s="50"/>
      <c r="B36" s="51"/>
      <c r="C36" s="51"/>
      <c r="D36" s="51"/>
      <c r="E36" s="52"/>
      <c r="F36" s="169" t="s">
        <v>447</v>
      </c>
      <c r="G36" s="170"/>
      <c r="H36" s="170"/>
      <c r="I36" s="170"/>
      <c r="J36" s="170"/>
      <c r="K36" s="170"/>
      <c r="L36" s="170"/>
      <c r="M36" s="170"/>
      <c r="N36" s="171"/>
    </row>
    <row r="37" spans="1:23" ht="15.75" thickTop="1" x14ac:dyDescent="0.25">
      <c r="A37" s="50"/>
      <c r="B37" s="51"/>
      <c r="C37" s="51"/>
      <c r="D37" s="51"/>
      <c r="E37" s="52"/>
      <c r="F37" s="119" t="s">
        <v>414</v>
      </c>
      <c r="G37" s="120"/>
      <c r="H37" s="4" t="str">
        <f>IFERROR(VLOOKUP(F37,Abilities,4,FALSE),"")</f>
        <v>LW2</v>
      </c>
      <c r="I37" s="121" t="s">
        <v>962</v>
      </c>
      <c r="J37" s="120"/>
      <c r="K37" s="35" t="str">
        <f>IFERROR(VLOOKUP(I37,Abilities,4,FALSE),"")</f>
        <v>BLANK</v>
      </c>
      <c r="L37" s="122" t="s">
        <v>592</v>
      </c>
      <c r="M37" s="120"/>
      <c r="N37" s="10" t="str">
        <f>IFERROR(VLOOKUP(L37,Abilities,4,FALSE),"")</f>
        <v>SOLW</v>
      </c>
    </row>
    <row r="38" spans="1:23" x14ac:dyDescent="0.25">
      <c r="A38" s="50"/>
      <c r="B38" s="51"/>
      <c r="C38" s="51"/>
      <c r="D38" s="51"/>
      <c r="E38" s="52"/>
      <c r="F38" s="144">
        <f>IFERROR(VLOOKUP(F37,Abilities,7,FALSE),"")</f>
        <v>0</v>
      </c>
      <c r="G38" s="130"/>
      <c r="H38" s="131"/>
      <c r="I38" s="129" t="str">
        <f>IFERROR(VLOOKUP(I37,Abilities,7,FALSE),"")</f>
        <v xml:space="preserve"> </v>
      </c>
      <c r="J38" s="130"/>
      <c r="K38" s="131"/>
      <c r="L38" s="130" t="str">
        <f>IFERROR(VLOOKUP(L37,Abilities,7,FALSE),"")</f>
        <v>For the rest of the turn, whenever you get a critical hit with your &lt;Ability:WeaponName/&gt;, your actions are refunded.</v>
      </c>
      <c r="M38" s="130"/>
      <c r="N38" s="135"/>
    </row>
    <row r="39" spans="1:23" ht="15.75" thickBot="1" x14ac:dyDescent="0.3">
      <c r="A39" s="53"/>
      <c r="B39" s="54"/>
      <c r="C39" s="54"/>
      <c r="D39" s="54"/>
      <c r="E39" s="55"/>
      <c r="F39" s="167"/>
      <c r="G39" s="147"/>
      <c r="H39" s="148"/>
      <c r="I39" s="146"/>
      <c r="J39" s="147"/>
      <c r="K39" s="148"/>
      <c r="L39" s="147"/>
      <c r="M39" s="147"/>
      <c r="N39" s="168"/>
    </row>
    <row r="40" spans="1:23" ht="15" customHeight="1" x14ac:dyDescent="0.25">
      <c r="A40" s="86" t="s">
        <v>1200</v>
      </c>
      <c r="B40" s="86"/>
      <c r="C40" s="88" t="str">
        <f>SUBSTITUTE(C1," ","")</f>
        <v>Assault</v>
      </c>
      <c r="D40" s="88"/>
      <c r="E40" s="88"/>
      <c r="F40" s="238"/>
      <c r="G40" s="238"/>
      <c r="H40" s="237"/>
      <c r="I40" s="237"/>
      <c r="J40" s="237"/>
    </row>
    <row r="41" spans="1:23" ht="15" customHeight="1" thickBot="1" x14ac:dyDescent="0.3">
      <c r="A41" s="87"/>
      <c r="B41" s="87"/>
      <c r="C41" s="89"/>
      <c r="D41" s="89"/>
      <c r="E41" s="89"/>
      <c r="F41" s="239"/>
      <c r="G41" s="239"/>
      <c r="H41" s="237"/>
      <c r="I41" s="237"/>
      <c r="J41" s="237"/>
    </row>
    <row r="42" spans="1:23" ht="15.75" customHeight="1" thickBot="1" x14ac:dyDescent="0.3">
      <c r="A42" s="242" t="s">
        <v>339</v>
      </c>
      <c r="B42" s="244"/>
      <c r="C42" s="253" t="s">
        <v>342</v>
      </c>
      <c r="D42" s="247"/>
      <c r="E42" s="251" t="s">
        <v>343</v>
      </c>
      <c r="F42" s="250"/>
      <c r="G42" s="234"/>
      <c r="H42" s="235"/>
      <c r="I42" s="235"/>
      <c r="J42" s="235"/>
    </row>
    <row r="43" spans="1:23" x14ac:dyDescent="0.25">
      <c r="A43" s="243" t="str">
        <f ca="1">"; "&amp;INDIRECT("C1")&amp;" class data"</f>
        <v>; Assault class data</v>
      </c>
      <c r="B43" s="234" t="s">
        <v>340</v>
      </c>
      <c r="C43" s="254" t="str">
        <f ca="1">"; "&amp;INDIRECT("C1")&amp;" class loadout"</f>
        <v>; Assault class loadout</v>
      </c>
      <c r="D43" s="234" t="s">
        <v>340</v>
      </c>
      <c r="E43" s="252" t="str">
        <f ca="1">"["&amp;INDIRECT("C3")&amp;" X2SoldierClassTemplate]"</f>
        <v>[LWD_Assault X2SoldierClassTemplate]</v>
      </c>
      <c r="F43" s="234" t="s">
        <v>340</v>
      </c>
      <c r="G43" s="234"/>
      <c r="H43" s="235"/>
      <c r="I43" s="235"/>
      <c r="J43" s="235"/>
    </row>
    <row r="44" spans="1:23" x14ac:dyDescent="0.25">
      <c r="A44" s="240"/>
      <c r="B44" s="234"/>
      <c r="C44" s="245"/>
      <c r="D44" s="234" t="s">
        <v>340</v>
      </c>
      <c r="E44" s="248" t="str">
        <f ca="1">"+DisplayName="""&amp;INDIRECT("C1")&amp;""""</f>
        <v>+DisplayName="Assault"</v>
      </c>
      <c r="F44" s="234" t="s">
        <v>340</v>
      </c>
      <c r="G44" s="234"/>
      <c r="H44" s="235"/>
      <c r="I44" s="235"/>
      <c r="J44" s="235"/>
    </row>
    <row r="45" spans="1:23" x14ac:dyDescent="0.25">
      <c r="A45" s="240" t="str">
        <f>"[XComGame.X2SoldierClass_DefaultClasses]"</f>
        <v>[XComGame.X2SoldierClass_DefaultClasses]</v>
      </c>
      <c r="B45" s="234" t="s">
        <v>340</v>
      </c>
      <c r="C45" s="245" t="s">
        <v>341</v>
      </c>
      <c r="D45" s="234" t="s">
        <v>340</v>
      </c>
      <c r="E45" s="248" t="str">
        <f ca="1">"+ClassSummary="""&amp;INDIRECT("A20")&amp;""""</f>
        <v>+ClassSummary="The Assault serves as our primary close range unit, able to push in close and hold the line. They carry an arc thrower to keep the enemy on their toes."</v>
      </c>
      <c r="F45" s="234" t="s">
        <v>340</v>
      </c>
      <c r="G45" s="234"/>
      <c r="H45" s="235"/>
      <c r="I45" s="235"/>
      <c r="J45" s="235"/>
    </row>
    <row r="46" spans="1:23" x14ac:dyDescent="0.25">
      <c r="A46" s="240" t="str">
        <f ca="1">"+SoldierClasses="&amp;INDIRECT("C3")</f>
        <v>+SoldierClasses=LWD_Assault</v>
      </c>
      <c r="B46" s="234" t="s">
        <v>340</v>
      </c>
      <c r="C46" s="245"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+Loadouts=(LoadoutName="SquaddieLWD_Assault", Items[0]=(Item="Shotgun_CV"), Items[1]=(Item="Arcthrower_CV"))</v>
      </c>
      <c r="D46" s="234" t="s">
        <v>340</v>
      </c>
      <c r="E46" s="248" t="str">
        <f ca="1">"+LeftAbilityTreeTitle="""&amp;INDIRECT("F11")&amp;""""</f>
        <v>+LeftAbilityTreeTitle="Aggressor"</v>
      </c>
      <c r="F46" s="234" t="s">
        <v>340</v>
      </c>
      <c r="G46" s="234"/>
      <c r="H46" s="235"/>
      <c r="I46" s="234"/>
      <c r="J46" s="234"/>
    </row>
    <row r="47" spans="1:23" x14ac:dyDescent="0.25">
      <c r="A47" s="240"/>
      <c r="B47" s="234" t="s">
        <v>340</v>
      </c>
      <c r="C47" s="245"/>
      <c r="D47" s="234" t="s">
        <v>340</v>
      </c>
      <c r="E47" s="248" t="str">
        <f ca="1">"+RightAbilityTreeTitle="""&amp;INDIRECT("L11")&amp;""""</f>
        <v>+RightAbilityTreeTitle="Breacher"</v>
      </c>
      <c r="F47" s="234" t="s">
        <v>340</v>
      </c>
      <c r="G47" s="234"/>
      <c r="H47" s="235"/>
      <c r="I47" s="234"/>
      <c r="J47" s="234"/>
    </row>
    <row r="48" spans="1:23" x14ac:dyDescent="0.25">
      <c r="A48" s="240" t="str">
        <f ca="1">"["&amp;INDIRECT("C3")&amp;" X2SoldierClassTemplate]"</f>
        <v>[LWD_Assault X2SoldierClassTemplate]</v>
      </c>
      <c r="B48" s="234" t="s">
        <v>340</v>
      </c>
      <c r="C48" s="245" t="s">
        <v>351</v>
      </c>
      <c r="D48" s="234" t="s">
        <v>340</v>
      </c>
      <c r="E48" s="248" t="str">
        <f>"; Nicknames"</f>
        <v>; Nicknames</v>
      </c>
      <c r="F48" s="234" t="s">
        <v>340</v>
      </c>
      <c r="G48" s="234"/>
      <c r="H48" s="234"/>
      <c r="I48" s="234"/>
      <c r="J48" s="234"/>
    </row>
    <row r="49" spans="1:10" ht="15.75" thickBot="1" x14ac:dyDescent="0.3">
      <c r="A49" s="240" t="str">
        <f ca="1">"+bMultiplayerOnly="&amp;INDIRECT("E6")</f>
        <v>+bMultiplayerOnly=0</v>
      </c>
      <c r="B49" s="234" t="s">
        <v>340</v>
      </c>
      <c r="C49" s="246" t="str">
        <f ca="1">"+DEBUG_StartingSoldierClasses="""&amp;INDIRECT("C3")&amp;""""</f>
        <v>+DEBUG_StartingSoldierClasses="LWD_Assault"</v>
      </c>
      <c r="D49" s="234" t="s">
        <v>340</v>
      </c>
      <c r="E49" s="248" t="str">
        <f ca="1">IF(INDIRECT("V4")&lt;&gt;"","RandomNickNames[0]="""&amp;INDIRECT("V4")&amp;"""","")</f>
        <v>RandomNickNames[0]="Angel"</v>
      </c>
      <c r="F49" s="234" t="s">
        <v>340</v>
      </c>
      <c r="G49" s="234"/>
      <c r="H49" s="234"/>
      <c r="I49" s="234"/>
      <c r="J49" s="234"/>
    </row>
    <row r="50" spans="1:10" x14ac:dyDescent="0.25">
      <c r="A50" s="240" t="str">
        <f ca="1">"+ClassPoints="&amp;INDIRECT("E7")</f>
        <v>+ClassPoints=4</v>
      </c>
      <c r="B50" s="234" t="s">
        <v>340</v>
      </c>
      <c r="C50" s="234"/>
      <c r="D50" s="234"/>
      <c r="E50" s="248" t="str">
        <f ca="1">IF(INDIRECT("V5")&lt;&gt;"","RandomNickNames[1]="""&amp;INDIRECT("V5")&amp;"""","")</f>
        <v>RandomNickNames[1]="Bargain"</v>
      </c>
      <c r="F50" s="234" t="s">
        <v>340</v>
      </c>
      <c r="G50" s="234"/>
      <c r="H50" s="234"/>
      <c r="I50" s="234"/>
      <c r="J50" s="234"/>
    </row>
    <row r="51" spans="1:10" x14ac:dyDescent="0.25">
      <c r="A51" s="240" t="str">
        <f ca="1">"+IconImage="&amp;""""&amp;INDIRECT("E8")&amp;""""</f>
        <v>+IconImage="img:///UILibrary_LW_PerkPack.Class_Assault"</v>
      </c>
      <c r="B51" s="234" t="s">
        <v>340</v>
      </c>
      <c r="C51" s="234"/>
      <c r="D51" s="234"/>
      <c r="E51" s="248" t="str">
        <f ca="1">IF(INDIRECT("V6")&lt;&gt;"","RandomNickNames[2]="""&amp;INDIRECT("V6")&amp;"""","")</f>
        <v>RandomNickNames[2]="Beta"</v>
      </c>
      <c r="F51" s="234" t="s">
        <v>340</v>
      </c>
      <c r="G51" s="234"/>
      <c r="H51" s="234"/>
      <c r="I51" s="234"/>
      <c r="J51" s="234"/>
    </row>
    <row r="52" spans="1:10" x14ac:dyDescent="0.25">
      <c r="A52" s="240" t="str">
        <f ca="1">"+NumInForcedDeck="&amp;INDIRECT("E9")</f>
        <v>+NumInForcedDeck=1</v>
      </c>
      <c r="B52" s="234" t="s">
        <v>340</v>
      </c>
      <c r="C52" s="234"/>
      <c r="D52" s="234"/>
      <c r="E52" s="248" t="str">
        <f ca="1">IF(INDIRECT("V7")&lt;&gt;"","RandomNickNames[3]="""&amp;INDIRECT("V7")&amp;"""","")</f>
        <v>RandomNickNames[3]="Bishop"</v>
      </c>
      <c r="F52" s="234" t="s">
        <v>340</v>
      </c>
      <c r="G52" s="234"/>
      <c r="H52" s="234"/>
      <c r="I52" s="234"/>
      <c r="J52" s="234"/>
    </row>
    <row r="53" spans="1:10" x14ac:dyDescent="0.25">
      <c r="A53" s="240" t="str">
        <f ca="1">"+NumInDeck="&amp;INDIRECT("E10")</f>
        <v>+NumInDeck=4</v>
      </c>
      <c r="B53" s="234" t="s">
        <v>340</v>
      </c>
      <c r="C53" s="234"/>
      <c r="D53" s="234"/>
      <c r="E53" s="248" t="str">
        <f ca="1">IF(INDIRECT("V8")&lt;&gt;"","RandomNickNames[4]="""&amp;INDIRECT("V8")&amp;"""","")</f>
        <v>RandomNickNames[4]="Shatter"</v>
      </c>
      <c r="F53" s="234" t="s">
        <v>340</v>
      </c>
      <c r="G53" s="234"/>
      <c r="H53" s="234"/>
      <c r="I53" s="234"/>
      <c r="J53" s="234"/>
    </row>
    <row r="54" spans="1:10" x14ac:dyDescent="0.25">
      <c r="A54" s="240" t="str">
        <f ca="1">"+KillAssistsPerKill="&amp;INDIRECT("E11")</f>
        <v>+KillAssistsPerKill=5</v>
      </c>
      <c r="B54" s="234" t="s">
        <v>340</v>
      </c>
      <c r="C54" s="234"/>
      <c r="D54" s="234"/>
      <c r="E54" s="248" t="str">
        <f ca="1">IF(INDIRECT("V9")&lt;&gt;"","RandomNickNames[5]="""&amp;INDIRECT("V9")&amp;"""","")</f>
        <v>RandomNickNames[5]="Breaker"</v>
      </c>
      <c r="F54" s="234" t="s">
        <v>340</v>
      </c>
      <c r="G54" s="234"/>
      <c r="H54" s="234"/>
      <c r="I54" s="234"/>
      <c r="J54" s="234"/>
    </row>
    <row r="55" spans="1:10" x14ac:dyDescent="0.25">
      <c r="A55" s="240" t="str">
        <f ca="1">"+SquaddieLoadout=Squaddie"&amp;INDIRECT("C3")</f>
        <v>+SquaddieLoadout=SquaddieLWD_Assault</v>
      </c>
      <c r="B55" s="234" t="s">
        <v>340</v>
      </c>
      <c r="C55" s="234"/>
      <c r="D55" s="234"/>
      <c r="E55" s="248" t="str">
        <f ca="1">IF(INDIRECT("V10")&lt;&gt;"","RandomNickNames[6]="""&amp;INDIRECT("V10")&amp;"""","")</f>
        <v>RandomNickNames[6]="Broker"</v>
      </c>
      <c r="F55" s="234" t="s">
        <v>340</v>
      </c>
      <c r="G55" s="234"/>
      <c r="H55" s="234"/>
      <c r="I55" s="234"/>
      <c r="J55" s="234"/>
    </row>
    <row r="56" spans="1:10" x14ac:dyDescent="0.25">
      <c r="A56" s="240" t="str">
        <f ca="1">";+bAllowAWCAbilities="&amp;INDIRECT("E12")&amp;" ; Not a thing in LW2"</f>
        <v>;+bAllowAWCAbilities=1 ; Not a thing in LW2</v>
      </c>
      <c r="B56" s="234" t="s">
        <v>340</v>
      </c>
      <c r="C56" s="234"/>
      <c r="D56" s="234"/>
      <c r="E56" s="248" t="str">
        <f ca="1">IF(INDIRECT("V11")&lt;&gt;"","RandomNickNames[7]="""&amp;INDIRECT("V11")&amp;"""","")</f>
        <v>RandomNickNames[7]="Conquest"</v>
      </c>
      <c r="F56" s="234" t="s">
        <v>340</v>
      </c>
      <c r="G56" s="234"/>
      <c r="H56" s="234"/>
      <c r="I56" s="234"/>
      <c r="J56" s="234"/>
    </row>
    <row r="57" spans="1:10" x14ac:dyDescent="0.25">
      <c r="A57" s="240" t="str">
        <f ca="1">IF(INDIRECT("B5")=FALSE,";","")&amp;"+AllowedWeapons=(SlotType=eInvSlot_PrimaryWeapon, WeaponType=""rifle"")"</f>
        <v>;+AllowedWeapons=(SlotType=eInvSlot_PrimaryWeapon, WeaponType="rifle")</v>
      </c>
      <c r="B57" s="234" t="s">
        <v>340</v>
      </c>
      <c r="C57" s="234"/>
      <c r="D57" s="234"/>
      <c r="E57" s="248" t="str">
        <f ca="1">IF(INDIRECT("V12")&lt;&gt;"","RandomNickNames[8]="""&amp;INDIRECT("V12")&amp;"""","")</f>
        <v>RandomNickNames[8]="Deacon"</v>
      </c>
      <c r="F57" s="234" t="s">
        <v>340</v>
      </c>
      <c r="G57" s="234"/>
      <c r="H57" s="234"/>
      <c r="I57" s="234"/>
      <c r="J57" s="234"/>
    </row>
    <row r="58" spans="1:10" x14ac:dyDescent="0.25">
      <c r="A58" s="240" t="str">
        <f ca="1">IF(INDIRECT("B6")=FALSE,";","")&amp;"+AllowedWeapons=(SlotType=eInvSlot_PrimaryWeapon, WeaponType=""cannon"")"</f>
        <v>;+AllowedWeapons=(SlotType=eInvSlot_PrimaryWeapon, WeaponType="cannon")</v>
      </c>
      <c r="B58" s="234" t="s">
        <v>340</v>
      </c>
      <c r="C58" s="234"/>
      <c r="D58" s="234"/>
      <c r="E58" s="248" t="str">
        <f ca="1">IF(INDIRECT("V13")&lt;&gt;"","RandomNickNames[9]="""&amp;INDIRECT("V13")&amp;"""","")</f>
        <v>RandomNickNames[9]="Doomtrain"</v>
      </c>
      <c r="F58" s="234" t="s">
        <v>340</v>
      </c>
      <c r="G58" s="234"/>
      <c r="H58" s="234"/>
      <c r="I58" s="234"/>
      <c r="J58" s="234"/>
    </row>
    <row r="59" spans="1:10" x14ac:dyDescent="0.25">
      <c r="A59" s="240" t="str">
        <f ca="1">IF(INDIRECT("B7")=FALSE,";","")&amp;"+AllowedWeapons=(SlotType=eInvSlot_PrimaryWeapon, WeaponType=""shotgun"")"</f>
        <v>+AllowedWeapons=(SlotType=eInvSlot_PrimaryWeapon, WeaponType="shotgun")</v>
      </c>
      <c r="B59" s="234" t="s">
        <v>340</v>
      </c>
      <c r="C59" s="234"/>
      <c r="D59" s="234"/>
      <c r="E59" s="248" t="str">
        <f ca="1">IF(INDIRECT("V14")&lt;&gt;"","RandomNickNames[10]="""&amp;INDIRECT("V14")&amp;"""","")</f>
        <v>RandomNickNames[10]="Dr. Feelgood"</v>
      </c>
      <c r="F59" s="234" t="s">
        <v>340</v>
      </c>
      <c r="G59" s="234"/>
      <c r="H59" s="234"/>
      <c r="I59" s="234"/>
      <c r="J59" s="234"/>
    </row>
    <row r="60" spans="1:10" x14ac:dyDescent="0.25">
      <c r="A60" s="240" t="str">
        <f ca="1">IF(INDIRECT("B8")=FALSE,";","")&amp;"+AllowedWeapons=(SlotType=eInvSlot_PrimaryWeapon, WeaponType=""sniper_rifle"")"</f>
        <v>;+AllowedWeapons=(SlotType=eInvSlot_PrimaryWeapon, WeaponType="sniper_rifle")</v>
      </c>
      <c r="B60" s="234" t="s">
        <v>340</v>
      </c>
      <c r="C60" s="234"/>
      <c r="D60" s="234"/>
      <c r="E60" s="248" t="str">
        <f ca="1">IF(INDIRECT("V15")&lt;&gt;"","RandomNickNames[11]="""&amp;INDIRECT("V15")&amp;"""","")</f>
        <v>RandomNickNames[11]="Famine"</v>
      </c>
      <c r="F60" s="234" t="s">
        <v>340</v>
      </c>
      <c r="G60" s="234"/>
      <c r="H60" s="234"/>
      <c r="I60" s="234"/>
      <c r="J60" s="234"/>
    </row>
    <row r="61" spans="1:10" x14ac:dyDescent="0.25">
      <c r="A61" s="240" t="str">
        <f ca="1">IF(INDIRECT("B9")=FALSE,";","")&amp;"+AllowedWeapons=(SlotType=eInvSlot_SecondaryWeapon, WeaponType=""gauntlet"")"</f>
        <v>;+AllowedWeapons=(SlotType=eInvSlot_SecondaryWeapon, WeaponType="gauntlet")</v>
      </c>
      <c r="B61" s="234" t="s">
        <v>340</v>
      </c>
      <c r="C61" s="234"/>
      <c r="D61" s="234"/>
      <c r="E61" s="248" t="str">
        <f ca="1">IF(INDIRECT("V16")&lt;&gt;"","RandomNickNames[12]="""&amp;INDIRECT("V16")&amp;"""","")</f>
        <v>RandomNickNames[12]="Feedback"</v>
      </c>
      <c r="F61" s="234" t="s">
        <v>340</v>
      </c>
      <c r="G61" s="234"/>
      <c r="H61" s="234"/>
      <c r="I61" s="234"/>
      <c r="J61" s="234"/>
    </row>
    <row r="62" spans="1:10" x14ac:dyDescent="0.25">
      <c r="A62" s="240" t="str">
        <f ca="1">IF(INDIRECT("B10")=FALSE,";","")&amp;"+AllowedWeapons=(SlotType=eInvSlot_SecondaryWeapon, WeaponType=""combatknife"")"</f>
        <v>;+AllowedWeapons=(SlotType=eInvSlot_SecondaryWeapon, WeaponType="combatknife")</v>
      </c>
      <c r="B62" s="234" t="s">
        <v>340</v>
      </c>
      <c r="C62" s="234"/>
      <c r="D62" s="234"/>
      <c r="E62" s="248" t="str">
        <f ca="1">IF(INDIRECT("V17")&lt;&gt;"","RandomNickNames[13]="""&amp;INDIRECT("V17")&amp;"""","")</f>
        <v>RandomNickNames[13]="Firewall"</v>
      </c>
      <c r="F62" s="234" t="s">
        <v>340</v>
      </c>
      <c r="G62" s="234"/>
      <c r="H62" s="234"/>
      <c r="I62" s="234"/>
      <c r="J62" s="234"/>
    </row>
    <row r="63" spans="1:10" x14ac:dyDescent="0.25">
      <c r="A63" s="240" t="str">
        <f ca="1">IF(INDIRECT("B11")=FALSE,";","")&amp;"+AllowedWeapons=(SlotType=eInvSlot_SecondaryWeapon, WeaponType=""grenade_launcher"")"</f>
        <v>;+AllowedWeapons=(SlotType=eInvSlot_SecondaryWeapon, WeaponType="grenade_launcher")</v>
      </c>
      <c r="B63" s="234" t="s">
        <v>340</v>
      </c>
      <c r="C63" s="234"/>
      <c r="D63" s="234"/>
      <c r="E63" s="248" t="str">
        <f ca="1">IF(INDIRECT("V18")&lt;&gt;"","RandomNickNames[14]="""&amp;INDIRECT("V18")&amp;"""","")</f>
        <v>RandomNickNames[14]="Genius"</v>
      </c>
      <c r="F63" s="234" t="s">
        <v>340</v>
      </c>
      <c r="G63" s="234"/>
      <c r="H63" s="234"/>
      <c r="I63" s="234"/>
      <c r="J63" s="234"/>
    </row>
    <row r="64" spans="1:10" x14ac:dyDescent="0.25">
      <c r="A64" s="240" t="str">
        <f ca="1">IF(INDIRECT("B12")=FALSE,";","")&amp;"+AllowedWeapons=(SlotType=eInvSlot_SecondaryWeapon, WeaponType=""gremlin"")"</f>
        <v>;+AllowedWeapons=(SlotType=eInvSlot_SecondaryWeapon, WeaponType="gremlin")</v>
      </c>
      <c r="B64" s="234" t="s">
        <v>340</v>
      </c>
      <c r="C64" s="234"/>
      <c r="D64" s="234"/>
      <c r="E64" s="248" t="str">
        <f ca="1">IF(INDIRECT("V19")&lt;&gt;"","RandomNickNames[15]="""&amp;INDIRECT("V19")&amp;"""","")</f>
        <v>RandomNickNames[15]="Mad Dog"</v>
      </c>
      <c r="F64" s="234" t="s">
        <v>340</v>
      </c>
      <c r="G64" s="234"/>
      <c r="H64" s="234"/>
      <c r="I64" s="234"/>
      <c r="J64" s="234"/>
    </row>
    <row r="65" spans="1:10" x14ac:dyDescent="0.25">
      <c r="A65" s="240" t="str">
        <f ca="1">IF(INDIRECT("B13")=FALSE,";","")&amp;"+AllowedWeapons=(SlotType=eInvSlot_SecondaryWeapon, WeaponType=""sword"")"</f>
        <v>;+AllowedWeapons=(SlotType=eInvSlot_SecondaryWeapon, WeaponType="sword")</v>
      </c>
      <c r="B65" s="234" t="s">
        <v>340</v>
      </c>
      <c r="C65" s="234"/>
      <c r="D65" s="234"/>
      <c r="E65" s="248" t="str">
        <f ca="1">IF(INDIRECT("V20")&lt;&gt;"","RandomNickNames[16]="""&amp;INDIRECT("V20")&amp;"""","")</f>
        <v>RandomNickNames[16]="Jester"</v>
      </c>
      <c r="F65" s="234" t="s">
        <v>340</v>
      </c>
      <c r="G65" s="234"/>
      <c r="H65" s="234"/>
      <c r="I65" s="234"/>
      <c r="J65" s="234"/>
    </row>
    <row r="66" spans="1:10" x14ac:dyDescent="0.25">
      <c r="A66" s="240" t="str">
        <f ca="1">IF(INDIRECT("B14")=FALSE,";","")&amp;"+AllowedWeapons=(SlotType=eInvSlot_SecondaryWeapon, WeaponType=""sawedoffshotgun"")"</f>
        <v>;+AllowedWeapons=(SlotType=eInvSlot_SecondaryWeapon, WeaponType="sawedoffshotgun")</v>
      </c>
      <c r="B66" s="234" t="s">
        <v>340</v>
      </c>
      <c r="C66" s="234"/>
      <c r="D66" s="234"/>
      <c r="E66" s="248" t="str">
        <f ca="1">IF(INDIRECT("V21")&lt;&gt;"","RandomNickNames[17]="""&amp;INDIRECT("V21")&amp;"""","")</f>
        <v>RandomNickNames[17]="Jolt"</v>
      </c>
      <c r="F66" s="234" t="s">
        <v>340</v>
      </c>
      <c r="G66" s="234"/>
      <c r="H66" s="234"/>
      <c r="I66" s="234"/>
      <c r="J66" s="234"/>
    </row>
    <row r="67" spans="1:10" x14ac:dyDescent="0.25">
      <c r="A67" s="240" t="str">
        <f ca="1">IF(INDIRECT("B15")=FALSE,";","")&amp;"+AllowedWeapons=(SlotType=eInvSlot_SecondaryWeapon, WeaponType=""arcthrower"")"</f>
        <v>+AllowedWeapons=(SlotType=eInvSlot_SecondaryWeapon, WeaponType="arcthrower")</v>
      </c>
      <c r="B67" s="234" t="s">
        <v>340</v>
      </c>
      <c r="C67" s="234"/>
      <c r="D67" s="234"/>
      <c r="E67" s="248" t="str">
        <f ca="1">IF(INDIRECT("V22")&lt;&gt;"","RandomNickNames[18]="""&amp;INDIRECT("V22")&amp;"""","")</f>
        <v>RandomNickNames[18]="Lightning"</v>
      </c>
      <c r="F67" s="234" t="s">
        <v>340</v>
      </c>
      <c r="G67" s="234"/>
      <c r="H67" s="234"/>
      <c r="I67" s="234"/>
      <c r="J67" s="234"/>
    </row>
    <row r="68" spans="1:10" x14ac:dyDescent="0.25">
      <c r="A68" s="240" t="str">
        <f ca="1">IF(INDIRECT("B16")=FALSE,";","")&amp;"+AllowedWeapons=(SlotType=eInvSlot_SecondaryWeapon, WeaponType=""holotargeter"")"</f>
        <v>;+AllowedWeapons=(SlotType=eInvSlot_SecondaryWeapon, WeaponType="holotargeter")</v>
      </c>
      <c r="B68" s="234" t="s">
        <v>340</v>
      </c>
      <c r="C68" s="234"/>
      <c r="D68" s="234"/>
      <c r="E68" s="248" t="str">
        <f ca="1">IF(INDIRECT("V23")&lt;&gt;"","RandomNickNames[19]="""&amp;INDIRECT("V23")&amp;"""","")</f>
        <v>RandomNickNames[19]="Mayday"</v>
      </c>
      <c r="F68" s="234" t="s">
        <v>340</v>
      </c>
      <c r="G68" s="234"/>
      <c r="H68" s="234"/>
      <c r="I68" s="234"/>
      <c r="J68" s="234"/>
    </row>
    <row r="69" spans="1:10" x14ac:dyDescent="0.25">
      <c r="A69" s="240" t="str">
        <f ca="1">IF(INDIRECT("B17")=FALSE,";","")&amp;"+AllowedWeapons=(SlotType=eInvSlot_SecondaryWeapon, WeaponType=""psiamp"")"</f>
        <v>;+AllowedWeapons=(SlotType=eInvSlot_SecondaryWeapon, WeaponType="psiamp")</v>
      </c>
      <c r="B69" s="234" t="s">
        <v>340</v>
      </c>
      <c r="C69" s="234"/>
      <c r="D69" s="234"/>
      <c r="E69" s="248" t="str">
        <f ca="1">IF(INDIRECT("V24")&lt;&gt;"","RandomNickNames[20]="""&amp;INDIRECT("V24")&amp;"""","")</f>
        <v>RandomNickNames[20]="Mega"</v>
      </c>
      <c r="F69" s="234" t="s">
        <v>340</v>
      </c>
      <c r="G69" s="234"/>
      <c r="H69" s="234"/>
      <c r="I69" s="234"/>
      <c r="J69" s="234"/>
    </row>
    <row r="70" spans="1:10" x14ac:dyDescent="0.25">
      <c r="A70" s="240" t="str">
        <f ca="1">IF(INDIRECT("B9")=FALSE,";","")&amp;"+AllowedWeapons=(SlotType=eInvSlot_HeavyWeapon, WeaponType=""heavyammo"")"</f>
        <v>;+AllowedWeapons=(SlotType=eInvSlot_HeavyWeapon, WeaponType="heavyammo")</v>
      </c>
      <c r="B70" s="234" t="s">
        <v>340</v>
      </c>
      <c r="C70" s="234"/>
      <c r="D70" s="234"/>
      <c r="E70" s="248" t="str">
        <f ca="1">IF(INDIRECT("V25")&lt;&gt;"","RandomNickNames[21]="""&amp;INDIRECT("V25")&amp;"""","")</f>
        <v>RandomNickNames[21]="Newton"</v>
      </c>
      <c r="F70" s="234" t="s">
        <v>340</v>
      </c>
      <c r="G70" s="234"/>
      <c r="H70" s="234"/>
      <c r="I70" s="234"/>
      <c r="J70" s="234"/>
    </row>
    <row r="71" spans="1:10" x14ac:dyDescent="0.25">
      <c r="A71" s="240" t="str">
        <f ca="1">IF(INDIRECT("B9")=TRUE,";","")&amp;"+AllowedWeapons=(SlotType=eInvSlot_HeavyWeapon, WeaponType=""heavy"")"</f>
        <v>+AllowedWeapons=(SlotType=eInvSlot_HeavyWeapon, WeaponType="heavy")</v>
      </c>
      <c r="B71" s="234" t="s">
        <v>340</v>
      </c>
      <c r="C71" s="234"/>
      <c r="D71" s="234"/>
      <c r="E71" s="248" t="str">
        <f ca="1">IF(INDIRECT("V26")&lt;&gt;"","RandomNickNames[22]="""&amp;INDIRECT("V26")&amp;"""","")</f>
        <v>RandomNickNames[22]="Ragtime"</v>
      </c>
      <c r="F71" s="234" t="s">
        <v>340</v>
      </c>
      <c r="G71" s="234"/>
      <c r="H71" s="234"/>
      <c r="I71" s="234"/>
      <c r="J71" s="234"/>
    </row>
    <row r="72" spans="1:10" x14ac:dyDescent="0.25">
      <c r="A72" s="240" t="str">
        <f ca="1">"+AllowedArmors="&amp;INDIRECT("E13")</f>
        <v>+AllowedArmors=soldier</v>
      </c>
      <c r="B72" s="234" t="s">
        <v>340</v>
      </c>
      <c r="C72" s="234"/>
      <c r="D72" s="234"/>
      <c r="E72" s="248" t="str">
        <f ca="1">IF(INDIRECT("V27")&lt;&gt;"","RandomNickNames[23]="""&amp;INDIRECT("V27")&amp;"""","")</f>
        <v>RandomNickNames[23]="Dancer"</v>
      </c>
      <c r="F72" s="234" t="s">
        <v>340</v>
      </c>
      <c r="G72" s="234"/>
      <c r="H72" s="234"/>
      <c r="I72" s="234"/>
      <c r="J72" s="234"/>
    </row>
    <row r="73" spans="1:10" x14ac:dyDescent="0.25">
      <c r="A73" s="240" t="str">
        <f>"; squaddie"</f>
        <v>; squaddie</v>
      </c>
      <c r="B73" s="234" t="s">
        <v>340</v>
      </c>
      <c r="C73" s="234"/>
      <c r="D73" s="234"/>
      <c r="E73" s="248" t="str">
        <f ca="1">IF(INDIRECT("V28")&lt;&gt;"","RandomNickNames[24]="""&amp;INDIRECT("V28")&amp;"""","")</f>
        <v>RandomNickNames[24]="Rattler"</v>
      </c>
      <c r="F73" s="234" t="s">
        <v>340</v>
      </c>
      <c r="G73" s="234"/>
      <c r="H73" s="234"/>
      <c r="I73" s="234"/>
      <c r="J73" s="234"/>
    </row>
    <row r="74" spans="1:10" x14ac:dyDescent="0.25">
      <c r="A74" s="240" t="str">
        <f ca="1">"+SoldierRanks=(  aAbilityTree=( (AbilityName="""&amp;VLOOKUP(INDIRECT("F4"),Abilities,2,FALSE)&amp;""""&amp;IF(VLOOKUP(INDIRECT("F4"),Abilities,3,FALSE)="","",", ApplyToWeaponSlot=eInvSlot_"&amp;VLOOKUP(INDIRECT("F4"),Abilities,3,FALSE))&amp;"), \\"</f>
        <v>+SoldierRanks=(  aAbilityTree=( (AbilityName="ArcthrowerStun", ApplyToWeaponSlot=eInvSlot_SecondaryWeapon), \\</v>
      </c>
      <c r="B74" s="234" t="s">
        <v>340</v>
      </c>
      <c r="C74" s="234"/>
      <c r="D74" s="234"/>
      <c r="E74" s="248" t="str">
        <f ca="1">IF(INDIRECT("V29")&lt;&gt;"","RandomNickNames[25]="""&amp;INDIRECT("V29")&amp;"""","")</f>
        <v>RandomNickNames[25]="Revelation"</v>
      </c>
      <c r="F74" s="234" t="s">
        <v>340</v>
      </c>
      <c r="G74" s="234"/>
      <c r="H74" s="234"/>
      <c r="I74" s="234"/>
      <c r="J74" s="234"/>
    </row>
    <row r="75" spans="1:10" x14ac:dyDescent="0.25">
      <c r="A75" s="240" t="str">
        <f ca="1">IF(INDIRECT("I4")="","\\","(AbilityName="""&amp;VLOOKUP(INDIRECT("I4"),Abilities,2,FALSE)&amp;""""&amp;IF(VLOOKUP(INDIRECT("I4"),Abilities,3,FALSE)="","",", ApplyToWeaponSlot=eInvSlot_"&amp;VLOOKUP(INDIRECT("I4"),Abilities,3,FALSE))&amp;"), \\")</f>
        <v>(AbilityName="RunAndGun_LW"), \\</v>
      </c>
      <c r="B75" s="234" t="s">
        <v>340</v>
      </c>
      <c r="C75" s="234"/>
      <c r="D75" s="234"/>
      <c r="E75" s="248" t="str">
        <f ca="1">IF(INDIRECT("V30")&lt;&gt;"","RandomNickNames[26]="""&amp;INDIRECT("V30")&amp;"""","")</f>
        <v>RandomNickNames[26]="Skipper"</v>
      </c>
      <c r="F75" s="234" t="s">
        <v>340</v>
      </c>
      <c r="G75" s="234"/>
      <c r="H75" s="234"/>
      <c r="I75" s="234"/>
      <c r="J75" s="234"/>
    </row>
    <row r="76" spans="1:10" x14ac:dyDescent="0.25">
      <c r="A76" s="240" t="str">
        <f ca="1">IF(INDIRECT("L4")="","\\","(AbilityName="""&amp;VLOOKUP(INDIRECT("L4"),Abilities,2,FALSE)&amp;""""&amp;IF(VLOOKUP(INDIRECT("L4"),Abilities,3,FALSE)="","",", ApplyToWeaponSlot=eInvSlot_"&amp;VLOOKUP(INDIRECT("L4"),Abilities,3,FALSE))&amp;"), \\")</f>
        <v>\\</v>
      </c>
      <c r="B76" s="234" t="s">
        <v>340</v>
      </c>
      <c r="C76" s="234"/>
      <c r="D76" s="234"/>
      <c r="E76" s="248" t="str">
        <f ca="1">IF(INDIRECT("V31")&lt;&gt;"","RandomNickNames[27]="""&amp;INDIRECT("V31")&amp;"""","")</f>
        <v>RandomNickNames[27]="Thunder"</v>
      </c>
      <c r="F76" s="234" t="s">
        <v>340</v>
      </c>
      <c r="G76" s="234"/>
      <c r="H76" s="234"/>
      <c r="I76" s="234"/>
      <c r="J76" s="234"/>
    </row>
    <row r="77" spans="1:10" x14ac:dyDescent="0.25">
      <c r="A77" s="240" t="str">
        <f ca="1">IF(INDIRECT("F7")="","\\","(AbilityName="""&amp;VLOOKUP(INDIRECT("F7"),Abilities,2,FALSE)&amp;""""&amp;IF(VLOOKUP(INDIRECT("F7"),Abilities,3,FALSE)="","",", ApplyToWeaponSlot=eInvSlot_"&amp;VLOOKUP(INDIRECT("F7"),Abilities,3,FALSE))&amp;"), \\")</f>
        <v>\\</v>
      </c>
      <c r="B77" s="234" t="s">
        <v>340</v>
      </c>
      <c r="C77" s="234"/>
      <c r="D77" s="234"/>
      <c r="E77" s="248" t="str">
        <f ca="1">IF(INDIRECT("V32")&lt;&gt;"","RandomNickNames[28]="""&amp;INDIRECT("V32")&amp;"""","")</f>
        <v>RandomNickNames[28]="Undertaker"</v>
      </c>
      <c r="F77" s="234" t="s">
        <v>340</v>
      </c>
      <c r="G77" s="234"/>
      <c r="H77" s="234"/>
      <c r="I77" s="234"/>
      <c r="J77" s="234"/>
    </row>
    <row r="78" spans="1:10" x14ac:dyDescent="0.25">
      <c r="A78" s="240" t="str">
        <f ca="1">IF(INDIRECT("I7")="","\\","(AbilityName="""&amp;VLOOKUP(INDIRECT("I7"),Abilities,2,FALSE)&amp;""""&amp;IF(VLOOKUP(INDIRECT("I7"),Abilities,3,FALSE)="","",", ApplyToWeaponSlot=eInvSlot_"&amp;VLOOKUP(INDIRECT("I7"),Abilities,3,FALSE))&amp;"), \\")</f>
        <v>\\</v>
      </c>
      <c r="B78" s="234" t="s">
        <v>340</v>
      </c>
      <c r="C78" s="234"/>
      <c r="D78" s="234"/>
      <c r="E78" s="248" t="str">
        <f ca="1">IF(INDIRECT("V33")&lt;&gt;"","RandomNickNames[29]="""&amp;INDIRECT("V33")&amp;"""","")</f>
        <v>RandomNickNames[29]="War"</v>
      </c>
      <c r="F78" s="234" t="s">
        <v>340</v>
      </c>
      <c r="G78" s="234"/>
      <c r="H78" s="234"/>
      <c r="I78" s="234"/>
      <c r="J78" s="234"/>
    </row>
    <row r="79" spans="1:10" x14ac:dyDescent="0.25">
      <c r="A79" s="240" t="str">
        <f ca="1">IF(INDIRECT("L7")="","\\","(AbilityName="""&amp;VLOOKUP(INDIRECT("L7"),Abilities,2,FALSE)&amp;""""&amp;IF(VLOOKUP(INDIRECT("L7"),Abilities,3,FALSE)="","",", ApplyToWeaponSlot=eInvSlot_"&amp;VLOOKUP(INDIRECT("L7"),Abilities,3,FALSE))&amp;"), \\")</f>
        <v>\\</v>
      </c>
      <c r="B79" s="234" t="s">
        <v>340</v>
      </c>
      <c r="C79" s="234"/>
      <c r="D79" s="234"/>
      <c r="E79" s="248" t="str">
        <f ca="1">IF(INDIRECT("V34")&lt;&gt;"","RandomNickNames[30]="""&amp;INDIRECT("V34")&amp;"""","")</f>
        <v>RandomNickNames[30]="Whoopsie"</v>
      </c>
      <c r="F79" s="234" t="s">
        <v>340</v>
      </c>
      <c r="G79" s="234"/>
      <c r="H79" s="234"/>
      <c r="I79" s="234"/>
      <c r="J79" s="234"/>
    </row>
    <row r="80" spans="1:10" x14ac:dyDescent="0.25">
      <c r="A80" s="240" t="s">
        <v>337</v>
      </c>
      <c r="B80" s="234" t="s">
        <v>340</v>
      </c>
      <c r="C80" s="234"/>
      <c r="D80" s="234"/>
      <c r="E80" s="248" t="str">
        <f ca="1">IF(INDIRECT("V35")&lt;&gt;"","RandomNickNames[31]="""&amp;INDIRECT("V35")&amp;"""","")</f>
        <v>RandomNickNames[31]="Zulu"</v>
      </c>
      <c r="F80" s="234" t="s">
        <v>340</v>
      </c>
      <c r="G80" s="234"/>
      <c r="H80" s="234"/>
      <c r="I80" s="234"/>
      <c r="J80" s="234"/>
    </row>
    <row r="81" spans="1:10" x14ac:dyDescent="0.25">
      <c r="A81" s="240"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(StatType=eStat_Will,StatAmount=5), (StatType=eStat_Mobility,StatAmount=1)),\\</v>
      </c>
      <c r="B81" s="234" t="s">
        <v>340</v>
      </c>
      <c r="C81" s="234"/>
      <c r="D81" s="234"/>
      <c r="E81" s="248" t="str">
        <f>"; Male Nicknames"</f>
        <v>; Male Nicknames</v>
      </c>
      <c r="F81" s="234" t="s">
        <v>340</v>
      </c>
      <c r="G81" s="234"/>
      <c r="H81" s="234"/>
      <c r="I81" s="234"/>
      <c r="J81" s="234"/>
    </row>
    <row r="82" spans="1:10" x14ac:dyDescent="0.25">
      <c r="A82" s="240" t="s">
        <v>338</v>
      </c>
      <c r="B82" s="234" t="s">
        <v>340</v>
      </c>
      <c r="C82" s="234"/>
      <c r="D82" s="234"/>
      <c r="E82" s="248" t="str">
        <f ca="1">IF(INDIRECT("X4")&lt;&gt;"","RandomNickNames_Male[0]="""&amp;INDIRECT("X4")&amp;"""","")</f>
        <v>RandomNickNames_Male[0]="Candyman"</v>
      </c>
      <c r="F82" s="234" t="s">
        <v>340</v>
      </c>
      <c r="G82" s="234"/>
      <c r="H82" s="234"/>
      <c r="I82" s="234"/>
      <c r="J82" s="234"/>
    </row>
    <row r="83" spans="1:10" x14ac:dyDescent="0.25">
      <c r="A83" s="240" t="str">
        <f>"; lance corporal"</f>
        <v>; lance corporal</v>
      </c>
      <c r="B83" s="234" t="s">
        <v>340</v>
      </c>
      <c r="C83" s="234"/>
      <c r="D83" s="234"/>
      <c r="E83" s="248" t="str">
        <f ca="1">IF(INDIRECT("X5")&lt;&gt;"","RandomNickNames_Male[1]="""&amp;INDIRECT("X5")&amp;"""","")</f>
        <v>RandomNickNames_Male[1]="Magic Man"</v>
      </c>
      <c r="F83" s="234" t="s">
        <v>340</v>
      </c>
      <c r="G83" s="234"/>
      <c r="H83" s="234"/>
      <c r="I83" s="234"/>
      <c r="J83" s="234"/>
    </row>
    <row r="84" spans="1:10" x14ac:dyDescent="0.25">
      <c r="A84" s="240" t="str">
        <f ca="1">"+SoldierRanks=(  aAbilityTree=( (AbilityName="""&amp;VLOOKUP(INDIRECT("F13"),Abilities,2,FALSE)&amp;""""&amp;IF(VLOOKUP(INDIRECT("F13"),Abilities,3,FALSE)="","",", ApplyToWeaponSlot=eInvSlot_"&amp;VLOOKUP(INDIRECT("F13"),Abilities,3,FALSE))&amp;"), \\"</f>
        <v>+SoldierRanks=(  aAbilityTree=( (AbilityName="Electroshock", ApplyToWeaponSlot=eInvSlot_SecondaryWeapon), \\</v>
      </c>
      <c r="B84" s="234" t="s">
        <v>340</v>
      </c>
      <c r="C84" s="234"/>
      <c r="D84" s="234"/>
      <c r="E84" s="248" t="str">
        <f ca="1">IF(INDIRECT("X6")&lt;&gt;"","RandomNickNames_Male[2]="""&amp;INDIRECT("X6")&amp;"""","")</f>
        <v>RandomNickNames_Male[2]="Priest"</v>
      </c>
      <c r="F84" s="234" t="s">
        <v>340</v>
      </c>
      <c r="G84" s="234"/>
      <c r="H84" s="234"/>
      <c r="I84" s="234"/>
      <c r="J84" s="234"/>
    </row>
    <row r="85" spans="1:10" x14ac:dyDescent="0.25">
      <c r="A85" s="240" t="str">
        <f ca="1">IF(INDIRECT("I13")="","\\","(AbilityName="""&amp;VLOOKUP(INDIRECT("I13"),Abilities,2,FALSE)&amp;""""&amp;IF(VLOOKUP(INDIRECT("I13"),Abilities,3,FALSE)="","",", ApplyToWeaponSlot=eInvSlot_"&amp;VLOOKUP(INDIRECT("I13"),Abilities,3,FALSE))&amp;"), \\")</f>
        <v>(AbilityName=" "), \\</v>
      </c>
      <c r="B85" s="234" t="s">
        <v>340</v>
      </c>
      <c r="C85" s="234"/>
      <c r="D85" s="234"/>
      <c r="E85" s="248" t="str">
        <f ca="1">IF(INDIRECT("X7")&lt;&gt;"","RandomNickNames_Male[3]="""&amp;INDIRECT("X7")&amp;"""","")</f>
        <v>RandomNickNames_Male[3]="Mr. Go"</v>
      </c>
      <c r="F85" s="234" t="s">
        <v>340</v>
      </c>
      <c r="G85" s="234"/>
      <c r="H85" s="234"/>
      <c r="I85" s="234"/>
      <c r="J85" s="234"/>
    </row>
    <row r="86" spans="1:10" x14ac:dyDescent="0.25">
      <c r="A86" s="240" t="str">
        <f ca="1">IF(INDIRECT("L13")="","\\","(AbilityName="""&amp;VLOOKUP(INDIRECT("L13"),Abilities,2,FALSE)&amp;""""&amp;IF(VLOOKUP(INDIRECT("L13"),Abilities,3,FALSE)="","",", ApplyToWeaponSlot=eInvSlot_"&amp;VLOOKUP(INDIRECT("L13"),Abilities,3,FALSE))&amp;"), \\")</f>
        <v>(AbilityName="LightningReflexes_LW", ApplyToWeaponSlot=eInvSlot_Unknown), \\</v>
      </c>
      <c r="B86" s="234" t="s">
        <v>340</v>
      </c>
      <c r="C86" s="234"/>
      <c r="D86" s="234"/>
      <c r="E86" s="248" t="str">
        <f ca="1">IF(INDIRECT("X8")&lt;&gt;"","RandomNickNames_Male[4]="""&amp;INDIRECT("X8")&amp;"""","")</f>
        <v>RandomNickNames_Male[4]="Rooster"</v>
      </c>
      <c r="F86" s="234" t="s">
        <v>340</v>
      </c>
      <c r="G86" s="234"/>
      <c r="H86" s="234"/>
      <c r="I86" s="234"/>
      <c r="J86" s="234"/>
    </row>
    <row r="87" spans="1:10" x14ac:dyDescent="0.25">
      <c r="A87" s="240" t="s">
        <v>337</v>
      </c>
      <c r="B87" s="234" t="s">
        <v>340</v>
      </c>
      <c r="C87" s="234"/>
      <c r="D87" s="234"/>
      <c r="E87" s="248" t="str">
        <f>"; Female Nicknames"</f>
        <v>; Female Nicknames</v>
      </c>
      <c r="F87" s="234" t="s">
        <v>340</v>
      </c>
      <c r="G87" s="234"/>
      <c r="H87" s="234"/>
      <c r="I87" s="234"/>
      <c r="J87" s="234"/>
    </row>
    <row r="88" spans="1:10" x14ac:dyDescent="0.25">
      <c r="A88" s="240"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(StatType=eStat_Will,StatAmount=5)),\\</v>
      </c>
      <c r="B88" s="234" t="s">
        <v>340</v>
      </c>
      <c r="C88" s="234"/>
      <c r="D88" s="234"/>
      <c r="E88" s="248" t="str">
        <f ca="1">IF(INDIRECT("X10")&lt;&gt;"","RandomNickNames_Female[0]="""&amp;INDIRECT("X10")&amp;"""","")</f>
        <v>RandomNickNames_Female[0]="Priestess"</v>
      </c>
      <c r="F88" s="234" t="s">
        <v>340</v>
      </c>
      <c r="G88" s="234"/>
      <c r="H88" s="234"/>
      <c r="I88" s="234"/>
      <c r="J88" s="234"/>
    </row>
    <row r="89" spans="1:10" x14ac:dyDescent="0.25">
      <c r="A89" s="240" t="s">
        <v>338</v>
      </c>
      <c r="B89" s="234" t="s">
        <v>340</v>
      </c>
      <c r="C89" s="234"/>
      <c r="D89" s="234"/>
      <c r="E89" s="248" t="str">
        <f ca="1">IF(INDIRECT("X11")&lt;&gt;"","RandomNickNames_Female[1]="""&amp;INDIRECT("X11")&amp;"""","")</f>
        <v>RandomNickNames_Female[1]="Wolfmother"</v>
      </c>
      <c r="F89" s="234" t="s">
        <v>340</v>
      </c>
      <c r="G89" s="234"/>
      <c r="H89" s="234"/>
      <c r="I89" s="234"/>
      <c r="J89" s="234"/>
    </row>
    <row r="90" spans="1:10" x14ac:dyDescent="0.25">
      <c r="A90" s="240" t="str">
        <f>"; corporal"</f>
        <v>; corporal</v>
      </c>
      <c r="B90" s="234" t="s">
        <v>340</v>
      </c>
      <c r="C90" s="234"/>
      <c r="D90" s="234"/>
      <c r="E90" s="248" t="str">
        <f ca="1">IF(INDIRECT("X12")&lt;&gt;"","RandomNickNames_Female[2]="""&amp;INDIRECT("X12")&amp;"""","")</f>
        <v>RandomNickNames_Female[2]="Black Widow"</v>
      </c>
      <c r="F90" s="234" t="s">
        <v>340</v>
      </c>
      <c r="G90" s="234"/>
      <c r="H90" s="234"/>
      <c r="I90" s="234"/>
      <c r="J90" s="234"/>
    </row>
    <row r="91" spans="1:10" x14ac:dyDescent="0.25">
      <c r="A91" s="240" t="str">
        <f ca="1">"+SoldierRanks=(  aAbilityTree=( (AbilityName="""&amp;VLOOKUP(INDIRECT("F17"),Abilities,2,FALSE)&amp;""""&amp;IF(VLOOKUP(INDIRECT("F17"),Abilities,3,FALSE)="","",", ApplyToWeaponSlot=eInvSlot_"&amp;VLOOKUP(INDIRECT("F17"),Abilities,3,FALSE))&amp;"), \\"</f>
        <v>+SoldierRanks=(  aAbilityTree=( (AbilityName=" "), \\</v>
      </c>
      <c r="B91" s="234" t="s">
        <v>340</v>
      </c>
      <c r="C91" s="234"/>
      <c r="D91" s="234"/>
      <c r="E91" s="248" t="str">
        <f ca="1">IF(INDIRECT("X13")&lt;&gt;"","RandomNickNames_Female[3]="""&amp;INDIRECT("X13")&amp;"""","")</f>
        <v>RandomNickNames_Female[3]="Duchess"</v>
      </c>
      <c r="F91" s="234" t="s">
        <v>340</v>
      </c>
      <c r="G91" s="234"/>
      <c r="H91" s="234"/>
      <c r="I91" s="234"/>
      <c r="J91" s="234"/>
    </row>
    <row r="92" spans="1:10" ht="15.75" thickBot="1" x14ac:dyDescent="0.3">
      <c r="A92" s="240" t="str">
        <f ca="1">IF(INDIRECT("I17")="","\\","(AbilityName="""&amp;VLOOKUP(INDIRECT("I17"),Abilities,2,FALSE)&amp;""""&amp;IF(VLOOKUP(INDIRECT("I17"),Abilities,3,FALSE)="","",", ApplyToWeaponSlot=eInvSlot_"&amp;VLOOKUP(INDIRECT("I17"),Abilities,3,FALSE))&amp;"), \\")</f>
        <v>(AbilityName="StreetSweeper", ApplyToWeaponSlot=eInvSlot_PrimaryWeapon), \\</v>
      </c>
      <c r="B92" s="234" t="s">
        <v>340</v>
      </c>
      <c r="C92" s="234"/>
      <c r="D92" s="234"/>
      <c r="E92" s="249" t="str">
        <f ca="1">IF(INDIRECT("X14")&lt;&gt;"","RandomNickNames_Female[4]="""&amp;INDIRECT("X14")&amp;"""","")</f>
        <v>RandomNickNames_Female[4]="Vixen"</v>
      </c>
      <c r="F92" s="234" t="s">
        <v>340</v>
      </c>
      <c r="G92" s="234"/>
      <c r="H92" s="234"/>
      <c r="I92" s="234"/>
      <c r="J92" s="234"/>
    </row>
    <row r="93" spans="1:10" x14ac:dyDescent="0.25">
      <c r="A93" s="240" t="str">
        <f ca="1">IF(INDIRECT("L17")="","\\","(AbilityName="""&amp;VLOOKUP(INDIRECT("L17"),Abilities,2,FALSE)&amp;""""&amp;IF(VLOOKUP(INDIRECT("L17"),Abilities,3,FALSE)="","",", ApplyToWeaponSlot=eInvSlot_"&amp;VLOOKUP(INDIRECT("L17"),Abilities,3,FALSE))&amp;"), \\")</f>
        <v>(AbilityName=" "), \\</v>
      </c>
      <c r="B93" s="234" t="s">
        <v>340</v>
      </c>
      <c r="C93" s="234"/>
      <c r="D93" s="234"/>
      <c r="E93" s="234"/>
      <c r="F93" s="234"/>
      <c r="G93" s="234"/>
      <c r="H93" s="234"/>
      <c r="I93" s="234"/>
      <c r="J93" s="234"/>
    </row>
    <row r="94" spans="1:10" x14ac:dyDescent="0.25">
      <c r="A94" s="240" t="s">
        <v>337</v>
      </c>
      <c r="B94" s="234" t="s">
        <v>340</v>
      </c>
      <c r="C94" s="234"/>
      <c r="D94" s="234"/>
      <c r="E94" s="234"/>
      <c r="F94" s="234"/>
      <c r="G94" s="234"/>
      <c r="H94" s="234"/>
      <c r="I94" s="234"/>
      <c r="J94" s="234"/>
    </row>
    <row r="95" spans="1:10" x14ac:dyDescent="0.25">
      <c r="A95" s="240"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234" t="s">
        <v>340</v>
      </c>
      <c r="C95" s="234"/>
      <c r="D95" s="234"/>
      <c r="E95" s="234"/>
      <c r="F95" s="234"/>
      <c r="G95" s="234"/>
      <c r="H95" s="234"/>
      <c r="I95" s="234"/>
      <c r="J95" s="234"/>
    </row>
    <row r="96" spans="1:10" x14ac:dyDescent="0.25">
      <c r="A96" s="240" t="s">
        <v>338</v>
      </c>
      <c r="B96" s="234" t="s">
        <v>340</v>
      </c>
      <c r="C96" s="234"/>
      <c r="D96" s="234"/>
      <c r="E96" s="234"/>
      <c r="F96" s="234"/>
      <c r="G96" s="234"/>
      <c r="H96" s="234"/>
      <c r="I96" s="234"/>
      <c r="J96" s="234"/>
    </row>
    <row r="97" spans="1:10" x14ac:dyDescent="0.25">
      <c r="A97" s="240" t="str">
        <f>"; sergeant"</f>
        <v>; sergeant</v>
      </c>
      <c r="B97" s="234" t="s">
        <v>340</v>
      </c>
      <c r="C97" s="234"/>
      <c r="D97" s="234"/>
      <c r="E97" s="234"/>
      <c r="F97" s="234"/>
      <c r="G97" s="234"/>
      <c r="H97" s="234"/>
      <c r="I97" s="234"/>
      <c r="J97" s="234"/>
    </row>
    <row r="98" spans="1:10" x14ac:dyDescent="0.25">
      <c r="A98" s="240" t="str">
        <f ca="1">"+SoldierRanks=(  aAbilityTree=( (AbilityName="""&amp;VLOOKUP(INDIRECT("F21"),Abilities,2,FALSE)&amp;""""&amp;IF(VLOOKUP(INDIRECT("F21"),Abilities,3,FALSE)="","",", ApplyToWeaponSlot=eInvSlot_"&amp;VLOOKUP(INDIRECT("F21"),Abilities,3,FALSE))&amp;"), \\"</f>
        <v>+SoldierRanks=(  aAbilityTree=( (AbilityName="KillerInstinct", ApplyToWeaponSlot=eInvSlot_Unknown), \\</v>
      </c>
      <c r="B98" s="234" t="s">
        <v>340</v>
      </c>
      <c r="C98" s="234"/>
      <c r="D98" s="234"/>
      <c r="E98" s="234"/>
      <c r="F98" s="234"/>
      <c r="G98" s="234"/>
      <c r="H98" s="234"/>
      <c r="I98" s="234"/>
      <c r="J98" s="234"/>
    </row>
    <row r="99" spans="1:10" x14ac:dyDescent="0.25">
      <c r="A99" s="240" t="str">
        <f ca="1">IF(INDIRECT("I21")="","\\","(AbilityName="""&amp;VLOOKUP(INDIRECT("I21"),Abilities,2,FALSE)&amp;""""&amp;IF(VLOOKUP(INDIRECT("I21"),Abilities,3,FALSE)="","",", ApplyToWeaponSlot=eInvSlot_"&amp;VLOOKUP(INDIRECT("I21"),Abilities,3,FALSE))&amp;"), \\")</f>
        <v>(AbilityName=" "), \\</v>
      </c>
      <c r="B99" s="234" t="s">
        <v>340</v>
      </c>
      <c r="C99" s="234"/>
      <c r="D99" s="234"/>
      <c r="E99" s="234"/>
      <c r="F99" s="234"/>
      <c r="G99" s="234"/>
      <c r="H99" s="234"/>
      <c r="I99" s="234"/>
      <c r="J99" s="234"/>
    </row>
    <row r="100" spans="1:10" x14ac:dyDescent="0.25">
      <c r="A100" s="240" t="str">
        <f ca="1">IF(INDIRECT("L21")="","\\","(AbilityName="""&amp;VLOOKUP(INDIRECT("L21"),Abilities,2,FALSE)&amp;""""&amp;IF(VLOOKUP(INDIRECT("L21"),Abilities,3,FALSE)="","",", ApplyToWeaponSlot=eInvSlot_"&amp;VLOOKUP(INDIRECT("L21"),Abilities,3,FALSE))&amp;"), \\")</f>
        <v>(AbilityName="LWD_HandsAndFeet"), \\</v>
      </c>
      <c r="B100" s="234" t="s">
        <v>340</v>
      </c>
      <c r="C100" s="234"/>
      <c r="D100" s="234"/>
      <c r="E100" s="234"/>
      <c r="F100" s="234"/>
      <c r="G100" s="234"/>
      <c r="H100" s="234"/>
      <c r="I100" s="234"/>
      <c r="J100" s="234"/>
    </row>
    <row r="101" spans="1:10" x14ac:dyDescent="0.25">
      <c r="A101" s="240" t="s">
        <v>337</v>
      </c>
      <c r="B101" s="234" t="s">
        <v>340</v>
      </c>
      <c r="C101" s="234"/>
      <c r="D101" s="234"/>
      <c r="E101" s="234"/>
      <c r="F101" s="234"/>
      <c r="G101" s="234"/>
      <c r="H101" s="234"/>
      <c r="I101" s="234"/>
      <c r="J101" s="234"/>
    </row>
    <row r="102" spans="1:10" x14ac:dyDescent="0.25">
      <c r="A102" s="240"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234" t="s">
        <v>340</v>
      </c>
      <c r="C102" s="234"/>
      <c r="D102" s="234"/>
      <c r="E102" s="234"/>
      <c r="F102" s="234"/>
      <c r="G102" s="234"/>
      <c r="H102" s="234"/>
      <c r="I102" s="234"/>
      <c r="J102" s="234"/>
    </row>
    <row r="103" spans="1:10" x14ac:dyDescent="0.25">
      <c r="A103" s="240" t="s">
        <v>338</v>
      </c>
      <c r="B103" s="234" t="s">
        <v>340</v>
      </c>
      <c r="C103" s="234"/>
      <c r="D103" s="234"/>
      <c r="E103" s="234"/>
      <c r="F103" s="234"/>
      <c r="G103" s="234"/>
      <c r="H103" s="234"/>
      <c r="I103" s="234"/>
      <c r="J103" s="234"/>
    </row>
    <row r="104" spans="1:10" x14ac:dyDescent="0.25">
      <c r="A104" s="240" t="str">
        <f>"; staff sergeant"</f>
        <v>; staff sergeant</v>
      </c>
      <c r="B104" s="234" t="s">
        <v>340</v>
      </c>
      <c r="C104" s="234"/>
      <c r="D104" s="234"/>
      <c r="E104" s="234"/>
      <c r="F104" s="234"/>
      <c r="G104" s="234"/>
      <c r="H104" s="234"/>
      <c r="I104" s="234"/>
      <c r="J104" s="234"/>
    </row>
    <row r="105" spans="1:10" x14ac:dyDescent="0.25">
      <c r="A105" s="240" t="str">
        <f ca="1">"+SoldierRanks=(  aAbilityTree=( (AbilityName="""&amp;VLOOKUP(INDIRECT("F25"),Abilities,2,FALSE)&amp;""""&amp;IF(VLOOKUP(INDIRECT("F25"),Abilities,3,FALSE)="","",", ApplyToWeaponSlot=eInvSlot_"&amp;VLOOKUP(INDIRECT("F25"),Abilities,3,FALSE))&amp;"), \\"</f>
        <v>+SoldierRanks=(  aAbilityTree=( (AbilityName="Aggression", ApplyToWeaponSlot=eInvSlot_PrimaryWeapon), \\</v>
      </c>
      <c r="B105" s="234" t="s">
        <v>340</v>
      </c>
      <c r="C105" s="234"/>
      <c r="D105" s="234"/>
      <c r="E105" s="234"/>
      <c r="F105" s="234"/>
      <c r="G105" s="234"/>
      <c r="H105" s="234"/>
      <c r="I105" s="234"/>
      <c r="J105" s="234"/>
    </row>
    <row r="106" spans="1:10" x14ac:dyDescent="0.25">
      <c r="A106" s="240" t="str">
        <f ca="1">IF(INDIRECT("I25")="","\\","(AbilityName="""&amp;VLOOKUP(INDIRECT("I25"),Abilities,2,FALSE)&amp;""""&amp;IF(VLOOKUP(INDIRECT("I25"),Abilities,3,FALSE)="","",", ApplyToWeaponSlot=eInvSlot_"&amp;VLOOKUP(INDIRECT("I25"),Abilities,3,FALSE))&amp;"), \\")</f>
        <v>(AbilityName=" "), \\</v>
      </c>
      <c r="B106" s="234" t="s">
        <v>340</v>
      </c>
      <c r="C106" s="234"/>
      <c r="D106" s="234"/>
      <c r="E106" s="234"/>
      <c r="F106" s="234"/>
      <c r="G106" s="234"/>
      <c r="H106" s="234"/>
      <c r="I106" s="234"/>
      <c r="J106" s="234"/>
    </row>
    <row r="107" spans="1:10" x14ac:dyDescent="0.25">
      <c r="A107" s="240" t="str">
        <f ca="1">IF(INDIRECT("L25")="","\\","(AbilityName="""&amp;VLOOKUP(INDIRECT("L25"),Abilities,2,FALSE)&amp;""""&amp;IF(VLOOKUP(INDIRECT("L25"),Abilities,3,FALSE)="","",", ApplyToWeaponSlot=eInvSlot_"&amp;VLOOKUP(INDIRECT("L25"),Abilities,3,FALSE))&amp;"), \\")</f>
        <v>(AbilityName="CloseEncounters", ApplyToWeaponSlot=eInvSlot_PrimaryWeapon), \\</v>
      </c>
      <c r="B107" s="234" t="s">
        <v>340</v>
      </c>
      <c r="C107" s="234"/>
      <c r="D107" s="234"/>
      <c r="E107" s="234"/>
      <c r="F107" s="234"/>
      <c r="G107" s="234"/>
      <c r="H107" s="234"/>
      <c r="I107" s="234"/>
      <c r="J107" s="234"/>
    </row>
    <row r="108" spans="1:10" x14ac:dyDescent="0.25">
      <c r="A108" s="240" t="s">
        <v>337</v>
      </c>
      <c r="B108" s="234" t="s">
        <v>340</v>
      </c>
      <c r="C108" s="234"/>
      <c r="D108" s="234"/>
      <c r="E108" s="234"/>
      <c r="F108" s="234"/>
      <c r="G108" s="234"/>
      <c r="H108" s="234"/>
      <c r="I108" s="234"/>
      <c r="J108" s="234"/>
    </row>
    <row r="109" spans="1:10" x14ac:dyDescent="0.25">
      <c r="A109" s="240"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234" t="s">
        <v>340</v>
      </c>
      <c r="C109" s="234"/>
      <c r="D109" s="234"/>
      <c r="E109" s="234"/>
      <c r="F109" s="234"/>
      <c r="G109" s="234"/>
      <c r="H109" s="234"/>
      <c r="I109" s="234"/>
      <c r="J109" s="234"/>
    </row>
    <row r="110" spans="1:10" x14ac:dyDescent="0.25">
      <c r="A110" s="240" t="s">
        <v>338</v>
      </c>
      <c r="B110" s="234" t="s">
        <v>340</v>
      </c>
      <c r="C110" s="234"/>
      <c r="D110" s="234"/>
      <c r="E110" s="234"/>
      <c r="F110" s="234"/>
      <c r="G110" s="234"/>
      <c r="H110" s="234"/>
      <c r="I110" s="234"/>
      <c r="J110" s="234"/>
    </row>
    <row r="111" spans="1:10" x14ac:dyDescent="0.25">
      <c r="A111" s="240" t="str">
        <f>"; tech sergeant"</f>
        <v>; tech sergeant</v>
      </c>
      <c r="B111" s="234" t="s">
        <v>340</v>
      </c>
      <c r="C111" s="234"/>
      <c r="D111" s="234"/>
      <c r="E111" s="234"/>
      <c r="F111" s="234"/>
      <c r="G111" s="234"/>
      <c r="H111" s="234"/>
      <c r="I111" s="234"/>
      <c r="J111" s="234"/>
    </row>
    <row r="112" spans="1:10" x14ac:dyDescent="0.25">
      <c r="A112" s="240" t="str">
        <f ca="1">"+SoldierRanks=(  aAbilityTree=( (AbilityName="""&amp;VLOOKUP(INDIRECT("F29"),Abilities,2,FALSE)&amp;""""&amp;IF(VLOOKUP(INDIRECT("F29"),Abilities,3,FALSE)="","",", ApplyToWeaponSlot=eInvSlot_"&amp;VLOOKUP(INDIRECT("F29"),Abilities,3,FALSE))&amp;"), \\"</f>
        <v>+SoldierRanks=(  aAbilityTree=( (AbilityName="EMPulser", ApplyToWeaponSlot=eInvSlot_SecondaryWeapon), \\</v>
      </c>
      <c r="B112" s="234" t="s">
        <v>340</v>
      </c>
      <c r="C112" s="234"/>
      <c r="D112" s="234"/>
      <c r="E112" s="234"/>
      <c r="F112" s="234"/>
      <c r="G112" s="234"/>
      <c r="H112" s="234"/>
      <c r="I112" s="234"/>
      <c r="J112" s="234"/>
    </row>
    <row r="113" spans="1:10" x14ac:dyDescent="0.25">
      <c r="A113" s="240" t="str">
        <f ca="1">IF(INDIRECT("I29")="","\\","(AbilityName="""&amp;VLOOKUP(INDIRECT("I29"),Abilities,2,FALSE)&amp;""""&amp;IF(VLOOKUP(INDIRECT("I29"),Abilities,3,FALSE)="","",", ApplyToWeaponSlot=eInvSlot_"&amp;VLOOKUP(INDIRECT("I29"),Abilities,3,FALSE))&amp;"), \\")</f>
        <v>(AbilityName=" "), \\</v>
      </c>
      <c r="B113" s="234" t="s">
        <v>340</v>
      </c>
      <c r="C113" s="234"/>
      <c r="D113" s="234"/>
      <c r="E113" s="234"/>
      <c r="F113" s="234"/>
      <c r="G113" s="234"/>
      <c r="H113" s="234"/>
      <c r="I113" s="234"/>
      <c r="J113" s="234"/>
    </row>
    <row r="114" spans="1:10" x14ac:dyDescent="0.25">
      <c r="A114" s="240" t="str">
        <f ca="1">IF(INDIRECT("L29")="","\\","(AbilityName="""&amp;VLOOKUP(INDIRECT("L29"),Abilities,2,FALSE)&amp;""""&amp;IF(VLOOKUP(INDIRECT("L29"),Abilities,3,FALSE)="","",", ApplyToWeaponSlot=eInvSlot_"&amp;VLOOKUP(INDIRECT("L29"),Abilities,3,FALSE))&amp;"), \\")</f>
        <v>(AbilityName="EverVigilant", ApplyToWeaponSlot=eInvSlot_Unknown), \\</v>
      </c>
      <c r="B114" s="234" t="s">
        <v>340</v>
      </c>
      <c r="C114" s="234"/>
      <c r="D114" s="234"/>
      <c r="E114" s="234"/>
      <c r="F114" s="234"/>
      <c r="G114" s="234"/>
      <c r="H114" s="234"/>
      <c r="I114" s="234"/>
      <c r="J114" s="234"/>
    </row>
    <row r="115" spans="1:10" x14ac:dyDescent="0.25">
      <c r="A115" s="240" t="s">
        <v>337</v>
      </c>
      <c r="B115" s="234" t="s">
        <v>340</v>
      </c>
      <c r="C115" s="234"/>
      <c r="D115" s="234"/>
      <c r="E115" s="234"/>
      <c r="F115" s="234"/>
      <c r="G115" s="234"/>
      <c r="H115" s="234"/>
      <c r="I115" s="234"/>
      <c r="J115" s="234"/>
    </row>
    <row r="116" spans="1:10" x14ac:dyDescent="0.25">
      <c r="A116" s="240"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(StatType=eStat_HP,StatAmount=1), (StatType=eStat_Hacking,StatAmount=0)),\\</v>
      </c>
      <c r="B116" s="234" t="s">
        <v>340</v>
      </c>
      <c r="C116" s="234"/>
      <c r="D116" s="234"/>
      <c r="E116" s="234"/>
      <c r="F116" s="234"/>
      <c r="G116" s="234"/>
      <c r="H116" s="234"/>
      <c r="I116" s="234"/>
      <c r="J116" s="234"/>
    </row>
    <row r="117" spans="1:10" x14ac:dyDescent="0.25">
      <c r="A117" s="240" t="s">
        <v>338</v>
      </c>
      <c r="B117" s="234" t="s">
        <v>340</v>
      </c>
      <c r="C117" s="234"/>
      <c r="D117" s="234"/>
      <c r="E117" s="234"/>
      <c r="F117" s="234"/>
      <c r="G117" s="234"/>
      <c r="H117" s="234"/>
      <c r="I117" s="234"/>
      <c r="J117" s="234"/>
    </row>
    <row r="118" spans="1:10" x14ac:dyDescent="0.25">
      <c r="A118" s="240" t="str">
        <f>";  gunnery sergeant"</f>
        <v>;  gunnery sergeant</v>
      </c>
      <c r="B118" s="234" t="s">
        <v>340</v>
      </c>
      <c r="C118" s="234"/>
      <c r="D118" s="234"/>
      <c r="E118" s="234"/>
      <c r="F118" s="234"/>
      <c r="G118" s="234"/>
      <c r="H118" s="234"/>
      <c r="I118" s="234"/>
      <c r="J118" s="234"/>
    </row>
    <row r="119" spans="1:10" x14ac:dyDescent="0.25">
      <c r="A119" s="240" t="str">
        <f ca="1">"+SoldierRanks=(  aAbilityTree=( (AbilityName="""&amp;VLOOKUP(INDIRECT("F33"),Abilities,2,FALSE)&amp;""""&amp;IF(VLOOKUP(INDIRECT("F33"),Abilities,3,FALSE)="","",", ApplyToWeaponSlot=eInvSlot_"&amp;VLOOKUP(INDIRECT("F33"),Abilities,3,FALSE))&amp;"), \\"</f>
        <v>+SoldierRanks=(  aAbilityTree=( (AbilityName=" "), \\</v>
      </c>
      <c r="B119" s="234" t="s">
        <v>340</v>
      </c>
      <c r="C119" s="234"/>
      <c r="D119" s="234"/>
      <c r="E119" s="234"/>
      <c r="F119" s="234"/>
      <c r="G119" s="234"/>
      <c r="H119" s="234"/>
      <c r="I119" s="234"/>
      <c r="J119" s="234"/>
    </row>
    <row r="120" spans="1:10" x14ac:dyDescent="0.25">
      <c r="A120" s="240" t="str">
        <f ca="1">IF(INDIRECT("I33")="","\\","(AbilityName="""&amp;VLOOKUP(INDIRECT("I33"),Abilities,2,FALSE)&amp;""""&amp;IF(VLOOKUP(INDIRECT("I33"),Abilities,3,FALSE)="","",", ApplyToWeaponSlot=eInvSlot_"&amp;VLOOKUP(INDIRECT("I33"),Abilities,3,FALSE))&amp;"), \\")</f>
        <v>(AbilityName="CloseCombatSpecialist", ApplyToWeaponSlot=eInvSlot_PrimaryWeapon), \\</v>
      </c>
      <c r="B120" s="234" t="s">
        <v>340</v>
      </c>
      <c r="C120" s="234"/>
      <c r="D120" s="234"/>
      <c r="E120" s="234"/>
      <c r="F120" s="234"/>
      <c r="G120" s="234"/>
      <c r="H120" s="234"/>
      <c r="I120" s="234"/>
      <c r="J120" s="234"/>
    </row>
    <row r="121" spans="1:10" x14ac:dyDescent="0.25">
      <c r="A121" s="240" t="str">
        <f ca="1">IF(INDIRECT("L33")="","\\","(AbilityName="""&amp;VLOOKUP(INDIRECT("L33"),Abilities,2,FALSE)&amp;""""&amp;IF(VLOOKUP(INDIRECT("L33"),Abilities,3,FALSE)="","",", ApplyToWeaponSlot=eInvSlot_"&amp;VLOOKUP(INDIRECT("L33"),Abilities,3,FALSE))&amp;"), \\")</f>
        <v>(AbilityName=" "), \\</v>
      </c>
      <c r="B121" s="234" t="s">
        <v>340</v>
      </c>
      <c r="C121" s="234"/>
      <c r="D121" s="234"/>
      <c r="E121" s="234"/>
      <c r="F121" s="234"/>
      <c r="G121" s="234"/>
      <c r="H121" s="234"/>
      <c r="I121" s="234"/>
      <c r="J121" s="234"/>
    </row>
    <row r="122" spans="1:10" x14ac:dyDescent="0.25">
      <c r="A122" s="240" t="s">
        <v>337</v>
      </c>
      <c r="B122" s="234" t="s">
        <v>340</v>
      </c>
      <c r="C122" s="234"/>
      <c r="D122" s="234"/>
      <c r="E122" s="234"/>
      <c r="F122" s="234"/>
      <c r="G122" s="234"/>
      <c r="H122" s="234"/>
      <c r="I122" s="234"/>
      <c r="J122" s="234"/>
    </row>
    <row r="123" spans="1:10" x14ac:dyDescent="0.25">
      <c r="A123" s="240"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234" t="s">
        <v>340</v>
      </c>
      <c r="C123" s="234"/>
      <c r="D123" s="234"/>
      <c r="E123" s="234"/>
      <c r="F123" s="234"/>
      <c r="G123" s="234"/>
      <c r="H123" s="234"/>
      <c r="I123" s="234"/>
      <c r="J123" s="234"/>
    </row>
    <row r="124" spans="1:10" x14ac:dyDescent="0.25">
      <c r="A124" s="240" t="s">
        <v>338</v>
      </c>
      <c r="B124" s="234" t="s">
        <v>340</v>
      </c>
      <c r="C124" s="234"/>
      <c r="D124" s="234"/>
      <c r="E124" s="234"/>
      <c r="F124" s="234"/>
      <c r="G124" s="234"/>
      <c r="H124" s="234"/>
      <c r="I124" s="234"/>
      <c r="J124" s="234"/>
    </row>
    <row r="125" spans="1:10" x14ac:dyDescent="0.25">
      <c r="A125" s="240" t="str">
        <f>"; master sergeant"</f>
        <v>; master sergeant</v>
      </c>
      <c r="B125" s="234" t="s">
        <v>340</v>
      </c>
      <c r="C125" s="234"/>
      <c r="D125" s="234"/>
      <c r="E125" s="234"/>
      <c r="F125" s="234"/>
      <c r="G125" s="234"/>
      <c r="H125" s="234"/>
      <c r="I125" s="234"/>
      <c r="J125" s="234"/>
    </row>
    <row r="126" spans="1:10" x14ac:dyDescent="0.25">
      <c r="A126" s="240" t="str">
        <f ca="1">"+SoldierRanks=(  aAbilityTree=( (AbilityName="""&amp;VLOOKUP(INDIRECT("F37"),Abilities,2,FALSE)&amp;""""&amp;IF(VLOOKUP(INDIRECT("F37"),Abilities,3,FALSE)="","",", ApplyToWeaponSlot=eInvSlot_"&amp;VLOOKUP(INDIRECT("F37"),Abilities,3,FALSE))&amp;"), \\"</f>
        <v>+SoldierRanks=(  aAbilityTree=( (AbilityName="StreetSweeper2", ApplyToWeaponSlot=eInvSlot_PrimaryWeapon), \\</v>
      </c>
      <c r="B126" s="234" t="s">
        <v>340</v>
      </c>
      <c r="C126" s="234"/>
      <c r="D126" s="234"/>
      <c r="E126" s="234"/>
      <c r="F126" s="234"/>
      <c r="G126" s="234"/>
      <c r="H126" s="234"/>
      <c r="I126" s="234"/>
      <c r="J126" s="234"/>
    </row>
    <row r="127" spans="1:10" x14ac:dyDescent="0.25">
      <c r="A127" s="240" t="str">
        <f ca="1">IF(INDIRECT("I37")="","\\","(AbilityName="""&amp;VLOOKUP(INDIRECT("I37"),Abilities,2,FALSE)&amp;""""&amp;IF(VLOOKUP(INDIRECT("I37"),Abilities,3,FALSE)="","",", ApplyToWeaponSlot=eInvSlot_"&amp;VLOOKUP(INDIRECT("I37"),Abilities,3,FALSE))&amp;"), \\")</f>
        <v>(AbilityName=" "), \\</v>
      </c>
      <c r="B127" s="234" t="s">
        <v>340</v>
      </c>
      <c r="C127" s="234"/>
      <c r="D127" s="234"/>
      <c r="E127" s="234"/>
      <c r="F127" s="234"/>
      <c r="G127" s="234"/>
      <c r="H127" s="234"/>
      <c r="I127" s="234"/>
      <c r="J127" s="234"/>
    </row>
    <row r="128" spans="1:10" x14ac:dyDescent="0.25">
      <c r="A128" s="240" t="str">
        <f ca="1">IF(INDIRECT("L37")="","\\","(AbilityName="""&amp;VLOOKUP(INDIRECT("L37"),Abilities,2,FALSE)&amp;""""&amp;IF(VLOOKUP(INDIRECT("L37"),Abilities,3,FALSE)="","",", ApplyToWeaponSlot=eInvSlot_"&amp;VLOOKUP(INDIRECT("L37"),Abilities,3,FALSE))&amp;"), \\")</f>
        <v>(AbilityName="ShadowOps_SlamFire", ApplyToWeaponSlot=eInvSlot_PrimaryWeapon), \\</v>
      </c>
      <c r="B128" s="234" t="s">
        <v>340</v>
      </c>
      <c r="C128" s="234"/>
      <c r="D128" s="234"/>
      <c r="E128" s="234"/>
      <c r="F128" s="234"/>
      <c r="G128" s="234"/>
      <c r="H128" s="234"/>
      <c r="I128" s="234"/>
      <c r="J128" s="234"/>
    </row>
    <row r="129" spans="1:10" x14ac:dyDescent="0.25">
      <c r="A129" s="240" t="s">
        <v>337</v>
      </c>
      <c r="B129" s="234" t="s">
        <v>340</v>
      </c>
      <c r="C129" s="234"/>
      <c r="D129" s="234"/>
      <c r="E129" s="234"/>
      <c r="F129" s="234"/>
      <c r="G129" s="234"/>
      <c r="H129" s="234"/>
      <c r="I129" s="234"/>
      <c r="J129" s="234"/>
    </row>
    <row r="130" spans="1:10" x14ac:dyDescent="0.25">
      <c r="A130" s="240"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234" t="s">
        <v>340</v>
      </c>
      <c r="C130" s="234"/>
      <c r="D130" s="234"/>
      <c r="E130" s="234"/>
      <c r="F130" s="234"/>
      <c r="G130" s="234"/>
      <c r="H130" s="234"/>
      <c r="I130" s="234"/>
      <c r="J130" s="234"/>
    </row>
    <row r="131" spans="1:10" ht="15.75" thickBot="1" x14ac:dyDescent="0.3">
      <c r="A131" s="241" t="s">
        <v>338</v>
      </c>
      <c r="B131" s="234" t="s">
        <v>340</v>
      </c>
      <c r="C131" s="234"/>
      <c r="D131" s="234"/>
      <c r="E131" s="234"/>
      <c r="F131" s="234"/>
      <c r="G131" s="234"/>
      <c r="H131" s="234"/>
      <c r="I131" s="234"/>
      <c r="J131" s="234"/>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I37:J37"/>
    <mergeCell ref="F17:G17"/>
    <mergeCell ref="I17:J17"/>
    <mergeCell ref="L17:M1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L37:M37"/>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A40:B41"/>
    <mergeCell ref="C40:E41"/>
    <mergeCell ref="A42:B42"/>
    <mergeCell ref="C42:D42"/>
    <mergeCell ref="E42:F42"/>
    <mergeCell ref="F38:H39"/>
    <mergeCell ref="I38:K39"/>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scale="3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25954"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25955"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25956"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25957"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25958"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25959"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25960"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25961"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25962"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25963"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25964"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25965"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90" t="s">
        <v>308</v>
      </c>
      <c r="B1" s="91"/>
      <c r="C1" s="94" t="s">
        <v>993</v>
      </c>
      <c r="D1" s="95"/>
      <c r="E1" s="95"/>
      <c r="F1" s="98" t="s">
        <v>324</v>
      </c>
      <c r="G1" s="99"/>
      <c r="H1" s="99"/>
      <c r="I1" s="99"/>
      <c r="J1" s="99"/>
      <c r="K1" s="99"/>
      <c r="L1" s="99"/>
      <c r="M1" s="99"/>
      <c r="N1" s="99"/>
      <c r="O1" s="100" t="s">
        <v>325</v>
      </c>
      <c r="P1" s="101"/>
      <c r="Q1" s="101"/>
      <c r="R1" s="101"/>
      <c r="S1" s="101"/>
      <c r="T1" s="101"/>
      <c r="U1" s="102"/>
      <c r="V1" s="196" t="s">
        <v>776</v>
      </c>
      <c r="W1" s="197"/>
      <c r="X1" s="197"/>
      <c r="Y1" s="197"/>
    </row>
    <row r="2" spans="1:25" ht="15" customHeight="1" thickBot="1" x14ac:dyDescent="0.3">
      <c r="A2" s="92"/>
      <c r="B2" s="93"/>
      <c r="C2" s="96"/>
      <c r="D2" s="97"/>
      <c r="E2" s="97"/>
      <c r="F2" s="98"/>
      <c r="G2" s="99"/>
      <c r="H2" s="99"/>
      <c r="I2" s="99"/>
      <c r="J2" s="99"/>
      <c r="K2" s="99"/>
      <c r="L2" s="99"/>
      <c r="M2" s="99"/>
      <c r="N2" s="99"/>
      <c r="O2" s="103"/>
      <c r="P2" s="104"/>
      <c r="Q2" s="104"/>
      <c r="R2" s="104"/>
      <c r="S2" s="104"/>
      <c r="T2" s="104"/>
      <c r="U2" s="105"/>
      <c r="V2" s="198"/>
      <c r="W2" s="199"/>
      <c r="X2" s="199"/>
      <c r="Y2" s="199"/>
    </row>
    <row r="3" spans="1:25" ht="18" thickBot="1" x14ac:dyDescent="0.35">
      <c r="A3" s="106" t="s">
        <v>309</v>
      </c>
      <c r="B3" s="107"/>
      <c r="C3" s="108" t="str">
        <f>Output!$L$1&amp;SUBSTITUTE(C1," ","")</f>
        <v>LWD_Chemist</v>
      </c>
      <c r="D3" s="109"/>
      <c r="E3" s="109"/>
      <c r="F3" s="110" t="s">
        <v>12</v>
      </c>
      <c r="G3" s="111"/>
      <c r="H3" s="111"/>
      <c r="I3" s="111"/>
      <c r="J3" s="111"/>
      <c r="K3" s="111"/>
      <c r="L3" s="111"/>
      <c r="M3" s="111"/>
      <c r="N3" s="112"/>
      <c r="O3" s="15"/>
      <c r="P3" s="16" t="s">
        <v>79</v>
      </c>
      <c r="Q3" s="17" t="s">
        <v>326</v>
      </c>
      <c r="R3" s="17" t="s">
        <v>328</v>
      </c>
      <c r="S3" s="17" t="s">
        <v>327</v>
      </c>
      <c r="T3" s="17" t="s">
        <v>330</v>
      </c>
      <c r="U3" s="18" t="s">
        <v>329</v>
      </c>
      <c r="V3" s="200" t="s">
        <v>810</v>
      </c>
      <c r="W3" s="201"/>
      <c r="X3" s="200" t="s">
        <v>811</v>
      </c>
      <c r="Y3" s="201"/>
    </row>
    <row r="4" spans="1:25" ht="18" thickTop="1" x14ac:dyDescent="0.3">
      <c r="A4" s="113" t="s">
        <v>310</v>
      </c>
      <c r="B4" s="114"/>
      <c r="C4" s="115" t="s">
        <v>314</v>
      </c>
      <c r="D4" s="116"/>
      <c r="E4" s="116"/>
      <c r="F4" s="119" t="s">
        <v>88</v>
      </c>
      <c r="G4" s="120"/>
      <c r="H4" s="4" t="str">
        <f>IFERROR(VLOOKUP(F4,Abilities,4,FALSE),"")</f>
        <v>XCOM2</v>
      </c>
      <c r="I4" s="121" t="s">
        <v>991</v>
      </c>
      <c r="J4" s="120"/>
      <c r="K4" s="35" t="str">
        <f>IFERROR(VLOOKUP(I4,Abilities,4,FALSE),"")</f>
        <v>LWD</v>
      </c>
      <c r="L4" s="122"/>
      <c r="M4" s="120"/>
      <c r="N4" s="10" t="str">
        <f>IFERROR(VLOOKUP(L4,Abilities,4,FALSE),"")</f>
        <v/>
      </c>
      <c r="O4" s="19" t="s">
        <v>12</v>
      </c>
      <c r="P4" s="4">
        <v>2</v>
      </c>
      <c r="Q4" s="20">
        <v>0</v>
      </c>
      <c r="R4" s="20"/>
      <c r="S4" s="4">
        <v>0</v>
      </c>
      <c r="T4" s="4">
        <v>1</v>
      </c>
      <c r="U4" s="10"/>
      <c r="V4" s="192" t="s">
        <v>1176</v>
      </c>
      <c r="W4" s="193"/>
      <c r="X4" s="192" t="s">
        <v>801</v>
      </c>
      <c r="Y4" s="193"/>
    </row>
    <row r="5" spans="1:25" ht="15" customHeight="1" x14ac:dyDescent="0.25">
      <c r="A5" s="6"/>
      <c r="B5" s="5" t="b">
        <v>1</v>
      </c>
      <c r="C5" s="117"/>
      <c r="D5" s="118"/>
      <c r="E5" s="118"/>
      <c r="F5" s="123" t="str">
        <f>IFERROR(VLOOKUP(F4,Abilities,7,FALSE),"")</f>
        <v>The Grenadier uses a grenade launcher to fire grenades rather than throwing them. This allows for greater grenade range and grenade capacity.The grenadier gains an extra inventory slot that may only be used for grenades.</v>
      </c>
      <c r="G5" s="124"/>
      <c r="H5" s="125"/>
      <c r="I5" s="129" t="str">
        <f>IFERROR(VLOOKUP(I4,Abilities,7,FALSE),"")</f>
        <v>Grants 1 free gas grenade item to your inventory</v>
      </c>
      <c r="J5" s="130"/>
      <c r="K5" s="131"/>
      <c r="L5" s="130" t="str">
        <f>IFERROR(VLOOKUP(L4,Abilities,7,FALSE),"")</f>
        <v/>
      </c>
      <c r="M5" s="130"/>
      <c r="N5" s="135"/>
      <c r="O5" s="26" t="s">
        <v>456</v>
      </c>
      <c r="P5" s="27">
        <v>2</v>
      </c>
      <c r="Q5" s="28">
        <v>1</v>
      </c>
      <c r="R5" s="28"/>
      <c r="S5" s="27">
        <v>0</v>
      </c>
      <c r="T5" s="27"/>
      <c r="U5" s="29"/>
      <c r="V5" s="190" t="s">
        <v>821</v>
      </c>
      <c r="W5" s="191"/>
      <c r="X5" s="190" t="s">
        <v>802</v>
      </c>
      <c r="Y5" s="191"/>
    </row>
    <row r="6" spans="1:25" ht="15" customHeight="1" x14ac:dyDescent="0.25">
      <c r="A6" s="6"/>
      <c r="B6" s="5" t="b">
        <v>0</v>
      </c>
      <c r="C6" s="137" t="s">
        <v>315</v>
      </c>
      <c r="D6" s="138"/>
      <c r="E6" s="11">
        <v>0</v>
      </c>
      <c r="F6" s="126"/>
      <c r="G6" s="127"/>
      <c r="H6" s="128"/>
      <c r="I6" s="132"/>
      <c r="J6" s="133"/>
      <c r="K6" s="134"/>
      <c r="L6" s="133"/>
      <c r="M6" s="133"/>
      <c r="N6" s="136"/>
      <c r="O6" s="19" t="s">
        <v>15</v>
      </c>
      <c r="P6" s="4">
        <v>2</v>
      </c>
      <c r="Q6" s="20">
        <v>0</v>
      </c>
      <c r="R6" s="20"/>
      <c r="S6" s="4">
        <v>0</v>
      </c>
      <c r="T6" s="4"/>
      <c r="U6" s="10"/>
      <c r="V6" s="192" t="s">
        <v>1177</v>
      </c>
      <c r="W6" s="193"/>
      <c r="X6" s="192" t="s">
        <v>803</v>
      </c>
      <c r="Y6" s="193"/>
    </row>
    <row r="7" spans="1:25" ht="15" customHeight="1" x14ac:dyDescent="0.25">
      <c r="A7" s="6"/>
      <c r="B7" s="5" t="b">
        <v>0</v>
      </c>
      <c r="C7" s="137" t="s">
        <v>316</v>
      </c>
      <c r="D7" s="138"/>
      <c r="E7" s="11">
        <v>4</v>
      </c>
      <c r="F7" s="139"/>
      <c r="G7" s="140"/>
      <c r="H7" s="4" t="str">
        <f>IFERROR(VLOOKUP(F7,Abilities,4,FALSE),"")</f>
        <v/>
      </c>
      <c r="I7" s="141"/>
      <c r="J7" s="140"/>
      <c r="K7" s="4" t="str">
        <f>IFERROR(VLOOKUP(I7,Abilities,4,FALSE),"")</f>
        <v/>
      </c>
      <c r="L7" s="142"/>
      <c r="M7" s="140"/>
      <c r="N7" s="10" t="str">
        <f>IFERROR(VLOOKUP(L7,Abilities,4,FALSE),"")</f>
        <v/>
      </c>
      <c r="O7" s="26" t="s">
        <v>21</v>
      </c>
      <c r="P7" s="27">
        <v>2</v>
      </c>
      <c r="Q7" s="28">
        <v>0</v>
      </c>
      <c r="R7" s="28"/>
      <c r="S7" s="27">
        <v>0</v>
      </c>
      <c r="T7" s="27"/>
      <c r="U7" s="29"/>
      <c r="V7" s="190" t="s">
        <v>779</v>
      </c>
      <c r="W7" s="191"/>
      <c r="X7" s="190" t="s">
        <v>804</v>
      </c>
      <c r="Y7" s="191"/>
    </row>
    <row r="8" spans="1:25" ht="15" customHeight="1" thickBot="1" x14ac:dyDescent="0.3">
      <c r="A8" s="6"/>
      <c r="B8" s="5" t="b">
        <v>0</v>
      </c>
      <c r="C8" s="137" t="s">
        <v>317</v>
      </c>
      <c r="D8" s="143"/>
      <c r="E8" s="12" t="s">
        <v>1151</v>
      </c>
      <c r="F8" s="144" t="str">
        <f>IFERROR(VLOOKUP(F7,Abilities,7,FALSE),"")</f>
        <v/>
      </c>
      <c r="G8" s="130"/>
      <c r="H8" s="131"/>
      <c r="I8" s="129" t="str">
        <f>IFERROR(VLOOKUP(I7,Abilities,7,FALSE),"")</f>
        <v/>
      </c>
      <c r="J8" s="130"/>
      <c r="K8" s="131"/>
      <c r="L8" s="130" t="str">
        <f>IFERROR(VLOOKUP(L7,Abilities,7,FALSE),"")</f>
        <v/>
      </c>
      <c r="M8" s="130"/>
      <c r="N8" s="135"/>
      <c r="O8" s="21" t="s">
        <v>457</v>
      </c>
      <c r="P8" s="4">
        <v>2</v>
      </c>
      <c r="Q8" s="20">
        <v>1</v>
      </c>
      <c r="R8" s="20"/>
      <c r="S8" s="4">
        <v>0</v>
      </c>
      <c r="T8" s="4"/>
      <c r="U8" s="10"/>
      <c r="V8" s="192" t="s">
        <v>1178</v>
      </c>
      <c r="W8" s="193"/>
      <c r="X8" s="192" t="s">
        <v>805</v>
      </c>
      <c r="Y8" s="193"/>
    </row>
    <row r="9" spans="1:25" ht="15.75" thickBot="1" x14ac:dyDescent="0.3">
      <c r="A9" s="6"/>
      <c r="B9" s="5" t="b">
        <v>0</v>
      </c>
      <c r="C9" s="137" t="s">
        <v>319</v>
      </c>
      <c r="D9" s="143"/>
      <c r="E9" s="12">
        <v>1</v>
      </c>
      <c r="F9" s="145"/>
      <c r="G9" s="133"/>
      <c r="H9" s="134"/>
      <c r="I9" s="146"/>
      <c r="J9" s="147"/>
      <c r="K9" s="148"/>
      <c r="L9" s="133"/>
      <c r="M9" s="133"/>
      <c r="N9" s="136"/>
      <c r="O9" s="26" t="s">
        <v>458</v>
      </c>
      <c r="P9" s="27">
        <v>2</v>
      </c>
      <c r="Q9" s="28">
        <v>0</v>
      </c>
      <c r="R9" s="28"/>
      <c r="S9" s="27">
        <v>0</v>
      </c>
      <c r="T9" s="27"/>
      <c r="U9" s="29"/>
      <c r="V9" s="190" t="s">
        <v>781</v>
      </c>
      <c r="W9" s="191"/>
      <c r="X9" s="200" t="s">
        <v>812</v>
      </c>
      <c r="Y9" s="201"/>
    </row>
    <row r="10" spans="1:25" ht="18.75" x14ac:dyDescent="0.3">
      <c r="A10" s="6"/>
      <c r="B10" s="5" t="b">
        <v>0</v>
      </c>
      <c r="C10" s="137" t="s">
        <v>318</v>
      </c>
      <c r="D10" s="143"/>
      <c r="E10" s="12">
        <v>4</v>
      </c>
      <c r="F10" s="157" t="s">
        <v>311</v>
      </c>
      <c r="G10" s="158"/>
      <c r="H10" s="159"/>
      <c r="I10" s="160" t="s">
        <v>349</v>
      </c>
      <c r="J10" s="158"/>
      <c r="K10" s="159"/>
      <c r="L10" s="158" t="s">
        <v>312</v>
      </c>
      <c r="M10" s="158"/>
      <c r="N10" s="161"/>
      <c r="O10" s="36" t="s">
        <v>459</v>
      </c>
      <c r="P10" s="37">
        <v>2</v>
      </c>
      <c r="Q10" s="37">
        <v>0</v>
      </c>
      <c r="R10" s="37"/>
      <c r="S10" s="37">
        <v>0</v>
      </c>
      <c r="T10" s="37"/>
      <c r="U10" s="38"/>
      <c r="V10" s="192" t="s">
        <v>782</v>
      </c>
      <c r="W10" s="193"/>
      <c r="X10" s="192" t="s">
        <v>806</v>
      </c>
      <c r="Y10" s="193"/>
    </row>
    <row r="11" spans="1:25" ht="15.75" customHeight="1" thickBot="1" x14ac:dyDescent="0.3">
      <c r="A11" s="6"/>
      <c r="B11" s="5" t="b">
        <v>1</v>
      </c>
      <c r="C11" s="137" t="s">
        <v>320</v>
      </c>
      <c r="D11" s="143"/>
      <c r="E11" s="12">
        <v>3</v>
      </c>
      <c r="F11" s="162"/>
      <c r="G11" s="163"/>
      <c r="H11" s="164"/>
      <c r="I11" s="165"/>
      <c r="J11" s="163"/>
      <c r="K11" s="164"/>
      <c r="L11" s="163"/>
      <c r="M11" s="163"/>
      <c r="N11" s="166"/>
      <c r="O11" s="39" t="s">
        <v>460</v>
      </c>
      <c r="P11" s="40">
        <v>2</v>
      </c>
      <c r="Q11" s="41">
        <v>1</v>
      </c>
      <c r="R11" s="41"/>
      <c r="S11" s="40">
        <v>0</v>
      </c>
      <c r="T11" s="40"/>
      <c r="U11" s="42"/>
      <c r="V11" s="190" t="s">
        <v>824</v>
      </c>
      <c r="W11" s="191"/>
      <c r="X11" s="190" t="s">
        <v>807</v>
      </c>
      <c r="Y11" s="191"/>
    </row>
    <row r="12" spans="1:25" ht="18" customHeight="1" thickBot="1" x14ac:dyDescent="0.35">
      <c r="A12" s="6"/>
      <c r="B12" s="5" t="b">
        <v>0</v>
      </c>
      <c r="C12" s="137" t="s">
        <v>321</v>
      </c>
      <c r="D12" s="143"/>
      <c r="E12" s="12">
        <v>1</v>
      </c>
      <c r="F12" s="169" t="s">
        <v>443</v>
      </c>
      <c r="G12" s="170"/>
      <c r="H12" s="170"/>
      <c r="I12" s="170"/>
      <c r="J12" s="170"/>
      <c r="K12" s="170"/>
      <c r="L12" s="170"/>
      <c r="M12" s="170"/>
      <c r="N12" s="171"/>
      <c r="O12" s="149" t="s">
        <v>813</v>
      </c>
      <c r="P12" s="150"/>
      <c r="Q12" s="150"/>
      <c r="R12" s="150"/>
      <c r="S12" s="150"/>
      <c r="T12" s="150"/>
      <c r="U12" s="151"/>
      <c r="V12" s="192" t="s">
        <v>783</v>
      </c>
      <c r="W12" s="193"/>
      <c r="X12" s="192" t="s">
        <v>808</v>
      </c>
      <c r="Y12" s="193"/>
    </row>
    <row r="13" spans="1:25" ht="16.5" thickTop="1" thickBot="1" x14ac:dyDescent="0.3">
      <c r="A13" s="6"/>
      <c r="B13" s="5" t="b">
        <v>0</v>
      </c>
      <c r="C13" s="155" t="s">
        <v>322</v>
      </c>
      <c r="D13" s="156"/>
      <c r="E13" s="13" t="s">
        <v>323</v>
      </c>
      <c r="F13" s="119" t="s">
        <v>1076</v>
      </c>
      <c r="G13" s="120"/>
      <c r="H13" s="4" t="str">
        <f>IFERROR(VLOOKUP(F13,Abilities,4,FALSE),"")</f>
        <v>LWD</v>
      </c>
      <c r="I13" s="121" t="s">
        <v>962</v>
      </c>
      <c r="J13" s="120"/>
      <c r="K13" s="35" t="str">
        <f>IFERROR(VLOOKUP(I13,Abilities,4,FALSE),"")</f>
        <v>BLANK</v>
      </c>
      <c r="L13" s="122" t="s">
        <v>998</v>
      </c>
      <c r="M13" s="120"/>
      <c r="N13" s="10" t="str">
        <f>IFERROR(VLOOKUP(L13,Abilities,4,FALSE),"")</f>
        <v>LWD</v>
      </c>
      <c r="O13" s="152"/>
      <c r="P13" s="153"/>
      <c r="Q13" s="153"/>
      <c r="R13" s="153"/>
      <c r="S13" s="153"/>
      <c r="T13" s="153"/>
      <c r="U13" s="154"/>
      <c r="V13" s="190" t="s">
        <v>818</v>
      </c>
      <c r="W13" s="191"/>
      <c r="X13" s="190" t="s">
        <v>809</v>
      </c>
      <c r="Y13" s="191"/>
    </row>
    <row r="14" spans="1:25" ht="15.75" thickBot="1" x14ac:dyDescent="0.3">
      <c r="A14" s="6"/>
      <c r="B14" s="7" t="b">
        <v>0</v>
      </c>
      <c r="F14" s="144" t="str">
        <f>IFERROR(VLOOKUP(F13,Abilities,7,FALSE),"")</f>
        <v>You gain bonus HP, immunity to poison, and have reduced recovery times.</v>
      </c>
      <c r="G14" s="130"/>
      <c r="H14" s="131"/>
      <c r="I14" s="129" t="str">
        <f>IFERROR(VLOOKUP(I13,Abilities,7,FALSE),"")</f>
        <v xml:space="preserve"> </v>
      </c>
      <c r="J14" s="130"/>
      <c r="K14" s="131"/>
      <c r="L14" s="130" t="str">
        <f>IFERROR(VLOOKUP(L13,Abilities,7,FALSE),"")</f>
        <v>Your gas grenades have significantly increased area.</v>
      </c>
      <c r="M14" s="130"/>
      <c r="N14" s="135"/>
      <c r="O14" s="22"/>
      <c r="P14" s="23" t="s">
        <v>331</v>
      </c>
      <c r="Q14" s="24" t="s">
        <v>332</v>
      </c>
      <c r="R14" s="24" t="s">
        <v>333</v>
      </c>
      <c r="S14" s="24" t="s">
        <v>334</v>
      </c>
      <c r="T14" s="24" t="s">
        <v>336</v>
      </c>
      <c r="U14" s="25" t="s">
        <v>335</v>
      </c>
      <c r="V14" s="192" t="s">
        <v>784</v>
      </c>
      <c r="W14" s="193"/>
      <c r="X14" s="194" t="s">
        <v>814</v>
      </c>
      <c r="Y14" s="195"/>
    </row>
    <row r="15" spans="1:25" ht="15.75" thickBot="1" x14ac:dyDescent="0.3">
      <c r="A15" s="6"/>
      <c r="B15" s="7" t="b">
        <v>0</v>
      </c>
      <c r="F15" s="167"/>
      <c r="G15" s="147"/>
      <c r="H15" s="148"/>
      <c r="I15" s="146"/>
      <c r="J15" s="147"/>
      <c r="K15" s="148"/>
      <c r="L15" s="147"/>
      <c r="M15" s="147"/>
      <c r="N15" s="168"/>
      <c r="O15" s="19" t="s">
        <v>12</v>
      </c>
      <c r="P15" s="4"/>
      <c r="Q15" s="20">
        <v>3</v>
      </c>
      <c r="R15" s="20"/>
      <c r="S15" s="4"/>
      <c r="T15" s="4"/>
      <c r="U15" s="10"/>
      <c r="V15" s="190" t="s">
        <v>823</v>
      </c>
      <c r="W15" s="191"/>
    </row>
    <row r="16" spans="1:25" ht="18" thickBot="1" x14ac:dyDescent="0.35">
      <c r="A16" s="6"/>
      <c r="B16" s="7" t="b">
        <v>0</v>
      </c>
      <c r="F16" s="169" t="s">
        <v>15</v>
      </c>
      <c r="G16" s="170"/>
      <c r="H16" s="170"/>
      <c r="I16" s="170"/>
      <c r="J16" s="170"/>
      <c r="K16" s="170"/>
      <c r="L16" s="170"/>
      <c r="M16" s="170"/>
      <c r="N16" s="171"/>
      <c r="O16" s="26" t="s">
        <v>456</v>
      </c>
      <c r="P16" s="27"/>
      <c r="Q16" s="28">
        <v>3</v>
      </c>
      <c r="R16" s="28"/>
      <c r="S16" s="27"/>
      <c r="T16" s="27"/>
      <c r="U16" s="29"/>
      <c r="V16" s="192" t="s">
        <v>786</v>
      </c>
      <c r="W16" s="193"/>
    </row>
    <row r="17" spans="1:23" ht="16.5" thickTop="1" thickBot="1" x14ac:dyDescent="0.3">
      <c r="A17" s="8"/>
      <c r="B17" s="9" t="b">
        <v>0</v>
      </c>
      <c r="F17" s="121" t="s">
        <v>962</v>
      </c>
      <c r="G17" s="120"/>
      <c r="H17" s="4" t="str">
        <f>IFERROR(VLOOKUP(F17,Abilities,4,FALSE),"")</f>
        <v>BLANK</v>
      </c>
      <c r="I17" s="121" t="s">
        <v>620</v>
      </c>
      <c r="J17" s="120"/>
      <c r="K17" s="35" t="str">
        <f>IFERROR(VLOOKUP(I17,Abilities,4,FALSE),"")</f>
        <v>SOLW</v>
      </c>
      <c r="L17" s="121" t="s">
        <v>962</v>
      </c>
      <c r="M17" s="120"/>
      <c r="N17" s="10" t="str">
        <f>IFERROR(VLOOKUP(L17,Abilities,4,FALSE),"")</f>
        <v>BLANK</v>
      </c>
      <c r="O17" s="19" t="s">
        <v>15</v>
      </c>
      <c r="P17" s="4"/>
      <c r="Q17" s="20"/>
      <c r="R17" s="20"/>
      <c r="S17" s="4"/>
      <c r="T17" s="4"/>
      <c r="U17" s="10"/>
      <c r="V17" s="190" t="s">
        <v>910</v>
      </c>
      <c r="W17" s="191"/>
    </row>
    <row r="18" spans="1:23" x14ac:dyDescent="0.25">
      <c r="A18" s="172" t="s">
        <v>344</v>
      </c>
      <c r="B18" s="173"/>
      <c r="F18" s="144" t="str">
        <f>IFERROR(VLOOKUP(F17,Abilities,7,FALSE),"")</f>
        <v xml:space="preserve"> </v>
      </c>
      <c r="G18" s="130"/>
      <c r="H18" s="131"/>
      <c r="I18" s="129" t="str">
        <f>IFERROR(VLOOKUP(I17,Abilities,7,FALSE),"")</f>
        <v>Grants 1 free incendiary grenade item to your inventory.</v>
      </c>
      <c r="J18" s="130"/>
      <c r="K18" s="131"/>
      <c r="L18" s="130" t="str">
        <f>IFERROR(VLOOKUP(L17,Abilities,7,FALSE),"")</f>
        <v xml:space="preserve"> </v>
      </c>
      <c r="M18" s="130"/>
      <c r="N18" s="135"/>
      <c r="O18" s="26" t="s">
        <v>21</v>
      </c>
      <c r="P18" s="27"/>
      <c r="Q18" s="28"/>
      <c r="R18" s="28"/>
      <c r="S18" s="27"/>
      <c r="T18" s="27"/>
      <c r="U18" s="29"/>
      <c r="V18" s="192" t="s">
        <v>788</v>
      </c>
      <c r="W18" s="193"/>
    </row>
    <row r="19" spans="1:23" ht="15.75" thickBot="1" x14ac:dyDescent="0.3">
      <c r="A19" s="174"/>
      <c r="B19" s="175"/>
      <c r="D19" s="3"/>
      <c r="F19" s="167"/>
      <c r="G19" s="147"/>
      <c r="H19" s="148"/>
      <c r="I19" s="146"/>
      <c r="J19" s="147"/>
      <c r="K19" s="148"/>
      <c r="L19" s="147"/>
      <c r="M19" s="147"/>
      <c r="N19" s="168"/>
      <c r="O19" s="21" t="s">
        <v>457</v>
      </c>
      <c r="P19" s="4"/>
      <c r="Q19" s="20"/>
      <c r="R19" s="20"/>
      <c r="S19" s="4"/>
      <c r="T19" s="4"/>
      <c r="U19" s="10"/>
      <c r="V19" s="190" t="s">
        <v>789</v>
      </c>
      <c r="W19" s="191"/>
    </row>
    <row r="20" spans="1:23" ht="18" thickBot="1" x14ac:dyDescent="0.35">
      <c r="A20" s="176"/>
      <c r="B20" s="177"/>
      <c r="C20" s="178"/>
      <c r="D20" s="178"/>
      <c r="E20" s="179"/>
      <c r="F20" s="169" t="s">
        <v>21</v>
      </c>
      <c r="G20" s="170"/>
      <c r="H20" s="170"/>
      <c r="I20" s="170"/>
      <c r="J20" s="170"/>
      <c r="K20" s="170"/>
      <c r="L20" s="170"/>
      <c r="M20" s="170"/>
      <c r="N20" s="171"/>
      <c r="O20" s="26" t="s">
        <v>458</v>
      </c>
      <c r="P20" s="27"/>
      <c r="Q20" s="28"/>
      <c r="R20" s="28"/>
      <c r="S20" s="27"/>
      <c r="T20" s="27"/>
      <c r="U20" s="29"/>
      <c r="V20" s="192" t="s">
        <v>790</v>
      </c>
      <c r="W20" s="193"/>
    </row>
    <row r="21" spans="1:23" ht="15.75" thickTop="1" x14ac:dyDescent="0.25">
      <c r="A21" s="176"/>
      <c r="B21" s="177"/>
      <c r="C21" s="177"/>
      <c r="D21" s="177"/>
      <c r="E21" s="180"/>
      <c r="F21" s="119" t="s">
        <v>1001</v>
      </c>
      <c r="G21" s="120"/>
      <c r="H21" s="4" t="str">
        <f>IFERROR(VLOOKUP(F21,Abilities,4,FALSE),"")</f>
        <v>LWD</v>
      </c>
      <c r="I21" s="121" t="s">
        <v>962</v>
      </c>
      <c r="J21" s="120"/>
      <c r="K21" s="35" t="str">
        <f>IFERROR(VLOOKUP(I21,Abilities,4,FALSE),"")</f>
        <v>BLANK</v>
      </c>
      <c r="L21" s="122" t="s">
        <v>1004</v>
      </c>
      <c r="M21" s="120"/>
      <c r="N21" s="10" t="str">
        <f>IFERROR(VLOOKUP(L21,Abilities,4,FALSE),"")</f>
        <v>LWD</v>
      </c>
      <c r="O21" s="36" t="s">
        <v>459</v>
      </c>
      <c r="P21" s="37"/>
      <c r="Q21" s="37"/>
      <c r="R21" s="37"/>
      <c r="S21" s="37"/>
      <c r="T21" s="37"/>
      <c r="U21" s="38"/>
      <c r="V21" s="190" t="s">
        <v>791</v>
      </c>
      <c r="W21" s="191"/>
    </row>
    <row r="22" spans="1:23" ht="15.75" thickBot="1" x14ac:dyDescent="0.3">
      <c r="A22" s="181"/>
      <c r="B22" s="182"/>
      <c r="C22" s="182"/>
      <c r="D22" s="182"/>
      <c r="E22" s="183"/>
      <c r="F22" s="144" t="str">
        <f>IFERROR(VLOOKUP(F21,Abilities,7,FALSE),"")</f>
        <v>You are immune to fire damage; your incendiary grenades ignore armor</v>
      </c>
      <c r="G22" s="130"/>
      <c r="H22" s="131"/>
      <c r="I22" s="129" t="str">
        <f>IFERROR(VLOOKUP(I21,Abilities,7,FALSE),"")</f>
        <v xml:space="preserve"> </v>
      </c>
      <c r="J22" s="130"/>
      <c r="K22" s="131"/>
      <c r="L22" s="130" t="str">
        <f>IFERROR(VLOOKUP(L21,Abilities,7,FALSE),"")</f>
        <v>Your incendiary grenades deal more damage over time</v>
      </c>
      <c r="M22" s="130"/>
      <c r="N22" s="135"/>
      <c r="O22" s="39" t="s">
        <v>460</v>
      </c>
      <c r="P22" s="40"/>
      <c r="Q22" s="41"/>
      <c r="R22" s="41"/>
      <c r="S22" s="40"/>
      <c r="T22" s="40"/>
      <c r="U22" s="42"/>
      <c r="V22" s="192" t="s">
        <v>792</v>
      </c>
      <c r="W22" s="193"/>
    </row>
    <row r="23" spans="1:23" ht="15.75" thickBot="1" x14ac:dyDescent="0.3">
      <c r="A23" s="184" t="s">
        <v>352</v>
      </c>
      <c r="B23" s="185"/>
      <c r="C23" s="185"/>
      <c r="D23" s="185"/>
      <c r="E23" s="186"/>
      <c r="F23" s="167"/>
      <c r="G23" s="147"/>
      <c r="H23" s="148"/>
      <c r="I23" s="146"/>
      <c r="J23" s="147"/>
      <c r="K23" s="148"/>
      <c r="L23" s="147"/>
      <c r="M23" s="147"/>
      <c r="N23" s="168"/>
      <c r="O23" s="14"/>
      <c r="P23" s="14"/>
      <c r="Q23" s="3"/>
      <c r="V23" s="190" t="s">
        <v>793</v>
      </c>
      <c r="W23" s="191"/>
    </row>
    <row r="24" spans="1:23" ht="18" thickBot="1" x14ac:dyDescent="0.35">
      <c r="A24" s="187"/>
      <c r="B24" s="188"/>
      <c r="C24" s="188"/>
      <c r="D24" s="188"/>
      <c r="E24" s="189"/>
      <c r="F24" s="169" t="s">
        <v>444</v>
      </c>
      <c r="G24" s="170"/>
      <c r="H24" s="170"/>
      <c r="I24" s="170"/>
      <c r="J24" s="170"/>
      <c r="K24" s="170"/>
      <c r="L24" s="170"/>
      <c r="M24" s="170"/>
      <c r="N24" s="171"/>
      <c r="O24" s="14"/>
      <c r="P24" s="14"/>
      <c r="Q24" s="3"/>
      <c r="V24" s="192" t="s">
        <v>1179</v>
      </c>
      <c r="W24" s="193"/>
    </row>
    <row r="25" spans="1:23" ht="15.75" thickTop="1" x14ac:dyDescent="0.25">
      <c r="A25" s="50"/>
      <c r="B25" s="51"/>
      <c r="C25" s="51"/>
      <c r="D25" s="51"/>
      <c r="E25" s="52"/>
      <c r="F25" s="121" t="s">
        <v>962</v>
      </c>
      <c r="G25" s="120"/>
      <c r="H25" s="4" t="str">
        <f>IFERROR(VLOOKUP(F25,Abilities,4,FALSE),"")</f>
        <v>BLANK</v>
      </c>
      <c r="I25" s="121" t="s">
        <v>1007</v>
      </c>
      <c r="J25" s="120"/>
      <c r="K25" s="35" t="str">
        <f>IFERROR(VLOOKUP(I25,Abilities,4,FALSE),"")</f>
        <v>LWD</v>
      </c>
      <c r="L25" s="121" t="s">
        <v>962</v>
      </c>
      <c r="M25" s="120"/>
      <c r="N25" s="10" t="str">
        <f>IFERROR(VLOOKUP(L25,Abilities,4,FALSE),"")</f>
        <v>BLANK</v>
      </c>
      <c r="O25" s="14"/>
      <c r="P25" s="14"/>
      <c r="Q25" s="3"/>
      <c r="V25" s="190" t="s">
        <v>795</v>
      </c>
      <c r="W25" s="191"/>
    </row>
    <row r="26" spans="1:23" x14ac:dyDescent="0.25">
      <c r="A26" s="50"/>
      <c r="B26" s="51"/>
      <c r="C26" s="51"/>
      <c r="D26" s="51"/>
      <c r="E26" s="52"/>
      <c r="F26" s="144" t="str">
        <f>IFERROR(VLOOKUP(F25,Abilities,7,FALSE),"")</f>
        <v xml:space="preserve"> </v>
      </c>
      <c r="G26" s="130"/>
      <c r="H26" s="131"/>
      <c r="I26" s="129" t="str">
        <f>IFERROR(VLOOKUP(I25,Abilities,7,FALSE),"")</f>
        <v>Grants 1 free acid grenade item to your inventory</v>
      </c>
      <c r="J26" s="130"/>
      <c r="K26" s="131"/>
      <c r="L26" s="130" t="str">
        <f>IFERROR(VLOOKUP(L25,Abilities,7,FALSE),"")</f>
        <v xml:space="preserve"> </v>
      </c>
      <c r="M26" s="130"/>
      <c r="N26" s="135"/>
      <c r="O26" s="14"/>
      <c r="P26" s="14"/>
      <c r="Q26" s="3"/>
      <c r="V26" s="192" t="s">
        <v>1180</v>
      </c>
      <c r="W26" s="193"/>
    </row>
    <row r="27" spans="1:23" ht="15.75" thickBot="1" x14ac:dyDescent="0.3">
      <c r="A27" s="50"/>
      <c r="B27" s="51"/>
      <c r="C27" s="51"/>
      <c r="D27" s="51"/>
      <c r="E27" s="52"/>
      <c r="F27" s="167"/>
      <c r="G27" s="147"/>
      <c r="H27" s="148"/>
      <c r="I27" s="146"/>
      <c r="J27" s="147"/>
      <c r="K27" s="148"/>
      <c r="L27" s="147"/>
      <c r="M27" s="147"/>
      <c r="N27" s="168"/>
      <c r="O27" s="14"/>
      <c r="P27" s="14"/>
      <c r="Q27" s="3"/>
      <c r="V27" s="190" t="s">
        <v>798</v>
      </c>
      <c r="W27" s="191"/>
    </row>
    <row r="28" spans="1:23" ht="18" thickBot="1" x14ac:dyDescent="0.35">
      <c r="A28" s="50"/>
      <c r="B28" s="51"/>
      <c r="C28" s="51"/>
      <c r="D28" s="51"/>
      <c r="E28" s="52"/>
      <c r="F28" s="169" t="s">
        <v>445</v>
      </c>
      <c r="G28" s="170"/>
      <c r="H28" s="170"/>
      <c r="I28" s="170"/>
      <c r="J28" s="170"/>
      <c r="K28" s="170"/>
      <c r="L28" s="170"/>
      <c r="M28" s="170"/>
      <c r="N28" s="171"/>
      <c r="O28" s="14"/>
      <c r="P28" s="14"/>
      <c r="Q28" s="3"/>
      <c r="V28" s="192" t="s">
        <v>799</v>
      </c>
      <c r="W28" s="193"/>
    </row>
    <row r="29" spans="1:23" ht="15.75" thickTop="1" x14ac:dyDescent="0.25">
      <c r="A29" s="50"/>
      <c r="B29" s="51"/>
      <c r="C29" s="51"/>
      <c r="D29" s="51"/>
      <c r="E29" s="52"/>
      <c r="F29" s="119" t="s">
        <v>1013</v>
      </c>
      <c r="G29" s="120"/>
      <c r="H29" s="4" t="str">
        <f>IFERROR(VLOOKUP(F29,Abilities,4,FALSE),"")</f>
        <v>LWD</v>
      </c>
      <c r="I29" s="121" t="s">
        <v>962</v>
      </c>
      <c r="J29" s="120"/>
      <c r="K29" s="35" t="str">
        <f>IFERROR(VLOOKUP(I29,Abilities,4,FALSE),"")</f>
        <v>BLANK</v>
      </c>
      <c r="L29" s="122" t="s">
        <v>1010</v>
      </c>
      <c r="M29" s="120"/>
      <c r="N29" s="10" t="str">
        <f>IFERROR(VLOOKUP(L29,Abilities,4,FALSE),"")</f>
        <v>LWD</v>
      </c>
      <c r="O29" s="14"/>
      <c r="P29" s="14"/>
      <c r="Q29" s="3"/>
      <c r="V29" s="190" t="s">
        <v>825</v>
      </c>
      <c r="W29" s="191"/>
    </row>
    <row r="30" spans="1:23" x14ac:dyDescent="0.25">
      <c r="A30" s="50"/>
      <c r="B30" s="51"/>
      <c r="C30" s="51"/>
      <c r="D30" s="51"/>
      <c r="E30" s="52"/>
      <c r="F30" s="144" t="str">
        <f>IFERROR(VLOOKUP(F29,Abilities,7,FALSE),"")</f>
        <v>You are immune to acid damage; enemies who attack you in melee take heavy acid damage.</v>
      </c>
      <c r="G30" s="130"/>
      <c r="H30" s="131"/>
      <c r="I30" s="129" t="str">
        <f>IFERROR(VLOOKUP(I29,Abilities,7,FALSE),"")</f>
        <v xml:space="preserve"> </v>
      </c>
      <c r="J30" s="130"/>
      <c r="K30" s="131"/>
      <c r="L30" s="130" t="str">
        <f>IFERROR(VLOOKUP(L29,Abilities,7,FALSE),"")</f>
        <v>Your acid grenades deal bonus damage to unarmored targets</v>
      </c>
      <c r="M30" s="130"/>
      <c r="N30" s="135"/>
      <c r="O30" s="14"/>
      <c r="P30" s="14"/>
      <c r="Q30" s="3"/>
      <c r="V30" s="192" t="s">
        <v>819</v>
      </c>
      <c r="W30" s="193"/>
    </row>
    <row r="31" spans="1:23" ht="15.75" thickBot="1" x14ac:dyDescent="0.3">
      <c r="A31" s="50"/>
      <c r="B31" s="51"/>
      <c r="C31" s="51"/>
      <c r="D31" s="51"/>
      <c r="E31" s="52"/>
      <c r="F31" s="167"/>
      <c r="G31" s="147"/>
      <c r="H31" s="148"/>
      <c r="I31" s="146"/>
      <c r="J31" s="147"/>
      <c r="K31" s="148"/>
      <c r="L31" s="147"/>
      <c r="M31" s="147"/>
      <c r="N31" s="168"/>
      <c r="O31" s="14"/>
      <c r="P31" s="14"/>
      <c r="Q31" s="3"/>
      <c r="V31" s="190" t="s">
        <v>820</v>
      </c>
      <c r="W31" s="191"/>
    </row>
    <row r="32" spans="1:23" ht="18" thickBot="1" x14ac:dyDescent="0.35">
      <c r="A32" s="50"/>
      <c r="B32" s="51"/>
      <c r="C32" s="51"/>
      <c r="D32" s="51"/>
      <c r="E32" s="52"/>
      <c r="F32" s="169" t="s">
        <v>446</v>
      </c>
      <c r="G32" s="170"/>
      <c r="H32" s="170"/>
      <c r="I32" s="170"/>
      <c r="J32" s="170"/>
      <c r="K32" s="170"/>
      <c r="L32" s="170"/>
      <c r="M32" s="170"/>
      <c r="N32" s="171"/>
      <c r="O32" s="14"/>
      <c r="P32" s="14"/>
      <c r="Q32" s="3"/>
      <c r="V32" s="192" t="s">
        <v>815</v>
      </c>
      <c r="W32" s="193"/>
    </row>
    <row r="33" spans="1:23" ht="15.75" thickTop="1" x14ac:dyDescent="0.25">
      <c r="A33" s="50"/>
      <c r="B33" s="51"/>
      <c r="C33" s="51"/>
      <c r="D33" s="51"/>
      <c r="E33" s="52"/>
      <c r="F33" s="121" t="s">
        <v>962</v>
      </c>
      <c r="G33" s="120"/>
      <c r="H33" s="4" t="str">
        <f>IFERROR(VLOOKUP(F33,Abilities,4,FALSE),"")</f>
        <v>BLANK</v>
      </c>
      <c r="I33" s="121" t="s">
        <v>107</v>
      </c>
      <c r="J33" s="120"/>
      <c r="K33" s="35" t="str">
        <f>IFERROR(VLOOKUP(I33,Abilities,4,FALSE),"")</f>
        <v>XCOM2</v>
      </c>
      <c r="L33" s="121" t="s">
        <v>962</v>
      </c>
      <c r="M33" s="120"/>
      <c r="N33" s="10" t="str">
        <f>IFERROR(VLOOKUP(L33,Abilities,4,FALSE),"")</f>
        <v>BLANK</v>
      </c>
      <c r="O33" s="14"/>
      <c r="P33" s="14"/>
      <c r="Q33" s="3"/>
      <c r="V33" s="190" t="s">
        <v>822</v>
      </c>
      <c r="W33" s="191"/>
    </row>
    <row r="34" spans="1:23" x14ac:dyDescent="0.25">
      <c r="A34" s="50"/>
      <c r="B34" s="51"/>
      <c r="C34" s="51"/>
      <c r="D34" s="51"/>
      <c r="E34" s="52"/>
      <c r="F34" s="144" t="str">
        <f>IFERROR(VLOOKUP(F33,Abilities,7,FALSE),"")</f>
        <v xml:space="preserve"> </v>
      </c>
      <c r="G34" s="130"/>
      <c r="H34" s="131"/>
      <c r="I34" s="129" t="str">
        <f>IFERROR(VLOOKUP(I33,Abilities,7,FALSE),"")</f>
        <v>Grenades gain +1 tile to their radius and deal +2 damage. Does not increase environment damage.</v>
      </c>
      <c r="J34" s="130"/>
      <c r="K34" s="131"/>
      <c r="L34" s="130" t="str">
        <f>IFERROR(VLOOKUP(L33,Abilities,7,FALSE),"")</f>
        <v xml:space="preserve"> </v>
      </c>
      <c r="M34" s="130"/>
      <c r="N34" s="135"/>
      <c r="O34" s="14"/>
      <c r="P34" s="14"/>
      <c r="Q34" s="3"/>
      <c r="V34" s="192" t="s">
        <v>816</v>
      </c>
      <c r="W34" s="193"/>
    </row>
    <row r="35" spans="1:23" ht="15.75" thickBot="1" x14ac:dyDescent="0.3">
      <c r="A35" s="50"/>
      <c r="B35" s="51"/>
      <c r="C35" s="51"/>
      <c r="D35" s="51"/>
      <c r="E35" s="52"/>
      <c r="F35" s="167"/>
      <c r="G35" s="147"/>
      <c r="H35" s="148"/>
      <c r="I35" s="146"/>
      <c r="J35" s="147"/>
      <c r="K35" s="148"/>
      <c r="L35" s="147"/>
      <c r="M35" s="147"/>
      <c r="N35" s="168"/>
      <c r="O35" s="14"/>
      <c r="P35" s="14"/>
      <c r="Q35" s="3"/>
      <c r="V35" s="190" t="s">
        <v>1181</v>
      </c>
      <c r="W35" s="191"/>
    </row>
    <row r="36" spans="1:23" ht="18" thickBot="1" x14ac:dyDescent="0.35">
      <c r="A36" s="50"/>
      <c r="B36" s="51"/>
      <c r="C36" s="51"/>
      <c r="D36" s="51"/>
      <c r="E36" s="52"/>
      <c r="F36" s="169" t="s">
        <v>447</v>
      </c>
      <c r="G36" s="170"/>
      <c r="H36" s="170"/>
      <c r="I36" s="170"/>
      <c r="J36" s="170"/>
      <c r="K36" s="170"/>
      <c r="L36" s="170"/>
      <c r="M36" s="170"/>
      <c r="N36" s="171"/>
    </row>
    <row r="37" spans="1:23" ht="15.75" thickTop="1" x14ac:dyDescent="0.25">
      <c r="A37" s="50"/>
      <c r="B37" s="51"/>
      <c r="C37" s="51"/>
      <c r="D37" s="51"/>
      <c r="E37" s="52"/>
      <c r="F37" s="119" t="s">
        <v>1019</v>
      </c>
      <c r="G37" s="120"/>
      <c r="H37" s="4" t="str">
        <f>IFERROR(VLOOKUP(F37,Abilities,4,FALSE),"")</f>
        <v>LWD</v>
      </c>
      <c r="I37" s="121" t="s">
        <v>962</v>
      </c>
      <c r="J37" s="120"/>
      <c r="K37" s="35" t="str">
        <f>IFERROR(VLOOKUP(I37,Abilities,4,FALSE),"")</f>
        <v>BLANK</v>
      </c>
      <c r="L37" s="122" t="s">
        <v>1016</v>
      </c>
      <c r="M37" s="120"/>
      <c r="N37" s="10" t="str">
        <f>IFERROR(VLOOKUP(L37,Abilities,4,FALSE),"")</f>
        <v>LWD</v>
      </c>
    </row>
    <row r="38" spans="1:23" x14ac:dyDescent="0.25">
      <c r="A38" s="50"/>
      <c r="B38" s="51"/>
      <c r="C38" s="51"/>
      <c r="D38" s="51"/>
      <c r="E38" s="52"/>
      <c r="F38" s="144" t="str">
        <f>IFERROR(VLOOKUP(F37,Abilities,7,FALSE),"")</f>
        <v>Your grenades deal less damage, but you carry an extra gas, poison, and incendiary grenade.</v>
      </c>
      <c r="G38" s="130"/>
      <c r="H38" s="131"/>
      <c r="I38" s="129" t="str">
        <f>IFERROR(VLOOKUP(I37,Abilities,7,FALSE),"")</f>
        <v xml:space="preserve"> </v>
      </c>
      <c r="J38" s="130"/>
      <c r="K38" s="131"/>
      <c r="L38" s="130" t="str">
        <f>IFERROR(VLOOKUP(L37,Abilities,7,FALSE),"")</f>
        <v>Grants 1 free frost grenade item to your inventory</v>
      </c>
      <c r="M38" s="130"/>
      <c r="N38" s="135"/>
    </row>
    <row r="39" spans="1:23" ht="15.75" thickBot="1" x14ac:dyDescent="0.3">
      <c r="A39" s="53"/>
      <c r="B39" s="54"/>
      <c r="C39" s="54"/>
      <c r="D39" s="54"/>
      <c r="E39" s="55"/>
      <c r="F39" s="167"/>
      <c r="G39" s="147"/>
      <c r="H39" s="148"/>
      <c r="I39" s="146"/>
      <c r="J39" s="147"/>
      <c r="K39" s="148"/>
      <c r="L39" s="147"/>
      <c r="M39" s="147"/>
      <c r="N39" s="168"/>
    </row>
    <row r="40" spans="1:23" ht="15" customHeight="1" x14ac:dyDescent="0.25">
      <c r="A40" s="86" t="s">
        <v>1200</v>
      </c>
      <c r="B40" s="86"/>
      <c r="C40" s="88" t="str">
        <f>SUBSTITUTE(C1," ","")</f>
        <v>Chemist</v>
      </c>
      <c r="D40" s="88"/>
      <c r="E40" s="88"/>
      <c r="F40" s="238"/>
      <c r="G40" s="238"/>
      <c r="H40" s="237"/>
      <c r="I40" s="237"/>
      <c r="J40" s="237"/>
    </row>
    <row r="41" spans="1:23" ht="15" customHeight="1" thickBot="1" x14ac:dyDescent="0.3">
      <c r="A41" s="87"/>
      <c r="B41" s="87"/>
      <c r="C41" s="89"/>
      <c r="D41" s="89"/>
      <c r="E41" s="89"/>
      <c r="F41" s="239"/>
      <c r="G41" s="239"/>
      <c r="H41" s="237"/>
      <c r="I41" s="237"/>
      <c r="J41" s="237"/>
    </row>
    <row r="42" spans="1:23" ht="16.5" thickBot="1" x14ac:dyDescent="0.3">
      <c r="A42" s="242" t="s">
        <v>339</v>
      </c>
      <c r="B42" s="244"/>
      <c r="C42" s="253" t="s">
        <v>342</v>
      </c>
      <c r="D42" s="247"/>
      <c r="E42" s="251" t="s">
        <v>343</v>
      </c>
      <c r="F42" s="250"/>
      <c r="G42" s="234"/>
      <c r="H42" s="235"/>
      <c r="I42" s="235"/>
      <c r="J42" s="235"/>
    </row>
    <row r="43" spans="1:23" x14ac:dyDescent="0.25">
      <c r="A43" s="243" t="str">
        <f ca="1">"; "&amp;INDIRECT("C1")&amp;" class data"</f>
        <v>; Chemist class data</v>
      </c>
      <c r="B43" s="234" t="s">
        <v>340</v>
      </c>
      <c r="C43" s="254" t="str">
        <f ca="1">"; "&amp;INDIRECT("C1")&amp;" class loadout"</f>
        <v>; Chemist class loadout</v>
      </c>
      <c r="D43" s="234" t="s">
        <v>340</v>
      </c>
      <c r="E43" s="252" t="str">
        <f ca="1">"["&amp;INDIRECT("C3")&amp;" X2SoldierClassTemplate]"</f>
        <v>[LWD_Chemist X2SoldierClassTemplate]</v>
      </c>
      <c r="F43" s="234" t="s">
        <v>340</v>
      </c>
      <c r="G43" s="234"/>
      <c r="H43" s="235"/>
      <c r="I43" s="235"/>
      <c r="J43" s="235"/>
    </row>
    <row r="44" spans="1:23" x14ac:dyDescent="0.25">
      <c r="A44" s="240"/>
      <c r="B44" s="234"/>
      <c r="C44" s="245"/>
      <c r="D44" s="234" t="s">
        <v>340</v>
      </c>
      <c r="E44" s="248" t="str">
        <f ca="1">"+DisplayName="""&amp;INDIRECT("C1")&amp;""""</f>
        <v>+DisplayName="Chemist"</v>
      </c>
      <c r="F44" s="234" t="s">
        <v>340</v>
      </c>
      <c r="G44" s="234"/>
      <c r="H44" s="235"/>
      <c r="I44" s="235"/>
      <c r="J44" s="235"/>
    </row>
    <row r="45" spans="1:23" x14ac:dyDescent="0.25">
      <c r="A45" s="240" t="str">
        <f>"[XComGame.X2SoldierClass_DefaultClasses]"</f>
        <v>[XComGame.X2SoldierClass_DefaultClasses]</v>
      </c>
      <c r="B45" s="234" t="s">
        <v>340</v>
      </c>
      <c r="C45" s="245" t="s">
        <v>341</v>
      </c>
      <c r="D45" s="234" t="s">
        <v>340</v>
      </c>
      <c r="E45" s="248" t="str">
        <f ca="1">"+ClassSummary="""&amp;INDIRECT("A20")&amp;""""</f>
        <v>+ClassSummary=""</v>
      </c>
      <c r="F45" s="234" t="s">
        <v>340</v>
      </c>
      <c r="G45" s="234"/>
      <c r="H45" s="235"/>
      <c r="I45" s="235"/>
      <c r="J45" s="235"/>
    </row>
    <row r="46" spans="1:23" x14ac:dyDescent="0.25">
      <c r="A46" s="240" t="str">
        <f ca="1">"+SoldierClasses="&amp;INDIRECT("C3")</f>
        <v>+SoldierClasses=LWD_Chemist</v>
      </c>
      <c r="B46" s="234" t="s">
        <v>340</v>
      </c>
      <c r="C46" s="245"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+Loadouts=(LoadoutName="SquaddieLWD_Chemist", Items[0]=(Item="AssaultRifle_CV"), Items[1]=(Item="GrenadeLauncher_CV"))</v>
      </c>
      <c r="D46" s="234" t="s">
        <v>340</v>
      </c>
      <c r="E46" s="248" t="str">
        <f ca="1">"+LeftAbilityTreeTitle="""&amp;INDIRECT("F11")&amp;""""</f>
        <v>+LeftAbilityTreeTitle=""</v>
      </c>
      <c r="F46" s="234" t="s">
        <v>340</v>
      </c>
      <c r="G46" s="234"/>
      <c r="H46" s="235"/>
      <c r="I46" s="234"/>
      <c r="J46" s="234"/>
    </row>
    <row r="47" spans="1:23" x14ac:dyDescent="0.25">
      <c r="A47" s="240"/>
      <c r="B47" s="234" t="s">
        <v>340</v>
      </c>
      <c r="C47" s="245"/>
      <c r="D47" s="234" t="s">
        <v>340</v>
      </c>
      <c r="E47" s="248" t="str">
        <f ca="1">"+RightAbilityTreeTitle="""&amp;INDIRECT("L11")&amp;""""</f>
        <v>+RightAbilityTreeTitle=""</v>
      </c>
      <c r="F47" s="234" t="s">
        <v>340</v>
      </c>
      <c r="G47" s="234"/>
      <c r="H47" s="235"/>
      <c r="I47" s="234"/>
      <c r="J47" s="234"/>
    </row>
    <row r="48" spans="1:23" x14ac:dyDescent="0.25">
      <c r="A48" s="240" t="str">
        <f ca="1">"["&amp;INDIRECT("C3")&amp;" X2SoldierClassTemplate]"</f>
        <v>[LWD_Chemist X2SoldierClassTemplate]</v>
      </c>
      <c r="B48" s="234" t="s">
        <v>340</v>
      </c>
      <c r="C48" s="245" t="s">
        <v>351</v>
      </c>
      <c r="D48" s="234" t="s">
        <v>340</v>
      </c>
      <c r="E48" s="248" t="str">
        <f>"; Nicknames"</f>
        <v>; Nicknames</v>
      </c>
      <c r="F48" s="234" t="s">
        <v>340</v>
      </c>
      <c r="G48" s="234"/>
      <c r="H48" s="234"/>
      <c r="I48" s="234"/>
      <c r="J48" s="234"/>
    </row>
    <row r="49" spans="1:10" ht="15.75" thickBot="1" x14ac:dyDescent="0.3">
      <c r="A49" s="240" t="str">
        <f ca="1">"+bMultiplayerOnly="&amp;INDIRECT("E6")</f>
        <v>+bMultiplayerOnly=0</v>
      </c>
      <c r="B49" s="234" t="s">
        <v>340</v>
      </c>
      <c r="C49" s="246" t="str">
        <f ca="1">"+DEBUG_StartingSoldierClasses="""&amp;INDIRECT("C3")&amp;""""</f>
        <v>+DEBUG_StartingSoldierClasses="LWD_Chemist"</v>
      </c>
      <c r="D49" s="234" t="s">
        <v>340</v>
      </c>
      <c r="E49" s="248" t="str">
        <f ca="1">IF(INDIRECT("V4")&lt;&gt;"","RandomNickNames[0]="""&amp;INDIRECT("V4")&amp;"""","")</f>
        <v>RandomNickNames[0]="Maniac"</v>
      </c>
      <c r="F49" s="234" t="s">
        <v>340</v>
      </c>
      <c r="G49" s="234"/>
      <c r="H49" s="234"/>
      <c r="I49" s="234"/>
      <c r="J49" s="234"/>
    </row>
    <row r="50" spans="1:10" x14ac:dyDescent="0.25">
      <c r="A50" s="240" t="str">
        <f ca="1">"+ClassPoints="&amp;INDIRECT("E7")</f>
        <v>+ClassPoints=4</v>
      </c>
      <c r="B50" s="234" t="s">
        <v>340</v>
      </c>
      <c r="C50" s="234"/>
      <c r="D50" s="234"/>
      <c r="E50" s="248" t="str">
        <f ca="1">IF(INDIRECT("V5")&lt;&gt;"","RandomNickNames[1]="""&amp;INDIRECT("V5")&amp;"""","")</f>
        <v>RandomNickNames[1]="Bargain"</v>
      </c>
      <c r="F50" s="234" t="s">
        <v>340</v>
      </c>
      <c r="G50" s="234"/>
      <c r="H50" s="234"/>
      <c r="I50" s="234"/>
      <c r="J50" s="234"/>
    </row>
    <row r="51" spans="1:10" x14ac:dyDescent="0.25">
      <c r="A51" s="240" t="str">
        <f ca="1">"+IconImage="&amp;""""&amp;INDIRECT("E8")&amp;""""</f>
        <v>+IconImage="img:///UILibrary_LWD.class_Chemist"</v>
      </c>
      <c r="B51" s="234" t="s">
        <v>340</v>
      </c>
      <c r="C51" s="234"/>
      <c r="D51" s="234"/>
      <c r="E51" s="248" t="str">
        <f ca="1">IF(INDIRECT("V6")&lt;&gt;"","RandomNickNames[2]="""&amp;INDIRECT("V6")&amp;"""","")</f>
        <v>RandomNickNames[2]="Villain"</v>
      </c>
      <c r="F51" s="234" t="s">
        <v>340</v>
      </c>
      <c r="G51" s="234"/>
      <c r="H51" s="234"/>
      <c r="I51" s="234"/>
      <c r="J51" s="234"/>
    </row>
    <row r="52" spans="1:10" x14ac:dyDescent="0.25">
      <c r="A52" s="240" t="str">
        <f ca="1">"+NumInForcedDeck="&amp;INDIRECT("E9")</f>
        <v>+NumInForcedDeck=1</v>
      </c>
      <c r="B52" s="234" t="s">
        <v>340</v>
      </c>
      <c r="C52" s="234"/>
      <c r="D52" s="234"/>
      <c r="E52" s="248" t="str">
        <f ca="1">IF(INDIRECT("V7")&lt;&gt;"","RandomNickNames[3]="""&amp;INDIRECT("V7")&amp;"""","")</f>
        <v>RandomNickNames[3]="Bishop"</v>
      </c>
      <c r="F52" s="234" t="s">
        <v>340</v>
      </c>
      <c r="G52" s="234"/>
      <c r="H52" s="234"/>
      <c r="I52" s="234"/>
      <c r="J52" s="234"/>
    </row>
    <row r="53" spans="1:10" x14ac:dyDescent="0.25">
      <c r="A53" s="240" t="str">
        <f ca="1">"+NumInDeck="&amp;INDIRECT("E10")</f>
        <v>+NumInDeck=4</v>
      </c>
      <c r="B53" s="234" t="s">
        <v>340</v>
      </c>
      <c r="C53" s="234"/>
      <c r="D53" s="234"/>
      <c r="E53" s="248" t="str">
        <f ca="1">IF(INDIRECT("V8")&lt;&gt;"","RandomNickNames[4]="""&amp;INDIRECT("V8")&amp;"""","")</f>
        <v>RandomNickNames[4]="Freak"</v>
      </c>
      <c r="F53" s="234" t="s">
        <v>340</v>
      </c>
      <c r="G53" s="234"/>
      <c r="H53" s="234"/>
      <c r="I53" s="234"/>
      <c r="J53" s="234"/>
    </row>
    <row r="54" spans="1:10" x14ac:dyDescent="0.25">
      <c r="A54" s="240" t="str">
        <f ca="1">"+KillAssistsPerKill="&amp;INDIRECT("E11")</f>
        <v>+KillAssistsPerKill=3</v>
      </c>
      <c r="B54" s="234" t="s">
        <v>340</v>
      </c>
      <c r="C54" s="234"/>
      <c r="D54" s="234"/>
      <c r="E54" s="248" t="str">
        <f ca="1">IF(INDIRECT("V9")&lt;&gt;"","RandomNickNames[5]="""&amp;INDIRECT("V9")&amp;"""","")</f>
        <v>RandomNickNames[5]="Breaker"</v>
      </c>
      <c r="F54" s="234" t="s">
        <v>340</v>
      </c>
      <c r="G54" s="234"/>
      <c r="H54" s="234"/>
      <c r="I54" s="234"/>
      <c r="J54" s="234"/>
    </row>
    <row r="55" spans="1:10" x14ac:dyDescent="0.25">
      <c r="A55" s="240" t="str">
        <f ca="1">"+SquaddieLoadout=Squaddie"&amp;INDIRECT("C3")</f>
        <v>+SquaddieLoadout=SquaddieLWD_Chemist</v>
      </c>
      <c r="B55" s="234" t="s">
        <v>340</v>
      </c>
      <c r="C55" s="234"/>
      <c r="D55" s="234"/>
      <c r="E55" s="248" t="str">
        <f ca="1">IF(INDIRECT("V10")&lt;&gt;"","RandomNickNames[6]="""&amp;INDIRECT("V10")&amp;"""","")</f>
        <v>RandomNickNames[6]="Broker"</v>
      </c>
      <c r="F55" s="234" t="s">
        <v>340</v>
      </c>
      <c r="G55" s="234"/>
      <c r="H55" s="234"/>
      <c r="I55" s="234"/>
      <c r="J55" s="234"/>
    </row>
    <row r="56" spans="1:10" x14ac:dyDescent="0.25">
      <c r="A56" s="240" t="str">
        <f ca="1">";+bAllowAWCAbilities="&amp;INDIRECT("E12")&amp;" ; Not a thing in LW2"</f>
        <v>;+bAllowAWCAbilities=1 ; Not a thing in LW2</v>
      </c>
      <c r="B56" s="234" t="s">
        <v>340</v>
      </c>
      <c r="C56" s="234"/>
      <c r="D56" s="234"/>
      <c r="E56" s="248" t="str">
        <f ca="1">IF(INDIRECT("V11")&lt;&gt;"","RandomNickNames[7]="""&amp;INDIRECT("V11")&amp;"""","")</f>
        <v>RandomNickNames[7]="Conquest"</v>
      </c>
      <c r="F56" s="234" t="s">
        <v>340</v>
      </c>
      <c r="G56" s="234"/>
      <c r="H56" s="234"/>
      <c r="I56" s="234"/>
      <c r="J56" s="234"/>
    </row>
    <row r="57" spans="1:10" x14ac:dyDescent="0.25">
      <c r="A57" s="240" t="str">
        <f ca="1">IF(INDIRECT("B5")=FALSE,";","")&amp;"+AllowedWeapons=(SlotType=eInvSlot_PrimaryWeapon, WeaponType=""rifle"")"</f>
        <v>+AllowedWeapons=(SlotType=eInvSlot_PrimaryWeapon, WeaponType="rifle")</v>
      </c>
      <c r="B57" s="234" t="s">
        <v>340</v>
      </c>
      <c r="C57" s="234"/>
      <c r="D57" s="234"/>
      <c r="E57" s="248" t="str">
        <f ca="1">IF(INDIRECT("V12")&lt;&gt;"","RandomNickNames[8]="""&amp;INDIRECT("V12")&amp;"""","")</f>
        <v>RandomNickNames[8]="Deacon"</v>
      </c>
      <c r="F57" s="234" t="s">
        <v>340</v>
      </c>
      <c r="G57" s="234"/>
      <c r="H57" s="234"/>
      <c r="I57" s="234"/>
      <c r="J57" s="234"/>
    </row>
    <row r="58" spans="1:10" x14ac:dyDescent="0.25">
      <c r="A58" s="240" t="str">
        <f ca="1">IF(INDIRECT("B6")=FALSE,";","")&amp;"+AllowedWeapons=(SlotType=eInvSlot_PrimaryWeapon, WeaponType=""cannon"")"</f>
        <v>;+AllowedWeapons=(SlotType=eInvSlot_PrimaryWeapon, WeaponType="cannon")</v>
      </c>
      <c r="B58" s="234" t="s">
        <v>340</v>
      </c>
      <c r="C58" s="234"/>
      <c r="D58" s="234"/>
      <c r="E58" s="248" t="str">
        <f ca="1">IF(INDIRECT("V13")&lt;&gt;"","RandomNickNames[9]="""&amp;INDIRECT("V13")&amp;"""","")</f>
        <v>RandomNickNames[9]="Doomtrain"</v>
      </c>
      <c r="F58" s="234" t="s">
        <v>340</v>
      </c>
      <c r="G58" s="234"/>
      <c r="H58" s="234"/>
      <c r="I58" s="234"/>
      <c r="J58" s="234"/>
    </row>
    <row r="59" spans="1:10" x14ac:dyDescent="0.25">
      <c r="A59" s="240" t="str">
        <f ca="1">IF(INDIRECT("B7")=FALSE,";","")&amp;"+AllowedWeapons=(SlotType=eInvSlot_PrimaryWeapon, WeaponType=""shotgun"")"</f>
        <v>;+AllowedWeapons=(SlotType=eInvSlot_PrimaryWeapon, WeaponType="shotgun")</v>
      </c>
      <c r="B59" s="234" t="s">
        <v>340</v>
      </c>
      <c r="C59" s="234"/>
      <c r="D59" s="234"/>
      <c r="E59" s="248" t="str">
        <f ca="1">IF(INDIRECT("V14")&lt;&gt;"","RandomNickNames[10]="""&amp;INDIRECT("V14")&amp;"""","")</f>
        <v>RandomNickNames[10]="Dr. Feelgood"</v>
      </c>
      <c r="F59" s="234" t="s">
        <v>340</v>
      </c>
      <c r="G59" s="234"/>
      <c r="H59" s="234"/>
      <c r="I59" s="234"/>
      <c r="J59" s="234"/>
    </row>
    <row r="60" spans="1:10" x14ac:dyDescent="0.25">
      <c r="A60" s="240" t="str">
        <f ca="1">IF(INDIRECT("B8")=FALSE,";","")&amp;"+AllowedWeapons=(SlotType=eInvSlot_PrimaryWeapon, WeaponType=""sniper_rifle"")"</f>
        <v>;+AllowedWeapons=(SlotType=eInvSlot_PrimaryWeapon, WeaponType="sniper_rifle")</v>
      </c>
      <c r="B60" s="234" t="s">
        <v>340</v>
      </c>
      <c r="C60" s="234"/>
      <c r="D60" s="234"/>
      <c r="E60" s="248" t="str">
        <f ca="1">IF(INDIRECT("V15")&lt;&gt;"","RandomNickNames[11]="""&amp;INDIRECT("V15")&amp;"""","")</f>
        <v>RandomNickNames[11]="Famine"</v>
      </c>
      <c r="F60" s="234" t="s">
        <v>340</v>
      </c>
      <c r="G60" s="234"/>
      <c r="H60" s="234"/>
      <c r="I60" s="234"/>
      <c r="J60" s="234"/>
    </row>
    <row r="61" spans="1:10" x14ac:dyDescent="0.25">
      <c r="A61" s="240" t="str">
        <f ca="1">IF(INDIRECT("B9")=FALSE,";","")&amp;"+AllowedWeapons=(SlotType=eInvSlot_SecondaryWeapon, WeaponType=""gauntlet"")"</f>
        <v>;+AllowedWeapons=(SlotType=eInvSlot_SecondaryWeapon, WeaponType="gauntlet")</v>
      </c>
      <c r="B61" s="234" t="s">
        <v>340</v>
      </c>
      <c r="C61" s="234"/>
      <c r="D61" s="234"/>
      <c r="E61" s="248" t="str">
        <f ca="1">IF(INDIRECT("V16")&lt;&gt;"","RandomNickNames[12]="""&amp;INDIRECT("V16")&amp;"""","")</f>
        <v>RandomNickNames[12]="Feedback"</v>
      </c>
      <c r="F61" s="234" t="s">
        <v>340</v>
      </c>
      <c r="G61" s="234"/>
      <c r="H61" s="234"/>
      <c r="I61" s="234"/>
      <c r="J61" s="234"/>
    </row>
    <row r="62" spans="1:10" x14ac:dyDescent="0.25">
      <c r="A62" s="240" t="str">
        <f ca="1">IF(INDIRECT("B10")=FALSE,";","")&amp;"+AllowedWeapons=(SlotType=eInvSlot_SecondaryWeapon, WeaponType=""combatknife"")"</f>
        <v>;+AllowedWeapons=(SlotType=eInvSlot_SecondaryWeapon, WeaponType="combatknife")</v>
      </c>
      <c r="B62" s="234" t="s">
        <v>340</v>
      </c>
      <c r="C62" s="234"/>
      <c r="D62" s="234"/>
      <c r="E62" s="248" t="str">
        <f ca="1">IF(INDIRECT("V17")&lt;&gt;"","RandomNickNames[13]="""&amp;INDIRECT("V17")&amp;"""","")</f>
        <v>RandomNickNames[13]="Sure Thing"</v>
      </c>
      <c r="F62" s="234" t="s">
        <v>340</v>
      </c>
      <c r="G62" s="234"/>
      <c r="H62" s="234"/>
      <c r="I62" s="234"/>
      <c r="J62" s="234"/>
    </row>
    <row r="63" spans="1:10" x14ac:dyDescent="0.25">
      <c r="A63" s="240" t="str">
        <f ca="1">IF(INDIRECT("B11")=FALSE,";","")&amp;"+AllowedWeapons=(SlotType=eInvSlot_SecondaryWeapon, WeaponType=""grenade_launcher"")"</f>
        <v>+AllowedWeapons=(SlotType=eInvSlot_SecondaryWeapon, WeaponType="grenade_launcher")</v>
      </c>
      <c r="B63" s="234" t="s">
        <v>340</v>
      </c>
      <c r="C63" s="234"/>
      <c r="D63" s="234"/>
      <c r="E63" s="248" t="str">
        <f ca="1">IF(INDIRECT("V18")&lt;&gt;"","RandomNickNames[14]="""&amp;INDIRECT("V18")&amp;"""","")</f>
        <v>RandomNickNames[14]="Genius"</v>
      </c>
      <c r="F63" s="234" t="s">
        <v>340</v>
      </c>
      <c r="G63" s="234"/>
      <c r="H63" s="234"/>
      <c r="I63" s="234"/>
      <c r="J63" s="234"/>
    </row>
    <row r="64" spans="1:10" x14ac:dyDescent="0.25">
      <c r="A64" s="240" t="str">
        <f ca="1">IF(INDIRECT("B12")=FALSE,";","")&amp;"+AllowedWeapons=(SlotType=eInvSlot_SecondaryWeapon, WeaponType=""gremlin"")"</f>
        <v>;+AllowedWeapons=(SlotType=eInvSlot_SecondaryWeapon, WeaponType="gremlin")</v>
      </c>
      <c r="B64" s="234" t="s">
        <v>340</v>
      </c>
      <c r="C64" s="234"/>
      <c r="D64" s="234"/>
      <c r="E64" s="248" t="str">
        <f ca="1">IF(INDIRECT("V19")&lt;&gt;"","RandomNickNames[15]="""&amp;INDIRECT("V19")&amp;"""","")</f>
        <v>RandomNickNames[15]="Gizmo"</v>
      </c>
      <c r="F64" s="234" t="s">
        <v>340</v>
      </c>
      <c r="G64" s="234"/>
      <c r="H64" s="234"/>
      <c r="I64" s="234"/>
      <c r="J64" s="234"/>
    </row>
    <row r="65" spans="1:10" x14ac:dyDescent="0.25">
      <c r="A65" s="240" t="str">
        <f ca="1">IF(INDIRECT("B13")=FALSE,";","")&amp;"+AllowedWeapons=(SlotType=eInvSlot_SecondaryWeapon, WeaponType=""sword"")"</f>
        <v>;+AllowedWeapons=(SlotType=eInvSlot_SecondaryWeapon, WeaponType="sword")</v>
      </c>
      <c r="B65" s="234" t="s">
        <v>340</v>
      </c>
      <c r="C65" s="234"/>
      <c r="D65" s="234"/>
      <c r="E65" s="248" t="str">
        <f ca="1">IF(INDIRECT("V20")&lt;&gt;"","RandomNickNames[16]="""&amp;INDIRECT("V20")&amp;"""","")</f>
        <v>RandomNickNames[16]="Jester"</v>
      </c>
      <c r="F65" s="234" t="s">
        <v>340</v>
      </c>
      <c r="G65" s="234"/>
      <c r="H65" s="234"/>
      <c r="I65" s="234"/>
      <c r="J65" s="234"/>
    </row>
    <row r="66" spans="1:10" x14ac:dyDescent="0.25">
      <c r="A66" s="240" t="str">
        <f ca="1">IF(INDIRECT("B14")=FALSE,";","")&amp;"+AllowedWeapons=(SlotType=eInvSlot_SecondaryWeapon, WeaponType=""sawedoffshotgun"")"</f>
        <v>;+AllowedWeapons=(SlotType=eInvSlot_SecondaryWeapon, WeaponType="sawedoffshotgun")</v>
      </c>
      <c r="B66" s="234" t="s">
        <v>340</v>
      </c>
      <c r="C66" s="234"/>
      <c r="D66" s="234"/>
      <c r="E66" s="248" t="str">
        <f ca="1">IF(INDIRECT("V21")&lt;&gt;"","RandomNickNames[17]="""&amp;INDIRECT("V21")&amp;"""","")</f>
        <v>RandomNickNames[17]="Jolt"</v>
      </c>
      <c r="F66" s="234" t="s">
        <v>340</v>
      </c>
      <c r="G66" s="234"/>
      <c r="H66" s="234"/>
      <c r="I66" s="234"/>
      <c r="J66" s="234"/>
    </row>
    <row r="67" spans="1:10" x14ac:dyDescent="0.25">
      <c r="A67" s="240" t="str">
        <f ca="1">IF(INDIRECT("B15")=FALSE,";","")&amp;"+AllowedWeapons=(SlotType=eInvSlot_SecondaryWeapon, WeaponType=""arcthrower"")"</f>
        <v>;+AllowedWeapons=(SlotType=eInvSlot_SecondaryWeapon, WeaponType="arcthrower")</v>
      </c>
      <c r="B67" s="234" t="s">
        <v>340</v>
      </c>
      <c r="C67" s="234"/>
      <c r="D67" s="234"/>
      <c r="E67" s="248" t="str">
        <f ca="1">IF(INDIRECT("V22")&lt;&gt;"","RandomNickNames[18]="""&amp;INDIRECT("V22")&amp;"""","")</f>
        <v>RandomNickNames[18]="Lightning"</v>
      </c>
      <c r="F67" s="234" t="s">
        <v>340</v>
      </c>
      <c r="G67" s="234"/>
      <c r="H67" s="234"/>
      <c r="I67" s="234"/>
      <c r="J67" s="234"/>
    </row>
    <row r="68" spans="1:10" x14ac:dyDescent="0.25">
      <c r="A68" s="240" t="str">
        <f ca="1">IF(INDIRECT("B16")=FALSE,";","")&amp;"+AllowedWeapons=(SlotType=eInvSlot_SecondaryWeapon, WeaponType=""holotargeter"")"</f>
        <v>;+AllowedWeapons=(SlotType=eInvSlot_SecondaryWeapon, WeaponType="holotargeter")</v>
      </c>
      <c r="B68" s="234" t="s">
        <v>340</v>
      </c>
      <c r="C68" s="234"/>
      <c r="D68" s="234"/>
      <c r="E68" s="248" t="str">
        <f ca="1">IF(INDIRECT("V23")&lt;&gt;"","RandomNickNames[19]="""&amp;INDIRECT("V23")&amp;"""","")</f>
        <v>RandomNickNames[19]="Mayday"</v>
      </c>
      <c r="F68" s="234" t="s">
        <v>340</v>
      </c>
      <c r="G68" s="234"/>
      <c r="H68" s="234"/>
      <c r="I68" s="234"/>
      <c r="J68" s="234"/>
    </row>
    <row r="69" spans="1:10" x14ac:dyDescent="0.25">
      <c r="A69" s="240" t="str">
        <f ca="1">IF(INDIRECT("B17")=FALSE,";","")&amp;"+AllowedWeapons=(SlotType=eInvSlot_SecondaryWeapon, WeaponType=""psiamp"")"</f>
        <v>;+AllowedWeapons=(SlotType=eInvSlot_SecondaryWeapon, WeaponType="psiamp")</v>
      </c>
      <c r="B69" s="234" t="s">
        <v>340</v>
      </c>
      <c r="C69" s="234"/>
      <c r="D69" s="234"/>
      <c r="E69" s="248" t="str">
        <f ca="1">IF(INDIRECT("V24")&lt;&gt;"","RandomNickNames[20]="""&amp;INDIRECT("V24")&amp;"""","")</f>
        <v>RandomNickNames[20]="Arson"</v>
      </c>
      <c r="F69" s="234" t="s">
        <v>340</v>
      </c>
      <c r="G69" s="234"/>
      <c r="H69" s="234"/>
      <c r="I69" s="234"/>
      <c r="J69" s="234"/>
    </row>
    <row r="70" spans="1:10" x14ac:dyDescent="0.25">
      <c r="A70" s="240" t="str">
        <f ca="1">IF(INDIRECT("B9")=FALSE,";","")&amp;"+AllowedWeapons=(SlotType=eInvSlot_HeavyWeapon, WeaponType=""heavyammo"")"</f>
        <v>;+AllowedWeapons=(SlotType=eInvSlot_HeavyWeapon, WeaponType="heavyammo")</v>
      </c>
      <c r="B70" s="234" t="s">
        <v>340</v>
      </c>
      <c r="C70" s="234"/>
      <c r="D70" s="234"/>
      <c r="E70" s="248" t="str">
        <f ca="1">IF(INDIRECT("V25")&lt;&gt;"","RandomNickNames[21]="""&amp;INDIRECT("V25")&amp;"""","")</f>
        <v>RandomNickNames[21]="Newton"</v>
      </c>
      <c r="F70" s="234" t="s">
        <v>340</v>
      </c>
      <c r="G70" s="234"/>
      <c r="H70" s="234"/>
      <c r="I70" s="234"/>
      <c r="J70" s="234"/>
    </row>
    <row r="71" spans="1:10" x14ac:dyDescent="0.25">
      <c r="A71" s="240" t="str">
        <f ca="1">IF(INDIRECT("B9")=TRUE,";","")&amp;"+AllowedWeapons=(SlotType=eInvSlot_HeavyWeapon, WeaponType=""heavy"")"</f>
        <v>+AllowedWeapons=(SlotType=eInvSlot_HeavyWeapon, WeaponType="heavy")</v>
      </c>
      <c r="B71" s="234" t="s">
        <v>340</v>
      </c>
      <c r="C71" s="234"/>
      <c r="D71" s="234"/>
      <c r="E71" s="248" t="str">
        <f ca="1">IF(INDIRECT("V26")&lt;&gt;"","RandomNickNames[22]="""&amp;INDIRECT("V26")&amp;"""","")</f>
        <v>RandomNickNames[22]="Laughing Gas"</v>
      </c>
      <c r="F71" s="234" t="s">
        <v>340</v>
      </c>
      <c r="G71" s="234"/>
      <c r="H71" s="234"/>
      <c r="I71" s="234"/>
      <c r="J71" s="234"/>
    </row>
    <row r="72" spans="1:10" x14ac:dyDescent="0.25">
      <c r="A72" s="240" t="str">
        <f ca="1">"+AllowedArmors="&amp;INDIRECT("E13")</f>
        <v>+AllowedArmors=soldier</v>
      </c>
      <c r="B72" s="234" t="s">
        <v>340</v>
      </c>
      <c r="C72" s="234"/>
      <c r="D72" s="234"/>
      <c r="E72" s="248" t="str">
        <f ca="1">IF(INDIRECT("V27")&lt;&gt;"","RandomNickNames[23]="""&amp;INDIRECT("V27")&amp;"""","")</f>
        <v>RandomNickNames[23]="Rascal"</v>
      </c>
      <c r="F72" s="234" t="s">
        <v>340</v>
      </c>
      <c r="G72" s="234"/>
      <c r="H72" s="234"/>
      <c r="I72" s="234"/>
      <c r="J72" s="234"/>
    </row>
    <row r="73" spans="1:10" x14ac:dyDescent="0.25">
      <c r="A73" s="240" t="str">
        <f>"; squaddie"</f>
        <v>; squaddie</v>
      </c>
      <c r="B73" s="234" t="s">
        <v>340</v>
      </c>
      <c r="C73" s="234"/>
      <c r="D73" s="234"/>
      <c r="E73" s="248" t="str">
        <f ca="1">IF(INDIRECT("V28")&lt;&gt;"","RandomNickNames[24]="""&amp;INDIRECT("V28")&amp;"""","")</f>
        <v>RandomNickNames[24]="Rattler"</v>
      </c>
      <c r="F73" s="234" t="s">
        <v>340</v>
      </c>
      <c r="G73" s="234"/>
      <c r="H73" s="234"/>
      <c r="I73" s="234"/>
      <c r="J73" s="234"/>
    </row>
    <row r="74" spans="1:10" x14ac:dyDescent="0.25">
      <c r="A74" s="240" t="str">
        <f ca="1">"+SoldierRanks=(  aAbilityTree=( (AbilityName="""&amp;VLOOKUP(INDIRECT("F4"),Abilities,2,FALSE)&amp;""""&amp;IF(VLOOKUP(INDIRECT("F4"),Abilities,3,FALSE)="","",", ApplyToWeaponSlot=eInvSlot_"&amp;VLOOKUP(INDIRECT("F4"),Abilities,3,FALSE))&amp;"), \\"</f>
        <v>+SoldierRanks=(  aAbilityTree=( (AbilityName="LaunchGrenade", ApplyToWeaponSlot=eInvSlot_SecondaryWeapon), \\</v>
      </c>
      <c r="B74" s="234" t="s">
        <v>340</v>
      </c>
      <c r="C74" s="234"/>
      <c r="D74" s="234"/>
      <c r="E74" s="248" t="str">
        <f ca="1">IF(INDIRECT("V29")&lt;&gt;"","RandomNickNames[25]="""&amp;INDIRECT("V29")&amp;"""","")</f>
        <v>RandomNickNames[25]="Revelation"</v>
      </c>
      <c r="F74" s="234" t="s">
        <v>340</v>
      </c>
      <c r="G74" s="234"/>
      <c r="H74" s="234"/>
      <c r="I74" s="234"/>
      <c r="J74" s="234"/>
    </row>
    <row r="75" spans="1:10" x14ac:dyDescent="0.25">
      <c r="A75" s="240" t="str">
        <f ca="1">IF(INDIRECT("I4")="","\\","(AbilityName="""&amp;VLOOKUP(INDIRECT("I4"),Abilities,2,FALSE)&amp;""""&amp;IF(VLOOKUP(INDIRECT("I4"),Abilities,3,FALSE)="","",", ApplyToWeaponSlot=eInvSlot_"&amp;VLOOKUP(INDIRECT("I4"),Abilities,3,FALSE))&amp;"), \\")</f>
        <v>(AbilityName="LWD_Gasser"), \\</v>
      </c>
      <c r="B75" s="234" t="s">
        <v>340</v>
      </c>
      <c r="C75" s="234"/>
      <c r="D75" s="234"/>
      <c r="E75" s="248" t="str">
        <f ca="1">IF(INDIRECT("V30")&lt;&gt;"","RandomNickNames[26]="""&amp;INDIRECT("V30")&amp;"""","")</f>
        <v>RandomNickNames[26]="Skipper"</v>
      </c>
      <c r="F75" s="234" t="s">
        <v>340</v>
      </c>
      <c r="G75" s="234"/>
      <c r="H75" s="234"/>
      <c r="I75" s="234"/>
      <c r="J75" s="234"/>
    </row>
    <row r="76" spans="1:10" x14ac:dyDescent="0.25">
      <c r="A76" s="240" t="str">
        <f ca="1">IF(INDIRECT("L4")="","\\","(AbilityName="""&amp;VLOOKUP(INDIRECT("L4"),Abilities,2,FALSE)&amp;""""&amp;IF(VLOOKUP(INDIRECT("L4"),Abilities,3,FALSE)="","",", ApplyToWeaponSlot=eInvSlot_"&amp;VLOOKUP(INDIRECT("L4"),Abilities,3,FALSE))&amp;"), \\")</f>
        <v>\\</v>
      </c>
      <c r="B76" s="234" t="s">
        <v>340</v>
      </c>
      <c r="C76" s="234"/>
      <c r="D76" s="234"/>
      <c r="E76" s="248" t="str">
        <f ca="1">IF(INDIRECT("V31")&lt;&gt;"","RandomNickNames[27]="""&amp;INDIRECT("V31")&amp;"""","")</f>
        <v>RandomNickNames[27]="Thunder"</v>
      </c>
      <c r="F76" s="234" t="s">
        <v>340</v>
      </c>
      <c r="G76" s="234"/>
      <c r="H76" s="234"/>
      <c r="I76" s="234"/>
      <c r="J76" s="234"/>
    </row>
    <row r="77" spans="1:10" x14ac:dyDescent="0.25">
      <c r="A77" s="240" t="str">
        <f ca="1">IF(INDIRECT("F7")="","\\","(AbilityName="""&amp;VLOOKUP(INDIRECT("F7"),Abilities,2,FALSE)&amp;""""&amp;IF(VLOOKUP(INDIRECT("F7"),Abilities,3,FALSE)="","",", ApplyToWeaponSlot=eInvSlot_"&amp;VLOOKUP(INDIRECT("F7"),Abilities,3,FALSE))&amp;"), \\")</f>
        <v>\\</v>
      </c>
      <c r="B77" s="234" t="s">
        <v>340</v>
      </c>
      <c r="C77" s="234"/>
      <c r="D77" s="234"/>
      <c r="E77" s="248" t="str">
        <f ca="1">IF(INDIRECT("V32")&lt;&gt;"","RandomNickNames[28]="""&amp;INDIRECT("V32")&amp;"""","")</f>
        <v>RandomNickNames[28]="Undertaker"</v>
      </c>
      <c r="F77" s="234" t="s">
        <v>340</v>
      </c>
      <c r="G77" s="234"/>
      <c r="H77" s="234"/>
      <c r="I77" s="234"/>
      <c r="J77" s="234"/>
    </row>
    <row r="78" spans="1:10" x14ac:dyDescent="0.25">
      <c r="A78" s="240" t="str">
        <f ca="1">IF(INDIRECT("I7")="","\\","(AbilityName="""&amp;VLOOKUP(INDIRECT("I7"),Abilities,2,FALSE)&amp;""""&amp;IF(VLOOKUP(INDIRECT("I7"),Abilities,3,FALSE)="","",", ApplyToWeaponSlot=eInvSlot_"&amp;VLOOKUP(INDIRECT("I7"),Abilities,3,FALSE))&amp;"), \\")</f>
        <v>\\</v>
      </c>
      <c r="B78" s="234" t="s">
        <v>340</v>
      </c>
      <c r="C78" s="234"/>
      <c r="D78" s="234"/>
      <c r="E78" s="248" t="str">
        <f ca="1">IF(INDIRECT("V33")&lt;&gt;"","RandomNickNames[29]="""&amp;INDIRECT("V33")&amp;"""","")</f>
        <v>RandomNickNames[29]="War"</v>
      </c>
      <c r="F78" s="234" t="s">
        <v>340</v>
      </c>
      <c r="G78" s="234"/>
      <c r="H78" s="234"/>
      <c r="I78" s="234"/>
      <c r="J78" s="234"/>
    </row>
    <row r="79" spans="1:10" x14ac:dyDescent="0.25">
      <c r="A79" s="240" t="str">
        <f ca="1">IF(INDIRECT("L7")="","\\","(AbilityName="""&amp;VLOOKUP(INDIRECT("L7"),Abilities,2,FALSE)&amp;""""&amp;IF(VLOOKUP(INDIRECT("L7"),Abilities,3,FALSE)="","",", ApplyToWeaponSlot=eInvSlot_"&amp;VLOOKUP(INDIRECT("L7"),Abilities,3,FALSE))&amp;"), \\")</f>
        <v>\\</v>
      </c>
      <c r="B79" s="234" t="s">
        <v>340</v>
      </c>
      <c r="C79" s="234"/>
      <c r="D79" s="234"/>
      <c r="E79" s="248" t="str">
        <f ca="1">IF(INDIRECT("V34")&lt;&gt;"","RandomNickNames[30]="""&amp;INDIRECT("V34")&amp;"""","")</f>
        <v>RandomNickNames[30]="Whoopsie"</v>
      </c>
      <c r="F79" s="234" t="s">
        <v>340</v>
      </c>
      <c r="G79" s="234"/>
      <c r="H79" s="234"/>
      <c r="I79" s="234"/>
      <c r="J79" s="234"/>
    </row>
    <row r="80" spans="1:10" x14ac:dyDescent="0.25">
      <c r="A80" s="240" t="s">
        <v>337</v>
      </c>
      <c r="B80" s="234" t="s">
        <v>340</v>
      </c>
      <c r="C80" s="234"/>
      <c r="D80" s="234"/>
      <c r="E80" s="248" t="str">
        <f ca="1">IF(INDIRECT("V35")&lt;&gt;"","RandomNickNames[31]="""&amp;INDIRECT("V35")&amp;"""","")</f>
        <v>RandomNickNames[31]="The Hurt"</v>
      </c>
      <c r="F80" s="234" t="s">
        <v>340</v>
      </c>
      <c r="G80" s="234"/>
      <c r="H80" s="234"/>
      <c r="I80" s="234"/>
      <c r="J80" s="234"/>
    </row>
    <row r="81" spans="1:10" x14ac:dyDescent="0.25">
      <c r="A81" s="240"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(StatType=eStat_Will,StatAmount=3)),\\</v>
      </c>
      <c r="B81" s="234" t="s">
        <v>340</v>
      </c>
      <c r="C81" s="234"/>
      <c r="D81" s="234"/>
      <c r="E81" s="248" t="str">
        <f>"; Male Nicknames"</f>
        <v>; Male Nicknames</v>
      </c>
      <c r="F81" s="234" t="s">
        <v>340</v>
      </c>
      <c r="G81" s="234"/>
      <c r="H81" s="234"/>
      <c r="I81" s="234"/>
      <c r="J81" s="234"/>
    </row>
    <row r="82" spans="1:10" x14ac:dyDescent="0.25">
      <c r="A82" s="240" t="s">
        <v>338</v>
      </c>
      <c r="B82" s="234" t="s">
        <v>340</v>
      </c>
      <c r="C82" s="234"/>
      <c r="D82" s="234"/>
      <c r="E82" s="248" t="str">
        <f ca="1">IF(INDIRECT("X4")&lt;&gt;"","RandomNickNames_Male[0]="""&amp;INDIRECT("X4")&amp;"""","")</f>
        <v>RandomNickNames_Male[0]="Candyman"</v>
      </c>
      <c r="F82" s="234" t="s">
        <v>340</v>
      </c>
      <c r="G82" s="234"/>
      <c r="H82" s="234"/>
      <c r="I82" s="234"/>
      <c r="J82" s="234"/>
    </row>
    <row r="83" spans="1:10" x14ac:dyDescent="0.25">
      <c r="A83" s="240" t="str">
        <f>"; lance corporal"</f>
        <v>; lance corporal</v>
      </c>
      <c r="B83" s="234" t="s">
        <v>340</v>
      </c>
      <c r="C83" s="234"/>
      <c r="D83" s="234"/>
      <c r="E83" s="248" t="str">
        <f ca="1">IF(INDIRECT("X5")&lt;&gt;"","RandomNickNames_Male[1]="""&amp;INDIRECT("X5")&amp;"""","")</f>
        <v>RandomNickNames_Male[1]="Magic Man"</v>
      </c>
      <c r="F83" s="234" t="s">
        <v>340</v>
      </c>
      <c r="G83" s="234"/>
      <c r="H83" s="234"/>
      <c r="I83" s="234"/>
      <c r="J83" s="234"/>
    </row>
    <row r="84" spans="1:10" x14ac:dyDescent="0.25">
      <c r="A84" s="240" t="str">
        <f ca="1">"+SoldierRanks=(  aAbilityTree=( (AbilityName="""&amp;VLOOKUP(INDIRECT("F13"),Abilities,2,FALSE)&amp;""""&amp;IF(VLOOKUP(INDIRECT("F13"),Abilities,3,FALSE)="","",", ApplyToWeaponSlot=eInvSlot_"&amp;VLOOKUP(INDIRECT("F13"),Abilities,3,FALSE))&amp;"), \\"</f>
        <v>+SoldierRanks=(  aAbilityTree=( (AbilityName="LWD_HeightenedImmuneSystem"), \\</v>
      </c>
      <c r="B84" s="234" t="s">
        <v>340</v>
      </c>
      <c r="C84" s="234"/>
      <c r="D84" s="234"/>
      <c r="E84" s="248" t="str">
        <f ca="1">IF(INDIRECT("X6")&lt;&gt;"","RandomNickNames_Male[2]="""&amp;INDIRECT("X6")&amp;"""","")</f>
        <v>RandomNickNames_Male[2]="Priest"</v>
      </c>
      <c r="F84" s="234" t="s">
        <v>340</v>
      </c>
      <c r="G84" s="234"/>
      <c r="H84" s="234"/>
      <c r="I84" s="234"/>
      <c r="J84" s="234"/>
    </row>
    <row r="85" spans="1:10" x14ac:dyDescent="0.25">
      <c r="A85" s="240" t="str">
        <f ca="1">IF(INDIRECT("I13")="","\\","(AbilityName="""&amp;VLOOKUP(INDIRECT("I13"),Abilities,2,FALSE)&amp;""""&amp;IF(VLOOKUP(INDIRECT("I13"),Abilities,3,FALSE)="","",", ApplyToWeaponSlot=eInvSlot_"&amp;VLOOKUP(INDIRECT("I13"),Abilities,3,FALSE))&amp;"), \\")</f>
        <v>(AbilityName=" "), \\</v>
      </c>
      <c r="B85" s="234" t="s">
        <v>340</v>
      </c>
      <c r="C85" s="234"/>
      <c r="D85" s="234"/>
      <c r="E85" s="248" t="str">
        <f ca="1">IF(INDIRECT("X7")&lt;&gt;"","RandomNickNames_Male[3]="""&amp;INDIRECT("X7")&amp;"""","")</f>
        <v>RandomNickNames_Male[3]="Rainman"</v>
      </c>
      <c r="F85" s="234" t="s">
        <v>340</v>
      </c>
      <c r="G85" s="234"/>
      <c r="H85" s="234"/>
      <c r="I85" s="234"/>
      <c r="J85" s="234"/>
    </row>
    <row r="86" spans="1:10" x14ac:dyDescent="0.25">
      <c r="A86" s="240" t="str">
        <f ca="1">IF(INDIRECT("L13")="","\\","(AbilityName="""&amp;VLOOKUP(INDIRECT("L13"),Abilities,2,FALSE)&amp;""""&amp;IF(VLOOKUP(INDIRECT("L13"),Abilities,3,FALSE)="","",", ApplyToWeaponSlot=eInvSlot_"&amp;VLOOKUP(INDIRECT("L13"),Abilities,3,FALSE))&amp;"), \\")</f>
        <v>(AbilityName="LWD_Cloudkill", ApplyToWeaponSlot=eInvSlot_SecondaryWeapon), \\</v>
      </c>
      <c r="B86" s="234" t="s">
        <v>340</v>
      </c>
      <c r="C86" s="234"/>
      <c r="D86" s="234"/>
      <c r="E86" s="248" t="str">
        <f ca="1">IF(INDIRECT("X8")&lt;&gt;"","RandomNickNames_Male[4]="""&amp;INDIRECT("X8")&amp;"""","")</f>
        <v>RandomNickNames_Male[4]="Rooster"</v>
      </c>
      <c r="F86" s="234" t="s">
        <v>340</v>
      </c>
      <c r="G86" s="234"/>
      <c r="H86" s="234"/>
      <c r="I86" s="234"/>
      <c r="J86" s="234"/>
    </row>
    <row r="87" spans="1:10" x14ac:dyDescent="0.25">
      <c r="A87" s="240" t="s">
        <v>337</v>
      </c>
      <c r="B87" s="234" t="s">
        <v>340</v>
      </c>
      <c r="C87" s="234"/>
      <c r="D87" s="234"/>
      <c r="E87" s="248" t="str">
        <f>"; Female Nicknames"</f>
        <v>; Female Nicknames</v>
      </c>
      <c r="F87" s="234" t="s">
        <v>340</v>
      </c>
      <c r="G87" s="234"/>
      <c r="H87" s="234"/>
      <c r="I87" s="234"/>
      <c r="J87" s="234"/>
    </row>
    <row r="88" spans="1:10" x14ac:dyDescent="0.25">
      <c r="A88" s="240"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(StatType=eStat_Will,StatAmount=3)),\\</v>
      </c>
      <c r="B88" s="234" t="s">
        <v>340</v>
      </c>
      <c r="C88" s="234"/>
      <c r="D88" s="234"/>
      <c r="E88" s="248" t="str">
        <f ca="1">IF(INDIRECT("X10")&lt;&gt;"","RandomNickNames_Female[0]="""&amp;INDIRECT("X10")&amp;"""","")</f>
        <v>RandomNickNames_Female[0]="Priestess"</v>
      </c>
      <c r="F88" s="234" t="s">
        <v>340</v>
      </c>
      <c r="G88" s="234"/>
      <c r="H88" s="234"/>
      <c r="I88" s="234"/>
      <c r="J88" s="234"/>
    </row>
    <row r="89" spans="1:10" x14ac:dyDescent="0.25">
      <c r="A89" s="240" t="s">
        <v>338</v>
      </c>
      <c r="B89" s="234" t="s">
        <v>340</v>
      </c>
      <c r="C89" s="234"/>
      <c r="D89" s="234"/>
      <c r="E89" s="248" t="str">
        <f ca="1">IF(INDIRECT("X11")&lt;&gt;"","RandomNickNames_Female[1]="""&amp;INDIRECT("X11")&amp;"""","")</f>
        <v>RandomNickNames_Female[1]="Wolfmother"</v>
      </c>
      <c r="F89" s="234" t="s">
        <v>340</v>
      </c>
      <c r="G89" s="234"/>
      <c r="H89" s="234"/>
      <c r="I89" s="234"/>
      <c r="J89" s="234"/>
    </row>
    <row r="90" spans="1:10" x14ac:dyDescent="0.25">
      <c r="A90" s="240" t="str">
        <f>"; corporal"</f>
        <v>; corporal</v>
      </c>
      <c r="B90" s="234" t="s">
        <v>340</v>
      </c>
      <c r="C90" s="234"/>
      <c r="D90" s="234"/>
      <c r="E90" s="248" t="str">
        <f ca="1">IF(INDIRECT("X12")&lt;&gt;"","RandomNickNames_Female[2]="""&amp;INDIRECT("X12")&amp;"""","")</f>
        <v>RandomNickNames_Female[2]="Black Widow"</v>
      </c>
      <c r="F90" s="234" t="s">
        <v>340</v>
      </c>
      <c r="G90" s="234"/>
      <c r="H90" s="234"/>
      <c r="I90" s="234"/>
      <c r="J90" s="234"/>
    </row>
    <row r="91" spans="1:10" x14ac:dyDescent="0.25">
      <c r="A91" s="240" t="str">
        <f ca="1">"+SoldierRanks=(  aAbilityTree=( (AbilityName="""&amp;VLOOKUP(INDIRECT("F17"),Abilities,2,FALSE)&amp;""""&amp;IF(VLOOKUP(INDIRECT("F17"),Abilities,3,FALSE)="","",", ApplyToWeaponSlot=eInvSlot_"&amp;VLOOKUP(INDIRECT("F17"),Abilities,3,FALSE))&amp;"), \\"</f>
        <v>+SoldierRanks=(  aAbilityTree=( (AbilityName=" "), \\</v>
      </c>
      <c r="B91" s="234" t="s">
        <v>340</v>
      </c>
      <c r="C91" s="234"/>
      <c r="D91" s="234"/>
      <c r="E91" s="248" t="str">
        <f ca="1">IF(INDIRECT("X13")&lt;&gt;"","RandomNickNames_Female[3]="""&amp;INDIRECT("X13")&amp;"""","")</f>
        <v>RandomNickNames_Female[3]="Duchess"</v>
      </c>
      <c r="F91" s="234" t="s">
        <v>340</v>
      </c>
      <c r="G91" s="234"/>
      <c r="H91" s="234"/>
      <c r="I91" s="234"/>
      <c r="J91" s="234"/>
    </row>
    <row r="92" spans="1:10" ht="15.75" thickBot="1" x14ac:dyDescent="0.3">
      <c r="A92" s="240" t="str">
        <f ca="1">IF(INDIRECT("I17")="","\\","(AbilityName="""&amp;VLOOKUP(INDIRECT("I17"),Abilities,2,FALSE)&amp;""""&amp;IF(VLOOKUP(INDIRECT("I17"),Abilities,3,FALSE)="","",", ApplyToWeaponSlot=eInvSlot_"&amp;VLOOKUP(INDIRECT("I17"),Abilities,3,FALSE))&amp;"), \\")</f>
        <v>(AbilityName="ShadowOps_Pyromaniac"), \\</v>
      </c>
      <c r="B92" s="234" t="s">
        <v>340</v>
      </c>
      <c r="C92" s="234"/>
      <c r="D92" s="234"/>
      <c r="E92" s="249" t="str">
        <f ca="1">IF(INDIRECT("X14")&lt;&gt;"","RandomNickNames_Female[4]="""&amp;INDIRECT("X14")&amp;"""","")</f>
        <v>RandomNickNames_Female[4]="Queen"</v>
      </c>
      <c r="F92" s="234" t="s">
        <v>340</v>
      </c>
      <c r="G92" s="234"/>
      <c r="H92" s="234"/>
      <c r="I92" s="234"/>
      <c r="J92" s="234"/>
    </row>
    <row r="93" spans="1:10" x14ac:dyDescent="0.25">
      <c r="A93" s="240" t="str">
        <f ca="1">IF(INDIRECT("L17")="","\\","(AbilityName="""&amp;VLOOKUP(INDIRECT("L17"),Abilities,2,FALSE)&amp;""""&amp;IF(VLOOKUP(INDIRECT("L17"),Abilities,3,FALSE)="","",", ApplyToWeaponSlot=eInvSlot_"&amp;VLOOKUP(INDIRECT("L17"),Abilities,3,FALSE))&amp;"), \\")</f>
        <v>(AbilityName=" "), \\</v>
      </c>
      <c r="B93" s="234" t="s">
        <v>340</v>
      </c>
      <c r="C93" s="234"/>
      <c r="D93" s="234"/>
      <c r="E93" s="234"/>
      <c r="F93" s="234"/>
      <c r="G93" s="234"/>
      <c r="H93" s="234"/>
      <c r="I93" s="234"/>
      <c r="J93" s="234"/>
    </row>
    <row r="94" spans="1:10" x14ac:dyDescent="0.25">
      <c r="A94" s="240" t="s">
        <v>337</v>
      </c>
      <c r="B94" s="234" t="s">
        <v>340</v>
      </c>
      <c r="C94" s="234"/>
      <c r="D94" s="234"/>
      <c r="E94" s="234"/>
      <c r="F94" s="234"/>
      <c r="G94" s="234"/>
      <c r="H94" s="234"/>
      <c r="I94" s="234"/>
      <c r="J94" s="234"/>
    </row>
    <row r="95" spans="1:10" x14ac:dyDescent="0.25">
      <c r="A95" s="240"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234" t="s">
        <v>340</v>
      </c>
      <c r="C95" s="234"/>
      <c r="D95" s="234"/>
      <c r="E95" s="234"/>
      <c r="F95" s="234"/>
      <c r="G95" s="234"/>
      <c r="H95" s="234"/>
      <c r="I95" s="234"/>
      <c r="J95" s="234"/>
    </row>
    <row r="96" spans="1:10" x14ac:dyDescent="0.25">
      <c r="A96" s="240" t="s">
        <v>338</v>
      </c>
      <c r="B96" s="234" t="s">
        <v>340</v>
      </c>
      <c r="C96" s="234"/>
      <c r="D96" s="234"/>
      <c r="E96" s="234"/>
      <c r="F96" s="234"/>
      <c r="G96" s="234"/>
      <c r="H96" s="234"/>
      <c r="I96" s="234"/>
      <c r="J96" s="234"/>
    </row>
    <row r="97" spans="1:10" x14ac:dyDescent="0.25">
      <c r="A97" s="240" t="str">
        <f>"; sergeant"</f>
        <v>; sergeant</v>
      </c>
      <c r="B97" s="234" t="s">
        <v>340</v>
      </c>
      <c r="C97" s="234"/>
      <c r="D97" s="234"/>
      <c r="E97" s="234"/>
      <c r="F97" s="234"/>
      <c r="G97" s="234"/>
      <c r="H97" s="234"/>
      <c r="I97" s="234"/>
      <c r="J97" s="234"/>
    </row>
    <row r="98" spans="1:10" x14ac:dyDescent="0.25">
      <c r="A98" s="240" t="str">
        <f ca="1">"+SoldierRanks=(  aAbilityTree=( (AbilityName="""&amp;VLOOKUP(INDIRECT("F21"),Abilities,2,FALSE)&amp;""""&amp;IF(VLOOKUP(INDIRECT("F21"),Abilities,3,FALSE)="","",", ApplyToWeaponSlot=eInvSlot_"&amp;VLOOKUP(INDIRECT("F21"),Abilities,3,FALSE))&amp;"), \\"</f>
        <v>+SoldierRanks=(  aAbilityTree=( (AbilityName="LWD_Pyromancer", ApplyToWeaponSlot=eInvSlot_SecondaryWeapon), \\</v>
      </c>
      <c r="B98" s="234" t="s">
        <v>340</v>
      </c>
      <c r="C98" s="234"/>
      <c r="D98" s="234"/>
      <c r="E98" s="234"/>
      <c r="F98" s="234"/>
      <c r="G98" s="234"/>
      <c r="H98" s="234"/>
      <c r="I98" s="234"/>
      <c r="J98" s="234"/>
    </row>
    <row r="99" spans="1:10" x14ac:dyDescent="0.25">
      <c r="A99" s="240" t="str">
        <f ca="1">IF(INDIRECT("I21")="","\\","(AbilityName="""&amp;VLOOKUP(INDIRECT("I21"),Abilities,2,FALSE)&amp;""""&amp;IF(VLOOKUP(INDIRECT("I21"),Abilities,3,FALSE)="","",", ApplyToWeaponSlot=eInvSlot_"&amp;VLOOKUP(INDIRECT("I21"),Abilities,3,FALSE))&amp;"), \\")</f>
        <v>(AbilityName=" "), \\</v>
      </c>
      <c r="B99" s="234" t="s">
        <v>340</v>
      </c>
      <c r="C99" s="234"/>
      <c r="D99" s="234"/>
      <c r="E99" s="234"/>
      <c r="F99" s="234"/>
      <c r="G99" s="234"/>
      <c r="H99" s="234"/>
      <c r="I99" s="234"/>
      <c r="J99" s="234"/>
    </row>
    <row r="100" spans="1:10" x14ac:dyDescent="0.25">
      <c r="A100" s="240" t="str">
        <f ca="1">IF(INDIRECT("L21")="","\\","(AbilityName="""&amp;VLOOKUP(INDIRECT("L21"),Abilities,2,FALSE)&amp;""""&amp;IF(VLOOKUP(INDIRECT("L21"),Abilities,3,FALSE)="","",", ApplyToWeaponSlot=eInvSlot_"&amp;VLOOKUP(INDIRECT("L21"),Abilities,3,FALSE))&amp;"), \\")</f>
        <v>(AbilityName="LWD_ThirdDegree", ApplyToWeaponSlot=eInvSlot_SecondaryWeapon), \\</v>
      </c>
      <c r="B100" s="234" t="s">
        <v>340</v>
      </c>
      <c r="C100" s="234"/>
      <c r="D100" s="234"/>
      <c r="E100" s="234"/>
      <c r="F100" s="234"/>
      <c r="G100" s="234"/>
      <c r="H100" s="234"/>
      <c r="I100" s="234"/>
      <c r="J100" s="234"/>
    </row>
    <row r="101" spans="1:10" x14ac:dyDescent="0.25">
      <c r="A101" s="240" t="s">
        <v>337</v>
      </c>
      <c r="B101" s="234" t="s">
        <v>340</v>
      </c>
      <c r="C101" s="234"/>
      <c r="D101" s="234"/>
      <c r="E101" s="234"/>
      <c r="F101" s="234"/>
      <c r="G101" s="234"/>
      <c r="H101" s="234"/>
      <c r="I101" s="234"/>
      <c r="J101" s="234"/>
    </row>
    <row r="102" spans="1:10" x14ac:dyDescent="0.25">
      <c r="A102" s="240"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234" t="s">
        <v>340</v>
      </c>
      <c r="C102" s="234"/>
      <c r="D102" s="234"/>
      <c r="E102" s="234"/>
      <c r="F102" s="234"/>
      <c r="G102" s="234"/>
      <c r="H102" s="234"/>
      <c r="I102" s="234"/>
      <c r="J102" s="234"/>
    </row>
    <row r="103" spans="1:10" x14ac:dyDescent="0.25">
      <c r="A103" s="240" t="s">
        <v>338</v>
      </c>
      <c r="B103" s="234" t="s">
        <v>340</v>
      </c>
      <c r="C103" s="234"/>
      <c r="D103" s="234"/>
      <c r="E103" s="234"/>
      <c r="F103" s="234"/>
      <c r="G103" s="234"/>
      <c r="H103" s="234"/>
      <c r="I103" s="234"/>
      <c r="J103" s="234"/>
    </row>
    <row r="104" spans="1:10" x14ac:dyDescent="0.25">
      <c r="A104" s="240" t="str">
        <f>"; staff sergeant"</f>
        <v>; staff sergeant</v>
      </c>
      <c r="B104" s="234" t="s">
        <v>340</v>
      </c>
      <c r="C104" s="234"/>
      <c r="D104" s="234"/>
      <c r="E104" s="234"/>
      <c r="F104" s="234"/>
      <c r="G104" s="234"/>
      <c r="H104" s="234"/>
      <c r="I104" s="234"/>
      <c r="J104" s="234"/>
    </row>
    <row r="105" spans="1:10" x14ac:dyDescent="0.25">
      <c r="A105" s="240" t="str">
        <f ca="1">"+SoldierRanks=(  aAbilityTree=( (AbilityName="""&amp;VLOOKUP(INDIRECT("F25"),Abilities,2,FALSE)&amp;""""&amp;IF(VLOOKUP(INDIRECT("F25"),Abilities,3,FALSE)="","",", ApplyToWeaponSlot=eInvSlot_"&amp;VLOOKUP(INDIRECT("F25"),Abilities,3,FALSE))&amp;"), \\"</f>
        <v>+SoldierRanks=(  aAbilityTree=( (AbilityName=" "), \\</v>
      </c>
      <c r="B105" s="234" t="s">
        <v>340</v>
      </c>
      <c r="C105" s="234"/>
      <c r="D105" s="234"/>
      <c r="E105" s="234"/>
      <c r="F105" s="234"/>
      <c r="G105" s="234"/>
      <c r="H105" s="234"/>
      <c r="I105" s="234"/>
      <c r="J105" s="234"/>
    </row>
    <row r="106" spans="1:10" x14ac:dyDescent="0.25">
      <c r="A106" s="240" t="str">
        <f ca="1">IF(INDIRECT("I25")="","\\","(AbilityName="""&amp;VLOOKUP(INDIRECT("I25"),Abilities,2,FALSE)&amp;""""&amp;IF(VLOOKUP(INDIRECT("I25"),Abilities,3,FALSE)="","",", ApplyToWeaponSlot=eInvSlot_"&amp;VLOOKUP(INDIRECT("I25"),Abilities,3,FALSE))&amp;"), \\")</f>
        <v>(AbilityName="LWD_CausticPersonality"), \\</v>
      </c>
      <c r="B106" s="234" t="s">
        <v>340</v>
      </c>
      <c r="C106" s="234"/>
      <c r="D106" s="234"/>
      <c r="E106" s="234"/>
      <c r="F106" s="234"/>
      <c r="G106" s="234"/>
      <c r="H106" s="234"/>
      <c r="I106" s="234"/>
      <c r="J106" s="234"/>
    </row>
    <row r="107" spans="1:10" x14ac:dyDescent="0.25">
      <c r="A107" s="240" t="str">
        <f ca="1">IF(INDIRECT("L25")="","\\","(AbilityName="""&amp;VLOOKUP(INDIRECT("L25"),Abilities,2,FALSE)&amp;""""&amp;IF(VLOOKUP(INDIRECT("L25"),Abilities,3,FALSE)="","",", ApplyToWeaponSlot=eInvSlot_"&amp;VLOOKUP(INDIRECT("L25"),Abilities,3,FALSE))&amp;"), \\")</f>
        <v>(AbilityName=" "), \\</v>
      </c>
      <c r="B107" s="234" t="s">
        <v>340</v>
      </c>
      <c r="C107" s="234"/>
      <c r="D107" s="234"/>
      <c r="E107" s="234"/>
      <c r="F107" s="234"/>
      <c r="G107" s="234"/>
      <c r="H107" s="234"/>
      <c r="I107" s="234"/>
      <c r="J107" s="234"/>
    </row>
    <row r="108" spans="1:10" x14ac:dyDescent="0.25">
      <c r="A108" s="240" t="s">
        <v>337</v>
      </c>
      <c r="B108" s="234" t="s">
        <v>340</v>
      </c>
      <c r="C108" s="234"/>
      <c r="D108" s="234"/>
      <c r="E108" s="234"/>
      <c r="F108" s="234"/>
      <c r="G108" s="234"/>
      <c r="H108" s="234"/>
      <c r="I108" s="234"/>
      <c r="J108" s="234"/>
    </row>
    <row r="109" spans="1:10" x14ac:dyDescent="0.25">
      <c r="A109" s="240"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(StatType=eStat_Hacking,StatAmount=0)),\\</v>
      </c>
      <c r="B109" s="234" t="s">
        <v>340</v>
      </c>
      <c r="C109" s="234"/>
      <c r="D109" s="234"/>
      <c r="E109" s="234"/>
      <c r="F109" s="234"/>
      <c r="G109" s="234"/>
      <c r="H109" s="234"/>
      <c r="I109" s="234"/>
      <c r="J109" s="234"/>
    </row>
    <row r="110" spans="1:10" x14ac:dyDescent="0.25">
      <c r="A110" s="240" t="s">
        <v>338</v>
      </c>
      <c r="B110" s="234" t="s">
        <v>340</v>
      </c>
      <c r="C110" s="234"/>
      <c r="D110" s="234"/>
      <c r="E110" s="234"/>
      <c r="F110" s="234"/>
      <c r="G110" s="234"/>
      <c r="H110" s="234"/>
      <c r="I110" s="234"/>
      <c r="J110" s="234"/>
    </row>
    <row r="111" spans="1:10" x14ac:dyDescent="0.25">
      <c r="A111" s="240" t="str">
        <f>"; tech sergeant"</f>
        <v>; tech sergeant</v>
      </c>
      <c r="B111" s="234" t="s">
        <v>340</v>
      </c>
      <c r="C111" s="234"/>
      <c r="D111" s="234"/>
      <c r="E111" s="234"/>
      <c r="F111" s="234"/>
      <c r="G111" s="234"/>
      <c r="H111" s="234"/>
      <c r="I111" s="234"/>
      <c r="J111" s="234"/>
    </row>
    <row r="112" spans="1:10" x14ac:dyDescent="0.25">
      <c r="A112" s="240" t="str">
        <f ca="1">"+SoldierRanks=(  aAbilityTree=( (AbilityName="""&amp;VLOOKUP(INDIRECT("F29"),Abilities,2,FALSE)&amp;""""&amp;IF(VLOOKUP(INDIRECT("F29"),Abilities,3,FALSE)="","",", ApplyToWeaponSlot=eInvSlot_"&amp;VLOOKUP(INDIRECT("F29"),Abilities,3,FALSE))&amp;"), \\"</f>
        <v>+SoldierRanks=(  aAbilityTree=( (AbilityName="LWD_AlkalineArmor"), \\</v>
      </c>
      <c r="B112" s="234" t="s">
        <v>340</v>
      </c>
      <c r="C112" s="234"/>
      <c r="D112" s="234"/>
      <c r="E112" s="234"/>
      <c r="F112" s="234"/>
      <c r="G112" s="234"/>
      <c r="H112" s="234"/>
      <c r="I112" s="234"/>
      <c r="J112" s="234"/>
    </row>
    <row r="113" spans="1:10" x14ac:dyDescent="0.25">
      <c r="A113" s="240" t="str">
        <f ca="1">IF(INDIRECT("I29")="","\\","(AbilityName="""&amp;VLOOKUP(INDIRECT("I29"),Abilities,2,FALSE)&amp;""""&amp;IF(VLOOKUP(INDIRECT("I29"),Abilities,3,FALSE)="","",", ApplyToWeaponSlot=eInvSlot_"&amp;VLOOKUP(INDIRECT("I29"),Abilities,3,FALSE))&amp;"), \\")</f>
        <v>(AbilityName=" "), \\</v>
      </c>
      <c r="B113" s="234" t="s">
        <v>340</v>
      </c>
      <c r="C113" s="234"/>
      <c r="D113" s="234"/>
      <c r="E113" s="234"/>
      <c r="F113" s="234"/>
      <c r="G113" s="234"/>
      <c r="H113" s="234"/>
      <c r="I113" s="234"/>
      <c r="J113" s="234"/>
    </row>
    <row r="114" spans="1:10" x14ac:dyDescent="0.25">
      <c r="A114" s="240" t="str">
        <f ca="1">IF(INDIRECT("L29")="","\\","(AbilityName="""&amp;VLOOKUP(INDIRECT("L29"),Abilities,2,FALSE)&amp;""""&amp;IF(VLOOKUP(INDIRECT("L29"),Abilities,3,FALSE)="","",", ApplyToWeaponSlot=eInvSlot_"&amp;VLOOKUP(INDIRECT("L29"),Abilities,3,FALSE))&amp;"), \\")</f>
        <v>(AbilityName="LWD_AcidBurns", ApplyToWeaponSlot=eInvSlot_SecondaryWeapon), \\</v>
      </c>
      <c r="B114" s="234" t="s">
        <v>340</v>
      </c>
      <c r="C114" s="234"/>
      <c r="D114" s="234"/>
      <c r="E114" s="234"/>
      <c r="F114" s="234"/>
      <c r="G114" s="234"/>
      <c r="H114" s="234"/>
      <c r="I114" s="234"/>
      <c r="J114" s="234"/>
    </row>
    <row r="115" spans="1:10" x14ac:dyDescent="0.25">
      <c r="A115" s="240" t="s">
        <v>337</v>
      </c>
      <c r="B115" s="234" t="s">
        <v>340</v>
      </c>
      <c r="C115" s="234"/>
      <c r="D115" s="234"/>
      <c r="E115" s="234"/>
      <c r="F115" s="234"/>
      <c r="G115" s="234"/>
      <c r="H115" s="234"/>
      <c r="I115" s="234"/>
      <c r="J115" s="234"/>
    </row>
    <row r="116" spans="1:10" x14ac:dyDescent="0.25">
      <c r="A116" s="240"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234" t="s">
        <v>340</v>
      </c>
      <c r="C116" s="234"/>
      <c r="D116" s="234"/>
      <c r="E116" s="234"/>
      <c r="F116" s="234"/>
      <c r="G116" s="234"/>
      <c r="H116" s="234"/>
      <c r="I116" s="234"/>
      <c r="J116" s="234"/>
    </row>
    <row r="117" spans="1:10" x14ac:dyDescent="0.25">
      <c r="A117" s="240" t="s">
        <v>338</v>
      </c>
      <c r="B117" s="234" t="s">
        <v>340</v>
      </c>
      <c r="C117" s="234"/>
      <c r="D117" s="234"/>
      <c r="E117" s="234"/>
      <c r="F117" s="234"/>
      <c r="G117" s="234"/>
      <c r="H117" s="234"/>
      <c r="I117" s="234"/>
      <c r="J117" s="234"/>
    </row>
    <row r="118" spans="1:10" x14ac:dyDescent="0.25">
      <c r="A118" s="240" t="str">
        <f>";  gunnery sergeant"</f>
        <v>;  gunnery sergeant</v>
      </c>
      <c r="B118" s="234" t="s">
        <v>340</v>
      </c>
      <c r="C118" s="234"/>
      <c r="D118" s="234"/>
      <c r="E118" s="234"/>
      <c r="F118" s="234"/>
      <c r="G118" s="234"/>
      <c r="H118" s="234"/>
      <c r="I118" s="234"/>
      <c r="J118" s="234"/>
    </row>
    <row r="119" spans="1:10" x14ac:dyDescent="0.25">
      <c r="A119" s="240" t="str">
        <f ca="1">"+SoldierRanks=(  aAbilityTree=( (AbilityName="""&amp;VLOOKUP(INDIRECT("F33"),Abilities,2,FALSE)&amp;""""&amp;IF(VLOOKUP(INDIRECT("F33"),Abilities,3,FALSE)="","",", ApplyToWeaponSlot=eInvSlot_"&amp;VLOOKUP(INDIRECT("F33"),Abilities,3,FALSE))&amp;"), \\"</f>
        <v>+SoldierRanks=(  aAbilityTree=( (AbilityName=" "), \\</v>
      </c>
      <c r="B119" s="234" t="s">
        <v>340</v>
      </c>
      <c r="C119" s="234"/>
      <c r="D119" s="234"/>
      <c r="E119" s="234"/>
      <c r="F119" s="234"/>
      <c r="G119" s="234"/>
      <c r="H119" s="234"/>
      <c r="I119" s="234"/>
      <c r="J119" s="234"/>
    </row>
    <row r="120" spans="1:10" x14ac:dyDescent="0.25">
      <c r="A120" s="240" t="str">
        <f ca="1">IF(INDIRECT("I33")="","\\","(AbilityName="""&amp;VLOOKUP(INDIRECT("I33"),Abilities,2,FALSE)&amp;""""&amp;IF(VLOOKUP(INDIRECT("I33"),Abilities,3,FALSE)="","",", ApplyToWeaponSlot=eInvSlot_"&amp;VLOOKUP(INDIRECT("I33"),Abilities,3,FALSE))&amp;"), \\")</f>
        <v>(AbilityName="VolatileMix", ApplyToWeaponSlot=eInvSlot_Unknown), \\</v>
      </c>
      <c r="B120" s="234" t="s">
        <v>340</v>
      </c>
      <c r="C120" s="234"/>
      <c r="D120" s="234"/>
      <c r="E120" s="234"/>
      <c r="F120" s="234"/>
      <c r="G120" s="234"/>
      <c r="H120" s="234"/>
      <c r="I120" s="234"/>
      <c r="J120" s="234"/>
    </row>
    <row r="121" spans="1:10" x14ac:dyDescent="0.25">
      <c r="A121" s="240" t="str">
        <f ca="1">IF(INDIRECT("L33")="","\\","(AbilityName="""&amp;VLOOKUP(INDIRECT("L33"),Abilities,2,FALSE)&amp;""""&amp;IF(VLOOKUP(INDIRECT("L33"),Abilities,3,FALSE)="","",", ApplyToWeaponSlot=eInvSlot_"&amp;VLOOKUP(INDIRECT("L33"),Abilities,3,FALSE))&amp;"), \\")</f>
        <v>(AbilityName=" "), \\</v>
      </c>
      <c r="B121" s="234" t="s">
        <v>340</v>
      </c>
      <c r="C121" s="234"/>
      <c r="D121" s="234"/>
      <c r="E121" s="234"/>
      <c r="F121" s="234"/>
      <c r="G121" s="234"/>
      <c r="H121" s="234"/>
      <c r="I121" s="234"/>
      <c r="J121" s="234"/>
    </row>
    <row r="122" spans="1:10" x14ac:dyDescent="0.25">
      <c r="A122" s="240" t="s">
        <v>337</v>
      </c>
      <c r="B122" s="234" t="s">
        <v>340</v>
      </c>
      <c r="C122" s="234"/>
      <c r="D122" s="234"/>
      <c r="E122" s="234"/>
      <c r="F122" s="234"/>
      <c r="G122" s="234"/>
      <c r="H122" s="234"/>
      <c r="I122" s="234"/>
      <c r="J122" s="234"/>
    </row>
    <row r="123" spans="1:10" x14ac:dyDescent="0.25">
      <c r="A123" s="240"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234" t="s">
        <v>340</v>
      </c>
      <c r="C123" s="234"/>
      <c r="D123" s="234"/>
      <c r="E123" s="234"/>
      <c r="F123" s="234"/>
      <c r="G123" s="234"/>
      <c r="H123" s="234"/>
      <c r="I123" s="234"/>
      <c r="J123" s="234"/>
    </row>
    <row r="124" spans="1:10" x14ac:dyDescent="0.25">
      <c r="A124" s="240" t="s">
        <v>338</v>
      </c>
      <c r="B124" s="234" t="s">
        <v>340</v>
      </c>
      <c r="C124" s="234"/>
      <c r="D124" s="234"/>
      <c r="E124" s="234"/>
      <c r="F124" s="234"/>
      <c r="G124" s="234"/>
      <c r="H124" s="234"/>
      <c r="I124" s="234"/>
      <c r="J124" s="234"/>
    </row>
    <row r="125" spans="1:10" x14ac:dyDescent="0.25">
      <c r="A125" s="240" t="str">
        <f>"; master sergeant"</f>
        <v>; master sergeant</v>
      </c>
      <c r="B125" s="234" t="s">
        <v>340</v>
      </c>
      <c r="C125" s="234"/>
      <c r="D125" s="234"/>
      <c r="E125" s="234"/>
      <c r="F125" s="234"/>
      <c r="G125" s="234"/>
      <c r="H125" s="234"/>
      <c r="I125" s="234"/>
      <c r="J125" s="234"/>
    </row>
    <row r="126" spans="1:10" x14ac:dyDescent="0.25">
      <c r="A126" s="240" t="str">
        <f ca="1">"+SoldierRanks=(  aAbilityTree=( (AbilityName="""&amp;VLOOKUP(INDIRECT("F37"),Abilities,2,FALSE)&amp;""""&amp;IF(VLOOKUP(INDIRECT("F37"),Abilities,3,FALSE)="","",", ApplyToWeaponSlot=eInvSlot_"&amp;VLOOKUP(INDIRECT("F37"),Abilities,3,FALSE))&amp;"), \\"</f>
        <v>+SoldierRanks=(  aAbilityTree=( (AbilityName="LWD_MadChemist", ApplyToWeaponSlot=eInvSlot_SecondaryWeapon), \\</v>
      </c>
      <c r="B126" s="234" t="s">
        <v>340</v>
      </c>
      <c r="C126" s="234"/>
      <c r="D126" s="234"/>
      <c r="E126" s="234"/>
      <c r="F126" s="234"/>
      <c r="G126" s="234"/>
      <c r="H126" s="234"/>
      <c r="I126" s="234"/>
      <c r="J126" s="234"/>
    </row>
    <row r="127" spans="1:10" x14ac:dyDescent="0.25">
      <c r="A127" s="240" t="str">
        <f ca="1">IF(INDIRECT("I37")="","\\","(AbilityName="""&amp;VLOOKUP(INDIRECT("I37"),Abilities,2,FALSE)&amp;""""&amp;IF(VLOOKUP(INDIRECT("I37"),Abilities,3,FALSE)="","",", ApplyToWeaponSlot=eInvSlot_"&amp;VLOOKUP(INDIRECT("I37"),Abilities,3,FALSE))&amp;"), \\")</f>
        <v>(AbilityName=" "), \\</v>
      </c>
      <c r="B127" s="234" t="s">
        <v>340</v>
      </c>
      <c r="C127" s="234"/>
      <c r="D127" s="234"/>
      <c r="E127" s="234"/>
      <c r="F127" s="234"/>
      <c r="G127" s="234"/>
      <c r="H127" s="234"/>
      <c r="I127" s="234"/>
      <c r="J127" s="234"/>
    </row>
    <row r="128" spans="1:10" x14ac:dyDescent="0.25">
      <c r="A128" s="240" t="str">
        <f ca="1">IF(INDIRECT("L37")="","\\","(AbilityName="""&amp;VLOOKUP(INDIRECT("L37"),Abilities,2,FALSE)&amp;""""&amp;IF(VLOOKUP(INDIRECT("L37"),Abilities,3,FALSE)="","",", ApplyToWeaponSlot=eInvSlot_"&amp;VLOOKUP(INDIRECT("L37"),Abilities,3,FALSE))&amp;"), \\")</f>
        <v>(AbilityName="LWD_Frostlord"), \\</v>
      </c>
      <c r="B128" s="234" t="s">
        <v>340</v>
      </c>
      <c r="C128" s="234"/>
      <c r="D128" s="234"/>
      <c r="E128" s="234"/>
      <c r="F128" s="234"/>
      <c r="G128" s="234"/>
      <c r="H128" s="234"/>
      <c r="I128" s="234"/>
      <c r="J128" s="234"/>
    </row>
    <row r="129" spans="1:10" x14ac:dyDescent="0.25">
      <c r="A129" s="240" t="s">
        <v>337</v>
      </c>
      <c r="B129" s="234" t="s">
        <v>340</v>
      </c>
      <c r="C129" s="234"/>
      <c r="D129" s="234"/>
      <c r="E129" s="234"/>
      <c r="F129" s="234"/>
      <c r="G129" s="234"/>
      <c r="H129" s="234"/>
      <c r="I129" s="234"/>
      <c r="J129" s="234"/>
    </row>
    <row r="130" spans="1:10" x14ac:dyDescent="0.25">
      <c r="A130" s="240"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234" t="s">
        <v>340</v>
      </c>
      <c r="C130" s="234"/>
      <c r="D130" s="234"/>
      <c r="E130" s="234"/>
      <c r="F130" s="234"/>
      <c r="G130" s="234"/>
      <c r="H130" s="234"/>
      <c r="I130" s="234"/>
      <c r="J130" s="234"/>
    </row>
    <row r="131" spans="1:10" ht="15.75" thickBot="1" x14ac:dyDescent="0.3">
      <c r="A131" s="241" t="s">
        <v>338</v>
      </c>
      <c r="B131" s="234" t="s">
        <v>340</v>
      </c>
      <c r="C131" s="234"/>
      <c r="D131" s="234"/>
      <c r="E131" s="234"/>
      <c r="F131" s="234"/>
      <c r="G131" s="234"/>
      <c r="H131" s="234"/>
      <c r="I131" s="234"/>
      <c r="J131" s="234"/>
    </row>
  </sheetData>
  <mergeCells count="140">
    <mergeCell ref="F37:G37"/>
    <mergeCell ref="I37:J37"/>
    <mergeCell ref="L37:M37"/>
    <mergeCell ref="F38:H39"/>
    <mergeCell ref="I38:K39"/>
    <mergeCell ref="L38:N39"/>
    <mergeCell ref="F34:H35"/>
    <mergeCell ref="I34:K35"/>
    <mergeCell ref="L34:N35"/>
    <mergeCell ref="I30:K31"/>
    <mergeCell ref="L30:N31"/>
    <mergeCell ref="V30:W30"/>
    <mergeCell ref="V31:W31"/>
    <mergeCell ref="V34:W34"/>
    <mergeCell ref="V35:W35"/>
    <mergeCell ref="F36:N36"/>
    <mergeCell ref="F32:N32"/>
    <mergeCell ref="V32:W32"/>
    <mergeCell ref="F33:G33"/>
    <mergeCell ref="I33:J33"/>
    <mergeCell ref="L33:M33"/>
    <mergeCell ref="V33:W33"/>
    <mergeCell ref="F28:N28"/>
    <mergeCell ref="V28:W28"/>
    <mergeCell ref="V22:W22"/>
    <mergeCell ref="A23:E24"/>
    <mergeCell ref="V23:W23"/>
    <mergeCell ref="F24:N24"/>
    <mergeCell ref="V24:W24"/>
    <mergeCell ref="A25:E39"/>
    <mergeCell ref="F25:G25"/>
    <mergeCell ref="I25:J25"/>
    <mergeCell ref="L25:M25"/>
    <mergeCell ref="V25:W25"/>
    <mergeCell ref="A20:E22"/>
    <mergeCell ref="F20:N20"/>
    <mergeCell ref="V20:W20"/>
    <mergeCell ref="F21:G21"/>
    <mergeCell ref="I21:J21"/>
    <mergeCell ref="L21:M21"/>
    <mergeCell ref="V21:W21"/>
    <mergeCell ref="F29:G29"/>
    <mergeCell ref="I29:J29"/>
    <mergeCell ref="L29:M29"/>
    <mergeCell ref="V29:W29"/>
    <mergeCell ref="F30:H31"/>
    <mergeCell ref="I18:K19"/>
    <mergeCell ref="L18:N19"/>
    <mergeCell ref="V18:W18"/>
    <mergeCell ref="V19:W19"/>
    <mergeCell ref="F26:H27"/>
    <mergeCell ref="I26:K27"/>
    <mergeCell ref="L26:N27"/>
    <mergeCell ref="V26:W26"/>
    <mergeCell ref="V27:W27"/>
    <mergeCell ref="V16:W16"/>
    <mergeCell ref="F17:G17"/>
    <mergeCell ref="I17:J17"/>
    <mergeCell ref="L17:M17"/>
    <mergeCell ref="V17:W17"/>
    <mergeCell ref="X13:Y13"/>
    <mergeCell ref="F14:H15"/>
    <mergeCell ref="I14:K15"/>
    <mergeCell ref="L14:N15"/>
    <mergeCell ref="V14:W14"/>
    <mergeCell ref="X14:Y14"/>
    <mergeCell ref="V15:W15"/>
    <mergeCell ref="V11:W11"/>
    <mergeCell ref="X11:Y11"/>
    <mergeCell ref="C10:D10"/>
    <mergeCell ref="F10:H10"/>
    <mergeCell ref="I10:K10"/>
    <mergeCell ref="L10:N10"/>
    <mergeCell ref="V10:W10"/>
    <mergeCell ref="X10:Y10"/>
    <mergeCell ref="C12:D12"/>
    <mergeCell ref="F12:N12"/>
    <mergeCell ref="O12:U13"/>
    <mergeCell ref="V12:W12"/>
    <mergeCell ref="X12:Y12"/>
    <mergeCell ref="C13:D13"/>
    <mergeCell ref="F13:G13"/>
    <mergeCell ref="I13:J13"/>
    <mergeCell ref="L13:M13"/>
    <mergeCell ref="V13:W13"/>
    <mergeCell ref="V7:W7"/>
    <mergeCell ref="X7:Y7"/>
    <mergeCell ref="C8:D8"/>
    <mergeCell ref="F8:H9"/>
    <mergeCell ref="I8:K9"/>
    <mergeCell ref="L8:N9"/>
    <mergeCell ref="V8:W8"/>
    <mergeCell ref="X8:Y8"/>
    <mergeCell ref="C9:D9"/>
    <mergeCell ref="V9:W9"/>
    <mergeCell ref="X9:Y9"/>
    <mergeCell ref="O1:U2"/>
    <mergeCell ref="V1:Y2"/>
    <mergeCell ref="A3:B3"/>
    <mergeCell ref="C3:E3"/>
    <mergeCell ref="F3:N3"/>
    <mergeCell ref="V3:W3"/>
    <mergeCell ref="X3:Y3"/>
    <mergeCell ref="X4:Y4"/>
    <mergeCell ref="F5:H6"/>
    <mergeCell ref="I5:K6"/>
    <mergeCell ref="L5:N6"/>
    <mergeCell ref="V5:W5"/>
    <mergeCell ref="X5:Y5"/>
    <mergeCell ref="A4:B4"/>
    <mergeCell ref="C4:E5"/>
    <mergeCell ref="F4:G4"/>
    <mergeCell ref="I4:J4"/>
    <mergeCell ref="L4:M4"/>
    <mergeCell ref="V4:W4"/>
    <mergeCell ref="C6:D6"/>
    <mergeCell ref="V6:W6"/>
    <mergeCell ref="X6:Y6"/>
    <mergeCell ref="A40:B41"/>
    <mergeCell ref="C40:E41"/>
    <mergeCell ref="A42:B42"/>
    <mergeCell ref="C42:D42"/>
    <mergeCell ref="E42:F42"/>
    <mergeCell ref="A1:B2"/>
    <mergeCell ref="C1:E2"/>
    <mergeCell ref="F1:N2"/>
    <mergeCell ref="C7:D7"/>
    <mergeCell ref="F7:G7"/>
    <mergeCell ref="I7:J7"/>
    <mergeCell ref="L7:M7"/>
    <mergeCell ref="C11:D11"/>
    <mergeCell ref="F11:H11"/>
    <mergeCell ref="I11:K11"/>
    <mergeCell ref="L11:N11"/>
    <mergeCell ref="F16:N16"/>
    <mergeCell ref="F22:H23"/>
    <mergeCell ref="I22:K23"/>
    <mergeCell ref="L22:N23"/>
    <mergeCell ref="A18:B19"/>
    <mergeCell ref="F18:H19"/>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83297"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83298"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83299"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83300"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83301"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83302"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83303"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83304"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83305"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83306"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83307"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83308"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83309"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8">
        <x14:dataValidation type="list" allowBlank="1" showInputMessage="1" showErrorMessage="1">
          <x14:formula1>
            <xm:f>Abilities!$A:$A</xm:f>
          </x14:formula1>
          <xm:sqref>I13 L17 F17 I21 L25 F25 I29 L33 F33 I37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F4</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90" t="s">
        <v>308</v>
      </c>
      <c r="B1" s="91"/>
      <c r="C1" s="94" t="s">
        <v>304</v>
      </c>
      <c r="D1" s="95"/>
      <c r="E1" s="95"/>
      <c r="F1" s="98" t="s">
        <v>324</v>
      </c>
      <c r="G1" s="99"/>
      <c r="H1" s="99"/>
      <c r="I1" s="99"/>
      <c r="J1" s="99"/>
      <c r="K1" s="99"/>
      <c r="L1" s="99"/>
      <c r="M1" s="99"/>
      <c r="N1" s="99"/>
      <c r="O1" s="100" t="s">
        <v>325</v>
      </c>
      <c r="P1" s="101"/>
      <c r="Q1" s="101"/>
      <c r="R1" s="101"/>
      <c r="S1" s="101"/>
      <c r="T1" s="101"/>
      <c r="U1" s="102"/>
      <c r="V1" s="196" t="s">
        <v>776</v>
      </c>
      <c r="W1" s="197"/>
      <c r="X1" s="197"/>
      <c r="Y1" s="197"/>
    </row>
    <row r="2" spans="1:25" ht="15" customHeight="1" thickBot="1" x14ac:dyDescent="0.3">
      <c r="A2" s="92"/>
      <c r="B2" s="93"/>
      <c r="C2" s="96"/>
      <c r="D2" s="97"/>
      <c r="E2" s="97"/>
      <c r="F2" s="98"/>
      <c r="G2" s="99"/>
      <c r="H2" s="99"/>
      <c r="I2" s="99"/>
      <c r="J2" s="99"/>
      <c r="K2" s="99"/>
      <c r="L2" s="99"/>
      <c r="M2" s="99"/>
      <c r="N2" s="99"/>
      <c r="O2" s="103"/>
      <c r="P2" s="104"/>
      <c r="Q2" s="104"/>
      <c r="R2" s="104"/>
      <c r="S2" s="104"/>
      <c r="T2" s="104"/>
      <c r="U2" s="105"/>
      <c r="V2" s="198"/>
      <c r="W2" s="199"/>
      <c r="X2" s="199"/>
      <c r="Y2" s="199"/>
    </row>
    <row r="3" spans="1:25" ht="18" thickBot="1" x14ac:dyDescent="0.35">
      <c r="A3" s="106" t="s">
        <v>309</v>
      </c>
      <c r="B3" s="107"/>
      <c r="C3" s="108" t="str">
        <f>Output!$L$1&amp;SUBSTITUTE(C1," ","")</f>
        <v>LWD_CombatEngineer</v>
      </c>
      <c r="D3" s="109"/>
      <c r="E3" s="109"/>
      <c r="F3" s="110" t="s">
        <v>12</v>
      </c>
      <c r="G3" s="111"/>
      <c r="H3" s="111"/>
      <c r="I3" s="111"/>
      <c r="J3" s="111"/>
      <c r="K3" s="111"/>
      <c r="L3" s="111"/>
      <c r="M3" s="111"/>
      <c r="N3" s="112"/>
      <c r="O3" s="15"/>
      <c r="P3" s="16" t="s">
        <v>79</v>
      </c>
      <c r="Q3" s="17" t="s">
        <v>326</v>
      </c>
      <c r="R3" s="17" t="s">
        <v>328</v>
      </c>
      <c r="S3" s="17" t="s">
        <v>327</v>
      </c>
      <c r="T3" s="17" t="s">
        <v>330</v>
      </c>
      <c r="U3" s="18" t="s">
        <v>329</v>
      </c>
      <c r="V3" s="200" t="s">
        <v>810</v>
      </c>
      <c r="W3" s="201"/>
      <c r="X3" s="200" t="s">
        <v>811</v>
      </c>
      <c r="Y3" s="201"/>
    </row>
    <row r="4" spans="1:25" ht="18" thickTop="1" x14ac:dyDescent="0.3">
      <c r="A4" s="113" t="s">
        <v>310</v>
      </c>
      <c r="B4" s="114"/>
      <c r="C4" s="115" t="s">
        <v>314</v>
      </c>
      <c r="D4" s="116"/>
      <c r="E4" s="116"/>
      <c r="F4" s="119" t="s">
        <v>440</v>
      </c>
      <c r="G4" s="120"/>
      <c r="H4" s="4" t="str">
        <f>IFERROR(VLOOKUP(F4,Abilities,4,FALSE),"")</f>
        <v>LW2</v>
      </c>
      <c r="I4" s="121" t="s">
        <v>131</v>
      </c>
      <c r="J4" s="120"/>
      <c r="K4" s="35" t="str">
        <f>IFERROR(VLOOKUP(I4,Abilities,4,FALSE),"")</f>
        <v>XCOM2</v>
      </c>
      <c r="L4" s="122" t="s">
        <v>593</v>
      </c>
      <c r="M4" s="120"/>
      <c r="N4" s="10" t="str">
        <f>IFERROR(VLOOKUP(L4,Abilities,4,FALSE),"")</f>
        <v>SOLW</v>
      </c>
      <c r="O4" s="19" t="s">
        <v>12</v>
      </c>
      <c r="P4" s="4">
        <v>2</v>
      </c>
      <c r="Q4" s="20">
        <v>0</v>
      </c>
      <c r="R4" s="20"/>
      <c r="S4" s="4">
        <v>40</v>
      </c>
      <c r="T4" s="4">
        <v>1</v>
      </c>
      <c r="U4" s="10"/>
      <c r="V4" s="192" t="s">
        <v>1183</v>
      </c>
      <c r="W4" s="193"/>
      <c r="X4" s="192" t="s">
        <v>828</v>
      </c>
      <c r="Y4" s="193"/>
    </row>
    <row r="5" spans="1:25" ht="15" customHeight="1" x14ac:dyDescent="0.25">
      <c r="A5" s="6"/>
      <c r="B5" s="5" t="b">
        <v>1</v>
      </c>
      <c r="C5" s="117"/>
      <c r="D5" s="118"/>
      <c r="E5" s="118"/>
      <c r="F5" s="123">
        <f>IFERROR(VLOOKUP(F4,Abilities,7,FALSE),"")</f>
        <v>0</v>
      </c>
      <c r="G5" s="124"/>
      <c r="H5" s="125"/>
      <c r="I5" s="129" t="str">
        <f>IFERROR(VLOOKUP(I4,Abilities,7,FALSE),"")</f>
        <v>Send the GREMLIN to an enemy to jolt them, dealing guaranteed damage, which is increased against robotic enemies. Twice per mission.</v>
      </c>
      <c r="J5" s="130"/>
      <c r="K5" s="131"/>
      <c r="L5" s="130" t="str">
        <f>IFERROR(VLOOKUP(L4,Abilities,7,FALSE),"")</f>
        <v>Give a friendly unit an energy shield which will absorb &lt;Ability:Shield/&gt; points of damage. The shield lasts until the end of the mission or until it is destroyed, and also grants poison immunity.</v>
      </c>
      <c r="M5" s="130"/>
      <c r="N5" s="135"/>
      <c r="O5" s="26" t="s">
        <v>456</v>
      </c>
      <c r="P5" s="27">
        <v>2</v>
      </c>
      <c r="Q5" s="28">
        <v>1</v>
      </c>
      <c r="R5" s="28"/>
      <c r="S5" s="27">
        <v>5</v>
      </c>
      <c r="T5" s="27"/>
      <c r="U5" s="29"/>
      <c r="V5" s="190" t="s">
        <v>821</v>
      </c>
      <c r="W5" s="191"/>
      <c r="X5" s="190" t="s">
        <v>802</v>
      </c>
      <c r="Y5" s="191"/>
    </row>
    <row r="6" spans="1:25" ht="15" customHeight="1" x14ac:dyDescent="0.25">
      <c r="A6" s="6"/>
      <c r="B6" s="5" t="b">
        <v>0</v>
      </c>
      <c r="C6" s="137" t="s">
        <v>315</v>
      </c>
      <c r="D6" s="138"/>
      <c r="E6" s="11">
        <v>0</v>
      </c>
      <c r="F6" s="126"/>
      <c r="G6" s="127"/>
      <c r="H6" s="128"/>
      <c r="I6" s="132"/>
      <c r="J6" s="133"/>
      <c r="K6" s="134"/>
      <c r="L6" s="133"/>
      <c r="M6" s="133"/>
      <c r="N6" s="136"/>
      <c r="O6" s="19" t="s">
        <v>15</v>
      </c>
      <c r="P6" s="4">
        <v>2</v>
      </c>
      <c r="Q6" s="20">
        <v>0</v>
      </c>
      <c r="R6" s="20"/>
      <c r="S6" s="4">
        <v>5</v>
      </c>
      <c r="T6" s="4"/>
      <c r="U6" s="10"/>
      <c r="V6" s="192" t="s">
        <v>778</v>
      </c>
      <c r="W6" s="193"/>
      <c r="X6" s="192" t="s">
        <v>803</v>
      </c>
      <c r="Y6" s="193"/>
    </row>
    <row r="7" spans="1:25" ht="15" customHeight="1" x14ac:dyDescent="0.25">
      <c r="A7" s="6"/>
      <c r="B7" s="5" t="b">
        <v>0</v>
      </c>
      <c r="C7" s="137" t="s">
        <v>316</v>
      </c>
      <c r="D7" s="138"/>
      <c r="E7" s="11">
        <v>4</v>
      </c>
      <c r="F7" s="139"/>
      <c r="G7" s="140"/>
      <c r="H7" s="4" t="str">
        <f>IFERROR(VLOOKUP(F7,Abilities,4,FALSE),"")</f>
        <v/>
      </c>
      <c r="I7" s="141"/>
      <c r="J7" s="140"/>
      <c r="K7" s="4" t="str">
        <f>IFERROR(VLOOKUP(I7,Abilities,4,FALSE),"")</f>
        <v/>
      </c>
      <c r="L7" s="142"/>
      <c r="M7" s="140"/>
      <c r="N7" s="10" t="str">
        <f>IFERROR(VLOOKUP(L7,Abilities,4,FALSE),"")</f>
        <v/>
      </c>
      <c r="O7" s="26" t="s">
        <v>21</v>
      </c>
      <c r="P7" s="27">
        <v>2</v>
      </c>
      <c r="Q7" s="28">
        <v>0</v>
      </c>
      <c r="R7" s="28"/>
      <c r="S7" s="27">
        <v>5</v>
      </c>
      <c r="T7" s="27"/>
      <c r="U7" s="29"/>
      <c r="V7" s="190" t="s">
        <v>779</v>
      </c>
      <c r="W7" s="191"/>
      <c r="X7" s="190" t="s">
        <v>804</v>
      </c>
      <c r="Y7" s="191"/>
    </row>
    <row r="8" spans="1:25" ht="15" customHeight="1" thickBot="1" x14ac:dyDescent="0.3">
      <c r="A8" s="6"/>
      <c r="B8" s="5" t="b">
        <v>0</v>
      </c>
      <c r="C8" s="137" t="s">
        <v>317</v>
      </c>
      <c r="D8" s="143"/>
      <c r="E8" s="12" t="s">
        <v>634</v>
      </c>
      <c r="F8" s="144" t="str">
        <f>IFERROR(VLOOKUP(F7,Abilities,7,FALSE),"")</f>
        <v/>
      </c>
      <c r="G8" s="130"/>
      <c r="H8" s="131"/>
      <c r="I8" s="129" t="str">
        <f>IFERROR(VLOOKUP(I7,Abilities,7,FALSE),"")</f>
        <v/>
      </c>
      <c r="J8" s="130"/>
      <c r="K8" s="131"/>
      <c r="L8" s="130" t="str">
        <f>IFERROR(VLOOKUP(L7,Abilities,7,FALSE),"")</f>
        <v/>
      </c>
      <c r="M8" s="130"/>
      <c r="N8" s="135"/>
      <c r="O8" s="21" t="s">
        <v>457</v>
      </c>
      <c r="P8" s="4">
        <v>2</v>
      </c>
      <c r="Q8" s="20">
        <v>1</v>
      </c>
      <c r="R8" s="20"/>
      <c r="S8" s="4">
        <v>5</v>
      </c>
      <c r="T8" s="4"/>
      <c r="U8" s="10"/>
      <c r="V8" s="192" t="s">
        <v>909</v>
      </c>
      <c r="W8" s="193"/>
      <c r="X8" s="194" t="s">
        <v>805</v>
      </c>
      <c r="Y8" s="195"/>
    </row>
    <row r="9" spans="1:25" ht="15.75" thickBot="1" x14ac:dyDescent="0.3">
      <c r="A9" s="6"/>
      <c r="B9" s="5" t="b">
        <v>0</v>
      </c>
      <c r="C9" s="137" t="s">
        <v>319</v>
      </c>
      <c r="D9" s="143"/>
      <c r="E9" s="12">
        <v>1</v>
      </c>
      <c r="F9" s="145"/>
      <c r="G9" s="133"/>
      <c r="H9" s="134"/>
      <c r="I9" s="146"/>
      <c r="J9" s="147"/>
      <c r="K9" s="148"/>
      <c r="L9" s="133"/>
      <c r="M9" s="133"/>
      <c r="N9" s="136"/>
      <c r="O9" s="26" t="s">
        <v>458</v>
      </c>
      <c r="P9" s="27">
        <v>2</v>
      </c>
      <c r="Q9" s="28">
        <v>0</v>
      </c>
      <c r="R9" s="28"/>
      <c r="S9" s="27">
        <v>5</v>
      </c>
      <c r="T9" s="27"/>
      <c r="U9" s="29"/>
      <c r="V9" s="190" t="s">
        <v>781</v>
      </c>
      <c r="W9" s="191"/>
      <c r="X9" s="200" t="s">
        <v>812</v>
      </c>
      <c r="Y9" s="201"/>
    </row>
    <row r="10" spans="1:25" ht="18.75" x14ac:dyDescent="0.3">
      <c r="A10" s="6"/>
      <c r="B10" s="5" t="b">
        <v>0</v>
      </c>
      <c r="C10" s="137" t="s">
        <v>318</v>
      </c>
      <c r="D10" s="143"/>
      <c r="E10" s="12">
        <v>4</v>
      </c>
      <c r="F10" s="157" t="s">
        <v>311</v>
      </c>
      <c r="G10" s="158"/>
      <c r="H10" s="159"/>
      <c r="I10" s="160" t="s">
        <v>349</v>
      </c>
      <c r="J10" s="158"/>
      <c r="K10" s="159"/>
      <c r="L10" s="158" t="s">
        <v>312</v>
      </c>
      <c r="M10" s="158"/>
      <c r="N10" s="161"/>
      <c r="O10" s="36" t="s">
        <v>459</v>
      </c>
      <c r="P10" s="37">
        <v>2</v>
      </c>
      <c r="Q10" s="37">
        <v>0</v>
      </c>
      <c r="R10" s="37"/>
      <c r="S10" s="37">
        <v>5</v>
      </c>
      <c r="T10" s="37"/>
      <c r="U10" s="38"/>
      <c r="V10" s="192" t="s">
        <v>782</v>
      </c>
      <c r="W10" s="193"/>
      <c r="X10" s="192" t="s">
        <v>806</v>
      </c>
      <c r="Y10" s="193"/>
    </row>
    <row r="11" spans="1:25" ht="15.75" customHeight="1" thickBot="1" x14ac:dyDescent="0.3">
      <c r="A11" s="6"/>
      <c r="B11" s="5" t="b">
        <v>0</v>
      </c>
      <c r="C11" s="137" t="s">
        <v>320</v>
      </c>
      <c r="D11" s="143"/>
      <c r="E11" s="12">
        <v>4</v>
      </c>
      <c r="F11" s="162" t="s">
        <v>912</v>
      </c>
      <c r="G11" s="163"/>
      <c r="H11" s="164"/>
      <c r="I11" s="165"/>
      <c r="J11" s="163"/>
      <c r="K11" s="164"/>
      <c r="L11" s="163" t="s">
        <v>747</v>
      </c>
      <c r="M11" s="163"/>
      <c r="N11" s="166"/>
      <c r="O11" s="39" t="s">
        <v>460</v>
      </c>
      <c r="P11" s="40">
        <v>2</v>
      </c>
      <c r="Q11" s="41">
        <v>1</v>
      </c>
      <c r="R11" s="41"/>
      <c r="S11" s="40">
        <v>5</v>
      </c>
      <c r="T11" s="40"/>
      <c r="U11" s="42"/>
      <c r="V11" s="190" t="s">
        <v>824</v>
      </c>
      <c r="W11" s="191"/>
      <c r="X11" s="190" t="s">
        <v>807</v>
      </c>
      <c r="Y11" s="191"/>
    </row>
    <row r="12" spans="1:25" ht="18" customHeight="1" thickBot="1" x14ac:dyDescent="0.35">
      <c r="A12" s="6"/>
      <c r="B12" s="5" t="b">
        <v>1</v>
      </c>
      <c r="C12" s="137" t="s">
        <v>321</v>
      </c>
      <c r="D12" s="143"/>
      <c r="E12" s="12">
        <v>1</v>
      </c>
      <c r="F12" s="169" t="s">
        <v>443</v>
      </c>
      <c r="G12" s="170"/>
      <c r="H12" s="170"/>
      <c r="I12" s="170"/>
      <c r="J12" s="170"/>
      <c r="K12" s="170"/>
      <c r="L12" s="170"/>
      <c r="M12" s="170"/>
      <c r="N12" s="171"/>
      <c r="O12" s="149" t="s">
        <v>813</v>
      </c>
      <c r="P12" s="150"/>
      <c r="Q12" s="150"/>
      <c r="R12" s="150"/>
      <c r="S12" s="150"/>
      <c r="T12" s="150"/>
      <c r="U12" s="151"/>
      <c r="V12" s="192" t="s">
        <v>783</v>
      </c>
      <c r="W12" s="193"/>
      <c r="X12" s="192" t="s">
        <v>808</v>
      </c>
      <c r="Y12" s="193"/>
    </row>
    <row r="13" spans="1:25" ht="16.5" thickTop="1" thickBot="1" x14ac:dyDescent="0.3">
      <c r="A13" s="6"/>
      <c r="B13" s="5" t="b">
        <v>0</v>
      </c>
      <c r="C13" s="155" t="s">
        <v>322</v>
      </c>
      <c r="D13" s="156"/>
      <c r="E13" s="13" t="s">
        <v>323</v>
      </c>
      <c r="F13" s="119" t="s">
        <v>124</v>
      </c>
      <c r="G13" s="120"/>
      <c r="H13" s="4" t="str">
        <f>IFERROR(VLOOKUP(F13,Abilities,4,FALSE),"")</f>
        <v>XCOM2</v>
      </c>
      <c r="I13" s="121" t="s">
        <v>962</v>
      </c>
      <c r="J13" s="120"/>
      <c r="K13" s="35" t="str">
        <f>IFERROR(VLOOKUP(I13,Abilities,4,FALSE),"")</f>
        <v>BLANK</v>
      </c>
      <c r="L13" s="122" t="s">
        <v>1072</v>
      </c>
      <c r="M13" s="120"/>
      <c r="N13" s="10" t="str">
        <f>IFERROR(VLOOKUP(L13,Abilities,4,FALSE),"")</f>
        <v>LWD</v>
      </c>
      <c r="O13" s="152"/>
      <c r="P13" s="153"/>
      <c r="Q13" s="153"/>
      <c r="R13" s="153"/>
      <c r="S13" s="153"/>
      <c r="T13" s="153"/>
      <c r="U13" s="154"/>
      <c r="V13" s="190" t="s">
        <v>818</v>
      </c>
      <c r="W13" s="191"/>
      <c r="X13" s="190" t="s">
        <v>809</v>
      </c>
      <c r="Y13" s="191"/>
    </row>
    <row r="14" spans="1:25" ht="15.75" thickBot="1" x14ac:dyDescent="0.3">
      <c r="A14" s="6"/>
      <c r="B14" s="7" t="b">
        <v>0</v>
      </c>
      <c r="F14" s="144" t="str">
        <f>IFERROR(VLOOKUP(F13,Abilities,7,FALSE),"")</f>
        <v>Give +20 defense to an ally.</v>
      </c>
      <c r="G14" s="130"/>
      <c r="H14" s="131"/>
      <c r="I14" s="129" t="str">
        <f>IFERROR(VLOOKUP(I13,Abilities,7,FALSE),"")</f>
        <v xml:space="preserve"> </v>
      </c>
      <c r="J14" s="130"/>
      <c r="K14" s="131"/>
      <c r="L14" s="130" t="str">
        <f>IFERROR(VLOOKUP(L13,Abilities,7,FALSE),"")</f>
        <v>Your GREMLIN assists an ally, increasing their Aim.</v>
      </c>
      <c r="M14" s="130"/>
      <c r="N14" s="135"/>
      <c r="O14" s="22"/>
      <c r="P14" s="23" t="s">
        <v>331</v>
      </c>
      <c r="Q14" s="24" t="s">
        <v>332</v>
      </c>
      <c r="R14" s="24" t="s">
        <v>333</v>
      </c>
      <c r="S14" s="24" t="s">
        <v>334</v>
      </c>
      <c r="T14" s="24" t="s">
        <v>336</v>
      </c>
      <c r="U14" s="25" t="s">
        <v>335</v>
      </c>
      <c r="V14" s="192" t="s">
        <v>1184</v>
      </c>
      <c r="W14" s="193"/>
      <c r="X14" s="194" t="s">
        <v>814</v>
      </c>
      <c r="Y14" s="195"/>
    </row>
    <row r="15" spans="1:25" ht="15.75" thickBot="1" x14ac:dyDescent="0.3">
      <c r="A15" s="6"/>
      <c r="B15" s="7" t="b">
        <v>0</v>
      </c>
      <c r="F15" s="167"/>
      <c r="G15" s="147"/>
      <c r="H15" s="148"/>
      <c r="I15" s="146"/>
      <c r="J15" s="147"/>
      <c r="K15" s="148"/>
      <c r="L15" s="147"/>
      <c r="M15" s="147"/>
      <c r="N15" s="168"/>
      <c r="O15" s="19" t="s">
        <v>12</v>
      </c>
      <c r="P15" s="4"/>
      <c r="Q15" s="20">
        <v>5</v>
      </c>
      <c r="R15" s="20"/>
      <c r="S15" s="4"/>
      <c r="T15" s="4"/>
      <c r="U15" s="10"/>
      <c r="V15" s="190" t="s">
        <v>823</v>
      </c>
      <c r="W15" s="191"/>
    </row>
    <row r="16" spans="1:25" ht="18" thickBot="1" x14ac:dyDescent="0.35">
      <c r="A16" s="6"/>
      <c r="B16" s="7" t="b">
        <v>0</v>
      </c>
      <c r="F16" s="169" t="s">
        <v>15</v>
      </c>
      <c r="G16" s="170"/>
      <c r="H16" s="170"/>
      <c r="I16" s="170"/>
      <c r="J16" s="170"/>
      <c r="K16" s="170"/>
      <c r="L16" s="170"/>
      <c r="M16" s="170"/>
      <c r="N16" s="171"/>
      <c r="O16" s="26" t="s">
        <v>456</v>
      </c>
      <c r="P16" s="27"/>
      <c r="Q16" s="28">
        <v>5</v>
      </c>
      <c r="R16" s="28"/>
      <c r="S16" s="27"/>
      <c r="T16" s="27"/>
      <c r="U16" s="29"/>
      <c r="V16" s="192" t="s">
        <v>786</v>
      </c>
      <c r="W16" s="193"/>
    </row>
    <row r="17" spans="1:23" ht="16.5" thickTop="1" thickBot="1" x14ac:dyDescent="0.3">
      <c r="A17" s="8"/>
      <c r="B17" s="9" t="b">
        <v>0</v>
      </c>
      <c r="F17" s="121" t="s">
        <v>962</v>
      </c>
      <c r="G17" s="120"/>
      <c r="H17" s="4" t="str">
        <f>IFERROR(VLOOKUP(F17,Abilities,4,FALSE),"")</f>
        <v>BLANK</v>
      </c>
      <c r="I17" s="121" t="s">
        <v>1069</v>
      </c>
      <c r="J17" s="120"/>
      <c r="K17" s="35" t="str">
        <f>IFERROR(VLOOKUP(I17,Abilities,4,FALSE),"")</f>
        <v>LWD</v>
      </c>
      <c r="L17" s="121" t="s">
        <v>962</v>
      </c>
      <c r="M17" s="120"/>
      <c r="N17" s="10" t="str">
        <f>IFERROR(VLOOKUP(L17,Abilities,4,FALSE),"")</f>
        <v>BLANK</v>
      </c>
      <c r="O17" s="19" t="s">
        <v>15</v>
      </c>
      <c r="P17" s="4"/>
      <c r="Q17" s="20"/>
      <c r="R17" s="20"/>
      <c r="S17" s="4"/>
      <c r="T17" s="4"/>
      <c r="U17" s="10"/>
      <c r="V17" s="190" t="s">
        <v>1185</v>
      </c>
      <c r="W17" s="191"/>
    </row>
    <row r="18" spans="1:23" x14ac:dyDescent="0.25">
      <c r="A18" s="172" t="s">
        <v>344</v>
      </c>
      <c r="B18" s="173"/>
      <c r="F18" s="144" t="str">
        <f>IFERROR(VLOOKUP(F17,Abilities,7,FALSE),"")</f>
        <v xml:space="preserve"> </v>
      </c>
      <c r="G18" s="130"/>
      <c r="H18" s="131"/>
      <c r="I18" s="129" t="str">
        <f>IFERROR(VLOOKUP(I17,Abilities,7,FALSE),"")</f>
        <v>Your first GREMLIN ability each turn doesn't cost an action.</v>
      </c>
      <c r="J18" s="130"/>
      <c r="K18" s="131"/>
      <c r="L18" s="130" t="str">
        <f>IFERROR(VLOOKUP(L17,Abilities,7,FALSE),"")</f>
        <v xml:space="preserve"> </v>
      </c>
      <c r="M18" s="130"/>
      <c r="N18" s="135"/>
      <c r="O18" s="26" t="s">
        <v>21</v>
      </c>
      <c r="P18" s="27"/>
      <c r="Q18" s="28"/>
      <c r="R18" s="28"/>
      <c r="S18" s="27"/>
      <c r="T18" s="27"/>
      <c r="U18" s="29"/>
      <c r="V18" s="192" t="s">
        <v>1186</v>
      </c>
      <c r="W18" s="193"/>
    </row>
    <row r="19" spans="1:23" ht="15.75" thickBot="1" x14ac:dyDescent="0.3">
      <c r="A19" s="174"/>
      <c r="B19" s="175"/>
      <c r="D19" s="3"/>
      <c r="F19" s="167"/>
      <c r="G19" s="147"/>
      <c r="H19" s="148"/>
      <c r="I19" s="146"/>
      <c r="J19" s="147"/>
      <c r="K19" s="148"/>
      <c r="L19" s="147"/>
      <c r="M19" s="147"/>
      <c r="N19" s="168"/>
      <c r="O19" s="21" t="s">
        <v>457</v>
      </c>
      <c r="P19" s="4"/>
      <c r="Q19" s="20"/>
      <c r="R19" s="20"/>
      <c r="S19" s="4"/>
      <c r="T19" s="4"/>
      <c r="U19" s="10"/>
      <c r="V19" s="190" t="s">
        <v>1187</v>
      </c>
      <c r="W19" s="191"/>
    </row>
    <row r="20" spans="1:23" ht="18" thickBot="1" x14ac:dyDescent="0.35">
      <c r="A20" s="176" t="s">
        <v>965</v>
      </c>
      <c r="B20" s="177"/>
      <c r="C20" s="178"/>
      <c r="D20" s="178"/>
      <c r="E20" s="179"/>
      <c r="F20" s="169" t="s">
        <v>21</v>
      </c>
      <c r="G20" s="170"/>
      <c r="H20" s="170"/>
      <c r="I20" s="170"/>
      <c r="J20" s="170"/>
      <c r="K20" s="170"/>
      <c r="L20" s="170"/>
      <c r="M20" s="170"/>
      <c r="N20" s="171"/>
      <c r="O20" s="26" t="s">
        <v>458</v>
      </c>
      <c r="P20" s="27"/>
      <c r="Q20" s="28"/>
      <c r="R20" s="28"/>
      <c r="S20" s="27"/>
      <c r="T20" s="27"/>
      <c r="U20" s="29"/>
      <c r="V20" s="192" t="s">
        <v>1188</v>
      </c>
      <c r="W20" s="193"/>
    </row>
    <row r="21" spans="1:23" ht="15.75" thickTop="1" x14ac:dyDescent="0.25">
      <c r="A21" s="176"/>
      <c r="B21" s="177"/>
      <c r="C21" s="177"/>
      <c r="D21" s="177"/>
      <c r="E21" s="180"/>
      <c r="F21" s="119" t="s">
        <v>583</v>
      </c>
      <c r="G21" s="120"/>
      <c r="H21" s="4" t="str">
        <f>IFERROR(VLOOKUP(F21,Abilities,4,FALSE),"")</f>
        <v>SOLW</v>
      </c>
      <c r="I21" s="121" t="s">
        <v>962</v>
      </c>
      <c r="J21" s="120"/>
      <c r="K21" s="35" t="str">
        <f>IFERROR(VLOOKUP(I21,Abilities,4,FALSE),"")</f>
        <v>BLANK</v>
      </c>
      <c r="L21" s="122" t="s">
        <v>274</v>
      </c>
      <c r="M21" s="120"/>
      <c r="N21" s="10" t="str">
        <f>IFERROR(VLOOKUP(L21,Abilities,4,FALSE),"")</f>
        <v>LW2</v>
      </c>
      <c r="O21" s="36" t="s">
        <v>459</v>
      </c>
      <c r="P21" s="37"/>
      <c r="Q21" s="37"/>
      <c r="R21" s="37"/>
      <c r="S21" s="37"/>
      <c r="T21" s="37"/>
      <c r="U21" s="38"/>
      <c r="V21" s="190" t="s">
        <v>734</v>
      </c>
      <c r="W21" s="191"/>
    </row>
    <row r="22" spans="1:23" ht="15.75" thickBot="1" x14ac:dyDescent="0.3">
      <c r="A22" s="181"/>
      <c r="B22" s="182"/>
      <c r="C22" s="182"/>
      <c r="D22" s="182"/>
      <c r="E22" s="183"/>
      <c r="F22" s="144" t="str">
        <f>IFERROR(VLOOKUP(F21,Abilities,7,FALSE),"")</f>
        <v>There is a chance of an extra loot drop whenever you are on a mission.</v>
      </c>
      <c r="G22" s="130"/>
      <c r="H22" s="131"/>
      <c r="I22" s="129" t="str">
        <f>IFERROR(VLOOKUP(I21,Abilities,7,FALSE),"")</f>
        <v xml:space="preserve"> </v>
      </c>
      <c r="J22" s="130"/>
      <c r="K22" s="131"/>
      <c r="L22" s="130">
        <f>IFERROR(VLOOKUP(L21,Abilities,7,FALSE),"")</f>
        <v>0</v>
      </c>
      <c r="M22" s="130"/>
      <c r="N22" s="135"/>
      <c r="O22" s="39" t="s">
        <v>460</v>
      </c>
      <c r="P22" s="40"/>
      <c r="Q22" s="41"/>
      <c r="R22" s="41"/>
      <c r="S22" s="40"/>
      <c r="T22" s="40"/>
      <c r="U22" s="42"/>
      <c r="V22" s="192" t="s">
        <v>1189</v>
      </c>
      <c r="W22" s="193"/>
    </row>
    <row r="23" spans="1:23" ht="15.75" thickBot="1" x14ac:dyDescent="0.3">
      <c r="A23" s="184" t="s">
        <v>352</v>
      </c>
      <c r="B23" s="185"/>
      <c r="C23" s="185"/>
      <c r="D23" s="185"/>
      <c r="E23" s="186"/>
      <c r="F23" s="167"/>
      <c r="G23" s="147"/>
      <c r="H23" s="148"/>
      <c r="I23" s="146"/>
      <c r="J23" s="147"/>
      <c r="K23" s="148"/>
      <c r="L23" s="147"/>
      <c r="M23" s="147"/>
      <c r="N23" s="168"/>
      <c r="O23" s="14"/>
      <c r="P23" s="14"/>
      <c r="Q23" s="3"/>
      <c r="V23" s="190" t="s">
        <v>793</v>
      </c>
      <c r="W23" s="191"/>
    </row>
    <row r="24" spans="1:23" ht="18" thickBot="1" x14ac:dyDescent="0.35">
      <c r="A24" s="187"/>
      <c r="B24" s="188"/>
      <c r="C24" s="188"/>
      <c r="D24" s="188"/>
      <c r="E24" s="189"/>
      <c r="F24" s="169" t="s">
        <v>444</v>
      </c>
      <c r="G24" s="170"/>
      <c r="H24" s="170"/>
      <c r="I24" s="170"/>
      <c r="J24" s="170"/>
      <c r="K24" s="170"/>
      <c r="L24" s="170"/>
      <c r="M24" s="170"/>
      <c r="N24" s="171"/>
      <c r="O24" s="14"/>
      <c r="P24" s="14"/>
      <c r="Q24" s="3"/>
      <c r="V24" s="192" t="s">
        <v>794</v>
      </c>
      <c r="W24" s="193"/>
    </row>
    <row r="25" spans="1:23" ht="15.75" thickTop="1" x14ac:dyDescent="0.25">
      <c r="A25" s="50" t="s">
        <v>963</v>
      </c>
      <c r="B25" s="51"/>
      <c r="C25" s="51"/>
      <c r="D25" s="51"/>
      <c r="E25" s="52"/>
      <c r="F25" s="119" t="s">
        <v>628</v>
      </c>
      <c r="G25" s="120"/>
      <c r="H25" s="4" t="str">
        <f>IFERROR(VLOOKUP(F25,Abilities,4,FALSE),"")</f>
        <v>SOLW</v>
      </c>
      <c r="I25" s="121" t="s">
        <v>962</v>
      </c>
      <c r="J25" s="120"/>
      <c r="K25" s="35" t="str">
        <f>IFERROR(VLOOKUP(I25,Abilities,4,FALSE),"")</f>
        <v>BLANK</v>
      </c>
      <c r="L25" s="122" t="s">
        <v>668</v>
      </c>
      <c r="M25" s="120"/>
      <c r="N25" s="10" t="str">
        <f>IFERROR(VLOOKUP(L25,Abilities,4,FALSE),"")</f>
        <v>SOLW</v>
      </c>
      <c r="O25" s="14"/>
      <c r="P25" s="14"/>
      <c r="Q25" s="3"/>
      <c r="V25" s="190" t="s">
        <v>795</v>
      </c>
      <c r="W25" s="191"/>
    </row>
    <row r="26" spans="1:23" x14ac:dyDescent="0.25">
      <c r="A26" s="50"/>
      <c r="B26" s="51"/>
      <c r="C26" s="51"/>
      <c r="D26" s="51"/>
      <c r="E26" s="52"/>
      <c r="F26" s="144" t="str">
        <f>IFERROR(VLOOKUP(F25,Abilities,7,FALSE),"")</f>
        <v>Shield Protocol no longer costs an action to use.</v>
      </c>
      <c r="G26" s="130"/>
      <c r="H26" s="131"/>
      <c r="I26" s="129" t="str">
        <f>IFERROR(VLOOKUP(I25,Abilities,7,FALSE),"")</f>
        <v xml:space="preserve"> </v>
      </c>
      <c r="J26" s="130"/>
      <c r="K26" s="131"/>
      <c r="L26" s="130" t="str">
        <f>IFERROR(VLOOKUP(L25,Abilities,7,FALSE),"")</f>
        <v>Grants a unit &lt;Ability:Heal/&gt; points of HP regeneration every turn, to a maximum of &lt;Ability:MaxHeal/&gt; points. Also stabilizes and revives bleeding out or unconscious units and removes some debuffs.</v>
      </c>
      <c r="M26" s="130"/>
      <c r="N26" s="135"/>
      <c r="O26" s="14"/>
      <c r="P26" s="14"/>
      <c r="Q26" s="3"/>
      <c r="V26" s="192" t="s">
        <v>797</v>
      </c>
      <c r="W26" s="193"/>
    </row>
    <row r="27" spans="1:23" ht="15.75" thickBot="1" x14ac:dyDescent="0.3">
      <c r="A27" s="50"/>
      <c r="B27" s="51"/>
      <c r="C27" s="51"/>
      <c r="D27" s="51"/>
      <c r="E27" s="52"/>
      <c r="F27" s="167"/>
      <c r="G27" s="147"/>
      <c r="H27" s="148"/>
      <c r="I27" s="146"/>
      <c r="J27" s="147"/>
      <c r="K27" s="148"/>
      <c r="L27" s="147"/>
      <c r="M27" s="147"/>
      <c r="N27" s="168"/>
      <c r="O27" s="14"/>
      <c r="P27" s="14"/>
      <c r="Q27" s="3"/>
      <c r="V27" s="190" t="s">
        <v>798</v>
      </c>
      <c r="W27" s="191"/>
    </row>
    <row r="28" spans="1:23" ht="18" thickBot="1" x14ac:dyDescent="0.35">
      <c r="A28" s="50"/>
      <c r="B28" s="51"/>
      <c r="C28" s="51"/>
      <c r="D28" s="51"/>
      <c r="E28" s="52"/>
      <c r="F28" s="169" t="s">
        <v>445</v>
      </c>
      <c r="G28" s="170"/>
      <c r="H28" s="170"/>
      <c r="I28" s="170"/>
      <c r="J28" s="170"/>
      <c r="K28" s="170"/>
      <c r="L28" s="170"/>
      <c r="M28" s="170"/>
      <c r="N28" s="171"/>
      <c r="O28" s="14"/>
      <c r="P28" s="14"/>
      <c r="Q28" s="3"/>
      <c r="V28" s="192" t="s">
        <v>1190</v>
      </c>
      <c r="W28" s="193"/>
    </row>
    <row r="29" spans="1:23" ht="15.75" thickTop="1" x14ac:dyDescent="0.25">
      <c r="A29" s="50"/>
      <c r="B29" s="51"/>
      <c r="C29" s="51"/>
      <c r="D29" s="51"/>
      <c r="E29" s="52"/>
      <c r="F29" s="119" t="s">
        <v>599</v>
      </c>
      <c r="G29" s="120"/>
      <c r="H29" s="4" t="str">
        <f>IFERROR(VLOOKUP(F29,Abilities,4,FALSE),"")</f>
        <v>SOLW</v>
      </c>
      <c r="I29" s="121" t="s">
        <v>962</v>
      </c>
      <c r="J29" s="120"/>
      <c r="K29" s="35" t="str">
        <f>IFERROR(VLOOKUP(I29,Abilities,4,FALSE),"")</f>
        <v>BLANK</v>
      </c>
      <c r="L29" s="122" t="s">
        <v>143</v>
      </c>
      <c r="M29" s="120"/>
      <c r="N29" s="10" t="str">
        <f>IFERROR(VLOOKUP(L29,Abilities,4,FALSE),"")</f>
        <v>XCOM2</v>
      </c>
      <c r="O29" s="14"/>
      <c r="P29" s="14"/>
      <c r="Q29" s="3"/>
      <c r="V29" s="190" t="s">
        <v>825</v>
      </c>
      <c r="W29" s="191"/>
    </row>
    <row r="30" spans="1:23" x14ac:dyDescent="0.25">
      <c r="A30" s="50"/>
      <c r="B30" s="51"/>
      <c r="C30" s="51"/>
      <c r="D30" s="51"/>
      <c r="E30" s="52"/>
      <c r="F30" s="144" t="str">
        <f>IFERROR(VLOOKUP(F29,Abilities,7,FALSE),"")</f>
        <v>All squad members begin play with an energy shield that will absorb &lt;Ability:Shield/&gt; damage.</v>
      </c>
      <c r="G30" s="130"/>
      <c r="H30" s="131"/>
      <c r="I30" s="129" t="str">
        <f>IFERROR(VLOOKUP(I29,Abilities,7,FALSE),"")</f>
        <v xml:space="preserve"> </v>
      </c>
      <c r="J30" s="130"/>
      <c r="K30" s="131"/>
      <c r="L30" s="130" t="str">
        <f>IFERROR(VLOOKUP(L29,Abilities,7,FALSE),"")</f>
        <v>The GREMLIN can trigger an instant scan of the area, increasing the Specialist's sight radius substantially for one turn and revealing any hidden enemies.</v>
      </c>
      <c r="M30" s="130"/>
      <c r="N30" s="135"/>
      <c r="O30" s="14"/>
      <c r="P30" s="14"/>
      <c r="Q30" s="3"/>
      <c r="V30" s="192" t="s">
        <v>1191</v>
      </c>
      <c r="W30" s="193"/>
    </row>
    <row r="31" spans="1:23" ht="15.75" thickBot="1" x14ac:dyDescent="0.3">
      <c r="A31" s="50"/>
      <c r="B31" s="51"/>
      <c r="C31" s="51"/>
      <c r="D31" s="51"/>
      <c r="E31" s="52"/>
      <c r="F31" s="167"/>
      <c r="G31" s="147"/>
      <c r="H31" s="148"/>
      <c r="I31" s="146"/>
      <c r="J31" s="147"/>
      <c r="K31" s="148"/>
      <c r="L31" s="147"/>
      <c r="M31" s="147"/>
      <c r="N31" s="168"/>
      <c r="O31" s="14"/>
      <c r="P31" s="14"/>
      <c r="Q31" s="3"/>
      <c r="V31" s="190" t="s">
        <v>820</v>
      </c>
      <c r="W31" s="191"/>
    </row>
    <row r="32" spans="1:23" ht="18" thickBot="1" x14ac:dyDescent="0.35">
      <c r="A32" s="50"/>
      <c r="B32" s="51"/>
      <c r="C32" s="51"/>
      <c r="D32" s="51"/>
      <c r="E32" s="52"/>
      <c r="F32" s="169" t="s">
        <v>446</v>
      </c>
      <c r="G32" s="170"/>
      <c r="H32" s="170"/>
      <c r="I32" s="170"/>
      <c r="J32" s="170"/>
      <c r="K32" s="170"/>
      <c r="L32" s="170"/>
      <c r="M32" s="170"/>
      <c r="N32" s="171"/>
      <c r="O32" s="14"/>
      <c r="P32" s="14"/>
      <c r="Q32" s="3"/>
      <c r="V32" s="192" t="s">
        <v>815</v>
      </c>
      <c r="W32" s="193"/>
    </row>
    <row r="33" spans="1:23" ht="15.75" thickTop="1" x14ac:dyDescent="0.25">
      <c r="A33" s="50"/>
      <c r="B33" s="51"/>
      <c r="C33" s="51"/>
      <c r="D33" s="51"/>
      <c r="E33" s="52"/>
      <c r="F33" s="121" t="s">
        <v>962</v>
      </c>
      <c r="G33" s="120"/>
      <c r="H33" s="4" t="str">
        <f>IFERROR(VLOOKUP(F33,Abilities,4,FALSE),"")</f>
        <v>BLANK</v>
      </c>
      <c r="I33" s="121" t="s">
        <v>588</v>
      </c>
      <c r="J33" s="120"/>
      <c r="K33" s="35" t="str">
        <f>IFERROR(VLOOKUP(I33,Abilities,4,FALSE),"")</f>
        <v>SOLW</v>
      </c>
      <c r="L33" s="121" t="s">
        <v>962</v>
      </c>
      <c r="M33" s="120"/>
      <c r="N33" s="10" t="str">
        <f>IFERROR(VLOOKUP(L33,Abilities,4,FALSE),"")</f>
        <v>BLANK</v>
      </c>
      <c r="O33" s="14"/>
      <c r="P33" s="14"/>
      <c r="Q33" s="3"/>
      <c r="V33" s="190" t="s">
        <v>822</v>
      </c>
      <c r="W33" s="191"/>
    </row>
    <row r="34" spans="1:23" x14ac:dyDescent="0.25">
      <c r="A34" s="50"/>
      <c r="B34" s="51"/>
      <c r="C34" s="51"/>
      <c r="D34" s="51"/>
      <c r="E34" s="52"/>
      <c r="F34" s="144" t="str">
        <f>IFERROR(VLOOKUP(F33,Abilities,7,FALSE),"")</f>
        <v xml:space="preserve"> </v>
      </c>
      <c r="G34" s="130"/>
      <c r="H34" s="131"/>
      <c r="I34" s="129" t="str">
        <f>IFERROR(VLOOKUP(I33,Abilities,7,FALSE),"")</f>
        <v>Shield Protocol also reduces all incoming damage by 33%.</v>
      </c>
      <c r="J34" s="130"/>
      <c r="K34" s="131"/>
      <c r="L34" s="130" t="str">
        <f>IFERROR(VLOOKUP(L33,Abilities,7,FALSE),"")</f>
        <v xml:space="preserve"> </v>
      </c>
      <c r="M34" s="130"/>
      <c r="N34" s="135"/>
      <c r="O34" s="14"/>
      <c r="P34" s="14"/>
      <c r="Q34" s="3"/>
      <c r="V34" s="192" t="s">
        <v>816</v>
      </c>
      <c r="W34" s="193"/>
    </row>
    <row r="35" spans="1:23" ht="15.75" thickBot="1" x14ac:dyDescent="0.3">
      <c r="A35" s="50"/>
      <c r="B35" s="51"/>
      <c r="C35" s="51"/>
      <c r="D35" s="51"/>
      <c r="E35" s="52"/>
      <c r="F35" s="167"/>
      <c r="G35" s="147"/>
      <c r="H35" s="148"/>
      <c r="I35" s="146"/>
      <c r="J35" s="147"/>
      <c r="K35" s="148"/>
      <c r="L35" s="147"/>
      <c r="M35" s="147"/>
      <c r="N35" s="168"/>
      <c r="O35" s="14"/>
      <c r="P35" s="14"/>
      <c r="Q35" s="3"/>
      <c r="V35" s="190" t="s">
        <v>1192</v>
      </c>
      <c r="W35" s="191"/>
    </row>
    <row r="36" spans="1:23" ht="18" thickBot="1" x14ac:dyDescent="0.35">
      <c r="A36" s="50"/>
      <c r="B36" s="51"/>
      <c r="C36" s="51"/>
      <c r="D36" s="51"/>
      <c r="E36" s="52"/>
      <c r="F36" s="169" t="s">
        <v>447</v>
      </c>
      <c r="G36" s="170"/>
      <c r="H36" s="170"/>
      <c r="I36" s="170"/>
      <c r="J36" s="170"/>
      <c r="K36" s="170"/>
      <c r="L36" s="170"/>
      <c r="M36" s="170"/>
      <c r="N36" s="171"/>
    </row>
    <row r="37" spans="1:23" ht="15.75" thickTop="1" x14ac:dyDescent="0.25">
      <c r="A37" s="50"/>
      <c r="B37" s="51"/>
      <c r="C37" s="51"/>
      <c r="D37" s="51"/>
      <c r="E37" s="52"/>
      <c r="F37" s="119" t="s">
        <v>602</v>
      </c>
      <c r="G37" s="120"/>
      <c r="H37" s="4" t="str">
        <f>IFERROR(VLOOKUP(F37,Abilities,4,FALSE),"")</f>
        <v>SOLW</v>
      </c>
      <c r="I37" s="121" t="s">
        <v>962</v>
      </c>
      <c r="J37" s="120"/>
      <c r="K37" s="35" t="str">
        <f>IFERROR(VLOOKUP(I37,Abilities,4,FALSE),"")</f>
        <v>BLANK</v>
      </c>
      <c r="L37" s="122" t="s">
        <v>161</v>
      </c>
      <c r="M37" s="120"/>
      <c r="N37" s="10" t="str">
        <f>IFERROR(VLOOKUP(L37,Abilities,4,FALSE),"")</f>
        <v>XCOM2</v>
      </c>
    </row>
    <row r="38" spans="1:23" x14ac:dyDescent="0.25">
      <c r="A38" s="50"/>
      <c r="B38" s="51"/>
      <c r="C38" s="51"/>
      <c r="D38" s="51"/>
      <c r="E38" s="52"/>
      <c r="F38" s="144" t="str">
        <f>IFERROR(VLOOKUP(F37,Abilities,7,FALSE),"")</f>
        <v>All GREMLIN abilities gain an additional charge.</v>
      </c>
      <c r="G38" s="130"/>
      <c r="H38" s="131"/>
      <c r="I38" s="129" t="str">
        <f>IFERROR(VLOOKUP(I37,Abilities,7,FALSE),"")</f>
        <v xml:space="preserve"> </v>
      </c>
      <c r="J38" s="130"/>
      <c r="K38" s="131"/>
      <c r="L38" s="130" t="str">
        <f>IFERROR(VLOOKUP(L37,Abilities,7,FALSE),"")</f>
        <v>Send the GREMLIN to a location where it emits a substantial electric discharge, damaging and potentially stunning all nearby units. Robotic units take more damage. Once per mission.</v>
      </c>
      <c r="M38" s="130"/>
      <c r="N38" s="135"/>
    </row>
    <row r="39" spans="1:23" ht="15.75" thickBot="1" x14ac:dyDescent="0.3">
      <c r="A39" s="50"/>
      <c r="B39" s="51"/>
      <c r="C39" s="51"/>
      <c r="D39" s="51"/>
      <c r="E39" s="52"/>
      <c r="F39" s="167"/>
      <c r="G39" s="147"/>
      <c r="H39" s="148"/>
      <c r="I39" s="146"/>
      <c r="J39" s="147"/>
      <c r="K39" s="148"/>
      <c r="L39" s="147"/>
      <c r="M39" s="147"/>
      <c r="N39" s="168"/>
    </row>
    <row r="40" spans="1:23" ht="15" customHeight="1" x14ac:dyDescent="0.25">
      <c r="A40" s="86" t="s">
        <v>1200</v>
      </c>
      <c r="B40" s="86"/>
      <c r="C40" s="88" t="str">
        <f>SUBSTITUTE(C1," ","")</f>
        <v>CombatEngineer</v>
      </c>
      <c r="D40" s="88"/>
      <c r="E40" s="88"/>
      <c r="F40" s="238"/>
      <c r="G40" s="238"/>
      <c r="H40" s="237"/>
      <c r="I40" s="237"/>
      <c r="J40" s="237"/>
    </row>
    <row r="41" spans="1:23" ht="15" customHeight="1" thickBot="1" x14ac:dyDescent="0.3">
      <c r="A41" s="87"/>
      <c r="B41" s="87"/>
      <c r="C41" s="89"/>
      <c r="D41" s="89"/>
      <c r="E41" s="89"/>
      <c r="F41" s="239"/>
      <c r="G41" s="239"/>
      <c r="H41" s="237"/>
      <c r="I41" s="237"/>
      <c r="J41" s="237"/>
    </row>
    <row r="42" spans="1:23" ht="16.5" thickBot="1" x14ac:dyDescent="0.3">
      <c r="A42" s="242" t="s">
        <v>339</v>
      </c>
      <c r="B42" s="244"/>
      <c r="C42" s="253" t="s">
        <v>342</v>
      </c>
      <c r="D42" s="247"/>
      <c r="E42" s="251" t="s">
        <v>343</v>
      </c>
      <c r="F42" s="250"/>
      <c r="G42" s="234"/>
      <c r="H42" s="235"/>
      <c r="I42" s="235"/>
      <c r="J42" s="235"/>
    </row>
    <row r="43" spans="1:23" x14ac:dyDescent="0.25">
      <c r="A43" s="243" t="str">
        <f ca="1">"; "&amp;INDIRECT("C1")&amp;" class data"</f>
        <v>; Combat Engineer class data</v>
      </c>
      <c r="B43" s="234" t="s">
        <v>340</v>
      </c>
      <c r="C43" s="254" t="str">
        <f ca="1">"; "&amp;INDIRECT("C1")&amp;" class loadout"</f>
        <v>; Combat Engineer class loadout</v>
      </c>
      <c r="D43" s="234" t="s">
        <v>340</v>
      </c>
      <c r="E43" s="252" t="str">
        <f ca="1">"["&amp;INDIRECT("C3")&amp;" X2SoldierClassTemplate]"</f>
        <v>[LWD_CombatEngineer X2SoldierClassTemplate]</v>
      </c>
      <c r="F43" s="234" t="s">
        <v>340</v>
      </c>
      <c r="G43" s="234"/>
      <c r="H43" s="235"/>
      <c r="I43" s="235"/>
      <c r="J43" s="235"/>
    </row>
    <row r="44" spans="1:23" x14ac:dyDescent="0.25">
      <c r="A44" s="240"/>
      <c r="B44" s="234"/>
      <c r="C44" s="245"/>
      <c r="D44" s="234" t="s">
        <v>340</v>
      </c>
      <c r="E44" s="248" t="str">
        <f ca="1">"+DisplayName="""&amp;INDIRECT("C1")&amp;""""</f>
        <v>+DisplayName="Combat Engineer"</v>
      </c>
      <c r="F44" s="234" t="s">
        <v>340</v>
      </c>
      <c r="G44" s="234"/>
      <c r="H44" s="235"/>
      <c r="I44" s="235"/>
      <c r="J44" s="235"/>
    </row>
    <row r="45" spans="1:23" x14ac:dyDescent="0.25">
      <c r="A45" s="240" t="str">
        <f>"[XComGame.X2SoldierClass_DefaultClasses]"</f>
        <v>[XComGame.X2SoldierClass_DefaultClasses]</v>
      </c>
      <c r="B45" s="234" t="s">
        <v>340</v>
      </c>
      <c r="C45" s="245" t="s">
        <v>341</v>
      </c>
      <c r="D45" s="234" t="s">
        <v>340</v>
      </c>
      <c r="E45" s="248" t="str">
        <f ca="1">"+ClassSummary="""&amp;INDIRECT("A20")&amp;""""</f>
        <v>+ClassSummary="Some Engineers are more at home on the battlefield than the Avenger. Their technical skills with a GREMLIN come in handy, especially when protecting our soldiers and against enemy mechanical units."</v>
      </c>
      <c r="F45" s="234" t="s">
        <v>340</v>
      </c>
      <c r="G45" s="234"/>
      <c r="H45" s="235"/>
      <c r="I45" s="235"/>
      <c r="J45" s="235"/>
    </row>
    <row r="46" spans="1:23" x14ac:dyDescent="0.25">
      <c r="A46" s="240" t="str">
        <f ca="1">"+SoldierClasses="&amp;INDIRECT("C3")</f>
        <v>+SoldierClasses=LWD_CombatEngineer</v>
      </c>
      <c r="B46" s="234" t="s">
        <v>340</v>
      </c>
      <c r="C46" s="245"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+Loadouts=(LoadoutName="SquaddieLWD_CombatEngineer", Items[0]=(Item="AssaultRifle_CV"), Items[1]=(Item="Gremlin_CV"))</v>
      </c>
      <c r="D46" s="234" t="s">
        <v>340</v>
      </c>
      <c r="E46" s="248" t="str">
        <f ca="1">"+LeftAbilityTreeTitle="""&amp;INDIRECT("F11")&amp;""""</f>
        <v>+LeftAbilityTreeTitle="Armorer"</v>
      </c>
      <c r="F46" s="234" t="s">
        <v>340</v>
      </c>
      <c r="G46" s="234"/>
      <c r="H46" s="235"/>
      <c r="I46" s="234"/>
      <c r="J46" s="234"/>
    </row>
    <row r="47" spans="1:23" x14ac:dyDescent="0.25">
      <c r="A47" s="240"/>
      <c r="B47" s="234" t="s">
        <v>340</v>
      </c>
      <c r="C47" s="245"/>
      <c r="D47" s="234" t="s">
        <v>340</v>
      </c>
      <c r="E47" s="248" t="str">
        <f ca="1">"+RightAbilityTreeTitle="""&amp;INDIRECT("L11")&amp;""""</f>
        <v>+RightAbilityTreeTitle="Technician"</v>
      </c>
      <c r="F47" s="234" t="s">
        <v>340</v>
      </c>
      <c r="G47" s="234"/>
      <c r="H47" s="235"/>
      <c r="I47" s="234"/>
      <c r="J47" s="234"/>
    </row>
    <row r="48" spans="1:23" x14ac:dyDescent="0.25">
      <c r="A48" s="240" t="str">
        <f ca="1">"["&amp;INDIRECT("C3")&amp;" X2SoldierClassTemplate]"</f>
        <v>[LWD_CombatEngineer X2SoldierClassTemplate]</v>
      </c>
      <c r="B48" s="234" t="s">
        <v>340</v>
      </c>
      <c r="C48" s="245" t="s">
        <v>351</v>
      </c>
      <c r="D48" s="234" t="s">
        <v>340</v>
      </c>
      <c r="E48" s="248" t="str">
        <f>"; Nicknames"</f>
        <v>; Nicknames</v>
      </c>
      <c r="F48" s="234" t="s">
        <v>340</v>
      </c>
      <c r="G48" s="234"/>
      <c r="H48" s="234"/>
      <c r="I48" s="234"/>
      <c r="J48" s="234"/>
    </row>
    <row r="49" spans="1:10" ht="15.75" thickBot="1" x14ac:dyDescent="0.3">
      <c r="A49" s="240" t="str">
        <f ca="1">"+bMultiplayerOnly="&amp;INDIRECT("E6")</f>
        <v>+bMultiplayerOnly=0</v>
      </c>
      <c r="B49" s="234" t="s">
        <v>340</v>
      </c>
      <c r="C49" s="246" t="str">
        <f ca="1">"+DEBUG_StartingSoldierClasses="""&amp;INDIRECT("C3")&amp;""""</f>
        <v>+DEBUG_StartingSoldierClasses="LWD_CombatEngineer"</v>
      </c>
      <c r="D49" s="234" t="s">
        <v>340</v>
      </c>
      <c r="E49" s="248" t="str">
        <f ca="1">IF(INDIRECT("V4")&lt;&gt;"","RandomNickNames[0]="""&amp;INDIRECT("V4")&amp;"""","")</f>
        <v>RandomNickNames[0]="Chum"</v>
      </c>
      <c r="F49" s="234" t="s">
        <v>340</v>
      </c>
      <c r="G49" s="234"/>
      <c r="H49" s="234"/>
      <c r="I49" s="234"/>
      <c r="J49" s="234"/>
    </row>
    <row r="50" spans="1:10" x14ac:dyDescent="0.25">
      <c r="A50" s="240" t="str">
        <f ca="1">"+ClassPoints="&amp;INDIRECT("E7")</f>
        <v>+ClassPoints=4</v>
      </c>
      <c r="B50" s="234" t="s">
        <v>340</v>
      </c>
      <c r="C50" s="234"/>
      <c r="D50" s="234"/>
      <c r="E50" s="248" t="str">
        <f ca="1">IF(INDIRECT("V5")&lt;&gt;"","RandomNickNames[1]="""&amp;INDIRECT("V5")&amp;"""","")</f>
        <v>RandomNickNames[1]="Bargain"</v>
      </c>
      <c r="F50" s="234" t="s">
        <v>340</v>
      </c>
      <c r="G50" s="234"/>
      <c r="H50" s="234"/>
      <c r="I50" s="234"/>
      <c r="J50" s="234"/>
    </row>
    <row r="51" spans="1:10" x14ac:dyDescent="0.25">
      <c r="A51" s="240" t="str">
        <f ca="1">"+IconImage="&amp;""""&amp;INDIRECT("E8")&amp;""""</f>
        <v>+IconImage="img:///UILibrary_Common.class_specialist"</v>
      </c>
      <c r="B51" s="234" t="s">
        <v>340</v>
      </c>
      <c r="C51" s="234"/>
      <c r="D51" s="234"/>
      <c r="E51" s="248" t="str">
        <f ca="1">IF(INDIRECT("V6")&lt;&gt;"","RandomNickNames[2]="""&amp;INDIRECT("V6")&amp;"""","")</f>
        <v>RandomNickNames[2]="Beta"</v>
      </c>
      <c r="F51" s="234" t="s">
        <v>340</v>
      </c>
      <c r="G51" s="234"/>
      <c r="H51" s="234"/>
      <c r="I51" s="234"/>
      <c r="J51" s="234"/>
    </row>
    <row r="52" spans="1:10" x14ac:dyDescent="0.25">
      <c r="A52" s="240" t="str">
        <f ca="1">"+NumInForcedDeck="&amp;INDIRECT("E9")</f>
        <v>+NumInForcedDeck=1</v>
      </c>
      <c r="B52" s="234" t="s">
        <v>340</v>
      </c>
      <c r="C52" s="234"/>
      <c r="D52" s="234"/>
      <c r="E52" s="248" t="str">
        <f ca="1">IF(INDIRECT("V7")&lt;&gt;"","RandomNickNames[3]="""&amp;INDIRECT("V7")&amp;"""","")</f>
        <v>RandomNickNames[3]="Bishop"</v>
      </c>
      <c r="F52" s="234" t="s">
        <v>340</v>
      </c>
      <c r="G52" s="234"/>
      <c r="H52" s="234"/>
      <c r="I52" s="234"/>
      <c r="J52" s="234"/>
    </row>
    <row r="53" spans="1:10" x14ac:dyDescent="0.25">
      <c r="A53" s="240" t="str">
        <f ca="1">"+NumInDeck="&amp;INDIRECT("E10")</f>
        <v>+NumInDeck=4</v>
      </c>
      <c r="B53" s="234" t="s">
        <v>340</v>
      </c>
      <c r="C53" s="234"/>
      <c r="D53" s="234"/>
      <c r="E53" s="248" t="str">
        <f ca="1">IF(INDIRECT("V8")&lt;&gt;"","RandomNickNames[4]="""&amp;INDIRECT("V8")&amp;"""","")</f>
        <v>RandomNickNames[4]="Hometown"</v>
      </c>
      <c r="F53" s="234" t="s">
        <v>340</v>
      </c>
      <c r="G53" s="234"/>
      <c r="H53" s="234"/>
      <c r="I53" s="234"/>
      <c r="J53" s="234"/>
    </row>
    <row r="54" spans="1:10" x14ac:dyDescent="0.25">
      <c r="A54" s="240" t="str">
        <f ca="1">"+KillAssistsPerKill="&amp;INDIRECT("E11")</f>
        <v>+KillAssistsPerKill=4</v>
      </c>
      <c r="B54" s="234" t="s">
        <v>340</v>
      </c>
      <c r="C54" s="234"/>
      <c r="D54" s="234"/>
      <c r="E54" s="248" t="str">
        <f ca="1">IF(INDIRECT("V9")&lt;&gt;"","RandomNickNames[5]="""&amp;INDIRECT("V9")&amp;"""","")</f>
        <v>RandomNickNames[5]="Breaker"</v>
      </c>
      <c r="F54" s="234" t="s">
        <v>340</v>
      </c>
      <c r="G54" s="234"/>
      <c r="H54" s="234"/>
      <c r="I54" s="234"/>
      <c r="J54" s="234"/>
    </row>
    <row r="55" spans="1:10" x14ac:dyDescent="0.25">
      <c r="A55" s="240" t="str">
        <f ca="1">"+SquaddieLoadout=Squaddie"&amp;INDIRECT("C3")</f>
        <v>+SquaddieLoadout=SquaddieLWD_CombatEngineer</v>
      </c>
      <c r="B55" s="234" t="s">
        <v>340</v>
      </c>
      <c r="C55" s="234"/>
      <c r="D55" s="234"/>
      <c r="E55" s="248" t="str">
        <f ca="1">IF(INDIRECT("V10")&lt;&gt;"","RandomNickNames[6]="""&amp;INDIRECT("V10")&amp;"""","")</f>
        <v>RandomNickNames[6]="Broker"</v>
      </c>
      <c r="F55" s="234" t="s">
        <v>340</v>
      </c>
      <c r="G55" s="234"/>
      <c r="H55" s="234"/>
      <c r="I55" s="234"/>
      <c r="J55" s="234"/>
    </row>
    <row r="56" spans="1:10" x14ac:dyDescent="0.25">
      <c r="A56" s="240" t="str">
        <f ca="1">";+bAllowAWCAbilities="&amp;INDIRECT("E12")&amp;" ; Not a thing in LW2"</f>
        <v>;+bAllowAWCAbilities=1 ; Not a thing in LW2</v>
      </c>
      <c r="B56" s="234" t="s">
        <v>340</v>
      </c>
      <c r="C56" s="234"/>
      <c r="D56" s="234"/>
      <c r="E56" s="248" t="str">
        <f ca="1">IF(INDIRECT("V11")&lt;&gt;"","RandomNickNames[7]="""&amp;INDIRECT("V11")&amp;"""","")</f>
        <v>RandomNickNames[7]="Conquest"</v>
      </c>
      <c r="F56" s="234" t="s">
        <v>340</v>
      </c>
      <c r="G56" s="234"/>
      <c r="H56" s="234"/>
      <c r="I56" s="234"/>
      <c r="J56" s="234"/>
    </row>
    <row r="57" spans="1:10" x14ac:dyDescent="0.25">
      <c r="A57" s="240" t="str">
        <f ca="1">IF(INDIRECT("B5")=FALSE,";","")&amp;"+AllowedWeapons=(SlotType=eInvSlot_PrimaryWeapon, WeaponType=""rifle"")"</f>
        <v>+AllowedWeapons=(SlotType=eInvSlot_PrimaryWeapon, WeaponType="rifle")</v>
      </c>
      <c r="B57" s="234" t="s">
        <v>340</v>
      </c>
      <c r="C57" s="234"/>
      <c r="D57" s="234"/>
      <c r="E57" s="248" t="str">
        <f ca="1">IF(INDIRECT("V12")&lt;&gt;"","RandomNickNames[8]="""&amp;INDIRECT("V12")&amp;"""","")</f>
        <v>RandomNickNames[8]="Deacon"</v>
      </c>
      <c r="F57" s="234" t="s">
        <v>340</v>
      </c>
      <c r="G57" s="234"/>
      <c r="H57" s="234"/>
      <c r="I57" s="234"/>
      <c r="J57" s="234"/>
    </row>
    <row r="58" spans="1:10" x14ac:dyDescent="0.25">
      <c r="A58" s="240" t="str">
        <f ca="1">IF(INDIRECT("B6")=FALSE,";","")&amp;"+AllowedWeapons=(SlotType=eInvSlot_PrimaryWeapon, WeaponType=""cannon"")"</f>
        <v>;+AllowedWeapons=(SlotType=eInvSlot_PrimaryWeapon, WeaponType="cannon")</v>
      </c>
      <c r="B58" s="234" t="s">
        <v>340</v>
      </c>
      <c r="C58" s="234"/>
      <c r="D58" s="234"/>
      <c r="E58" s="248" t="str">
        <f ca="1">IF(INDIRECT("V13")&lt;&gt;"","RandomNickNames[9]="""&amp;INDIRECT("V13")&amp;"""","")</f>
        <v>RandomNickNames[9]="Doomtrain"</v>
      </c>
      <c r="F58" s="234" t="s">
        <v>340</v>
      </c>
      <c r="G58" s="234"/>
      <c r="H58" s="234"/>
      <c r="I58" s="234"/>
      <c r="J58" s="234"/>
    </row>
    <row r="59" spans="1:10" x14ac:dyDescent="0.25">
      <c r="A59" s="240" t="str">
        <f ca="1">IF(INDIRECT("B7")=FALSE,";","")&amp;"+AllowedWeapons=(SlotType=eInvSlot_PrimaryWeapon, WeaponType=""shotgun"")"</f>
        <v>;+AllowedWeapons=(SlotType=eInvSlot_PrimaryWeapon, WeaponType="shotgun")</v>
      </c>
      <c r="B59" s="234" t="s">
        <v>340</v>
      </c>
      <c r="C59" s="234"/>
      <c r="D59" s="234"/>
      <c r="E59" s="248" t="str">
        <f ca="1">IF(INDIRECT("V14")&lt;&gt;"","RandomNickNames[10]="""&amp;INDIRECT("V14")&amp;"""","")</f>
        <v>RandomNickNames[10]="Eiger"</v>
      </c>
      <c r="F59" s="234" t="s">
        <v>340</v>
      </c>
      <c r="G59" s="234"/>
      <c r="H59" s="234"/>
      <c r="I59" s="234"/>
      <c r="J59" s="234"/>
    </row>
    <row r="60" spans="1:10" x14ac:dyDescent="0.25">
      <c r="A60" s="240" t="str">
        <f ca="1">IF(INDIRECT("B8")=FALSE,";","")&amp;"+AllowedWeapons=(SlotType=eInvSlot_PrimaryWeapon, WeaponType=""sniper_rifle"")"</f>
        <v>;+AllowedWeapons=(SlotType=eInvSlot_PrimaryWeapon, WeaponType="sniper_rifle")</v>
      </c>
      <c r="B60" s="234" t="s">
        <v>340</v>
      </c>
      <c r="C60" s="234"/>
      <c r="D60" s="234"/>
      <c r="E60" s="248" t="str">
        <f ca="1">IF(INDIRECT("V15")&lt;&gt;"","RandomNickNames[11]="""&amp;INDIRECT("V15")&amp;"""","")</f>
        <v>RandomNickNames[11]="Famine"</v>
      </c>
      <c r="F60" s="234" t="s">
        <v>340</v>
      </c>
      <c r="G60" s="234"/>
      <c r="H60" s="234"/>
      <c r="I60" s="234"/>
      <c r="J60" s="234"/>
    </row>
    <row r="61" spans="1:10" x14ac:dyDescent="0.25">
      <c r="A61" s="240" t="str">
        <f ca="1">IF(INDIRECT("B9")=FALSE,";","")&amp;"+AllowedWeapons=(SlotType=eInvSlot_SecondaryWeapon, WeaponType=""gauntlet"")"</f>
        <v>;+AllowedWeapons=(SlotType=eInvSlot_SecondaryWeapon, WeaponType="gauntlet")</v>
      </c>
      <c r="B61" s="234" t="s">
        <v>340</v>
      </c>
      <c r="C61" s="234"/>
      <c r="D61" s="234"/>
      <c r="E61" s="248" t="str">
        <f ca="1">IF(INDIRECT("V16")&lt;&gt;"","RandomNickNames[12]="""&amp;INDIRECT("V16")&amp;"""","")</f>
        <v>RandomNickNames[12]="Feedback"</v>
      </c>
      <c r="F61" s="234" t="s">
        <v>340</v>
      </c>
      <c r="G61" s="234"/>
      <c r="H61" s="234"/>
      <c r="I61" s="234"/>
      <c r="J61" s="234"/>
    </row>
    <row r="62" spans="1:10" x14ac:dyDescent="0.25">
      <c r="A62" s="240" t="str">
        <f ca="1">IF(INDIRECT("B10")=FALSE,";","")&amp;"+AllowedWeapons=(SlotType=eInvSlot_SecondaryWeapon, WeaponType=""combatknife"")"</f>
        <v>;+AllowedWeapons=(SlotType=eInvSlot_SecondaryWeapon, WeaponType="combatknife")</v>
      </c>
      <c r="B62" s="234" t="s">
        <v>340</v>
      </c>
      <c r="C62" s="234"/>
      <c r="D62" s="234"/>
      <c r="E62" s="248" t="str">
        <f ca="1">IF(INDIRECT("V17")&lt;&gt;"","RandomNickNames[13]="""&amp;INDIRECT("V17")&amp;"""","")</f>
        <v>RandomNickNames[13]="Glory"</v>
      </c>
      <c r="F62" s="234" t="s">
        <v>340</v>
      </c>
      <c r="G62" s="234"/>
      <c r="H62" s="234"/>
      <c r="I62" s="234"/>
      <c r="J62" s="234"/>
    </row>
    <row r="63" spans="1:10" x14ac:dyDescent="0.25">
      <c r="A63" s="240" t="str">
        <f ca="1">IF(INDIRECT("B11")=FALSE,";","")&amp;"+AllowedWeapons=(SlotType=eInvSlot_SecondaryWeapon, WeaponType=""grenade_launcher"")"</f>
        <v>;+AllowedWeapons=(SlotType=eInvSlot_SecondaryWeapon, WeaponType="grenade_launcher")</v>
      </c>
      <c r="B63" s="234" t="s">
        <v>340</v>
      </c>
      <c r="C63" s="234"/>
      <c r="D63" s="234"/>
      <c r="E63" s="248" t="str">
        <f ca="1">IF(INDIRECT("V18")&lt;&gt;"","RandomNickNames[14]="""&amp;INDIRECT("V18")&amp;"""","")</f>
        <v>RandomNickNames[14]="Blitz"</v>
      </c>
      <c r="F63" s="234" t="s">
        <v>340</v>
      </c>
      <c r="G63" s="234"/>
      <c r="H63" s="234"/>
      <c r="I63" s="234"/>
      <c r="J63" s="234"/>
    </row>
    <row r="64" spans="1:10" x14ac:dyDescent="0.25">
      <c r="A64" s="240" t="str">
        <f ca="1">IF(INDIRECT("B12")=FALSE,";","")&amp;"+AllowedWeapons=(SlotType=eInvSlot_SecondaryWeapon, WeaponType=""gremlin"")"</f>
        <v>+AllowedWeapons=(SlotType=eInvSlot_SecondaryWeapon, WeaponType="gremlin")</v>
      </c>
      <c r="B64" s="234" t="s">
        <v>340</v>
      </c>
      <c r="C64" s="234"/>
      <c r="D64" s="234"/>
      <c r="E64" s="248" t="str">
        <f ca="1">IF(INDIRECT("V19")&lt;&gt;"","RandomNickNames[15]="""&amp;INDIRECT("V19")&amp;"""","")</f>
        <v>RandomNickNames[15]="Paco"</v>
      </c>
      <c r="F64" s="234" t="s">
        <v>340</v>
      </c>
      <c r="G64" s="234"/>
      <c r="H64" s="234"/>
      <c r="I64" s="234"/>
      <c r="J64" s="234"/>
    </row>
    <row r="65" spans="1:10" x14ac:dyDescent="0.25">
      <c r="A65" s="240" t="str">
        <f ca="1">IF(INDIRECT("B13")=FALSE,";","")&amp;"+AllowedWeapons=(SlotType=eInvSlot_SecondaryWeapon, WeaponType=""sword"")"</f>
        <v>;+AllowedWeapons=(SlotType=eInvSlot_SecondaryWeapon, WeaponType="sword")</v>
      </c>
      <c r="B65" s="234" t="s">
        <v>340</v>
      </c>
      <c r="C65" s="234"/>
      <c r="D65" s="234"/>
      <c r="E65" s="248" t="str">
        <f ca="1">IF(INDIRECT("V20")&lt;&gt;"","RandomNickNames[16]="""&amp;INDIRECT("V20")&amp;"""","")</f>
        <v>RandomNickNames[16]="Dante"</v>
      </c>
      <c r="F65" s="234" t="s">
        <v>340</v>
      </c>
      <c r="G65" s="234"/>
      <c r="H65" s="234"/>
      <c r="I65" s="234"/>
      <c r="J65" s="234"/>
    </row>
    <row r="66" spans="1:10" x14ac:dyDescent="0.25">
      <c r="A66" s="240" t="str">
        <f ca="1">IF(INDIRECT("B14")=FALSE,";","")&amp;"+AllowedWeapons=(SlotType=eInvSlot_SecondaryWeapon, WeaponType=""sawedoffshotgun"")"</f>
        <v>;+AllowedWeapons=(SlotType=eInvSlot_SecondaryWeapon, WeaponType="sawedoffshotgun")</v>
      </c>
      <c r="B66" s="234" t="s">
        <v>340</v>
      </c>
      <c r="C66" s="234"/>
      <c r="D66" s="234"/>
      <c r="E66" s="248" t="str">
        <f ca="1">IF(INDIRECT("V21")&lt;&gt;"","RandomNickNames[17]="""&amp;INDIRECT("V21")&amp;"""","")</f>
        <v>RandomNickNames[17]="Decker"</v>
      </c>
      <c r="F66" s="234" t="s">
        <v>340</v>
      </c>
      <c r="G66" s="234"/>
      <c r="H66" s="234"/>
      <c r="I66" s="234"/>
      <c r="J66" s="234"/>
    </row>
    <row r="67" spans="1:10" x14ac:dyDescent="0.25">
      <c r="A67" s="240" t="str">
        <f ca="1">IF(INDIRECT("B15")=FALSE,";","")&amp;"+AllowedWeapons=(SlotType=eInvSlot_SecondaryWeapon, WeaponType=""arcthrower"")"</f>
        <v>;+AllowedWeapons=(SlotType=eInvSlot_SecondaryWeapon, WeaponType="arcthrower")</v>
      </c>
      <c r="B67" s="234" t="s">
        <v>340</v>
      </c>
      <c r="C67" s="234"/>
      <c r="D67" s="234"/>
      <c r="E67" s="248" t="str">
        <f ca="1">IF(INDIRECT("V22")&lt;&gt;"","RandomNickNames[18]="""&amp;INDIRECT("V22")&amp;"""","")</f>
        <v>RandomNickNames[18]="Coyote"</v>
      </c>
      <c r="F67" s="234" t="s">
        <v>340</v>
      </c>
      <c r="G67" s="234"/>
      <c r="H67" s="234"/>
      <c r="I67" s="234"/>
      <c r="J67" s="234"/>
    </row>
    <row r="68" spans="1:10" x14ac:dyDescent="0.25">
      <c r="A68" s="240" t="str">
        <f ca="1">IF(INDIRECT("B16")=FALSE,";","")&amp;"+AllowedWeapons=(SlotType=eInvSlot_SecondaryWeapon, WeaponType=""holotargeter"")"</f>
        <v>;+AllowedWeapons=(SlotType=eInvSlot_SecondaryWeapon, WeaponType="holotargeter")</v>
      </c>
      <c r="B68" s="234" t="s">
        <v>340</v>
      </c>
      <c r="C68" s="234"/>
      <c r="D68" s="234"/>
      <c r="E68" s="248" t="str">
        <f ca="1">IF(INDIRECT("V23")&lt;&gt;"","RandomNickNames[19]="""&amp;INDIRECT("V23")&amp;"""","")</f>
        <v>RandomNickNames[19]="Mayday"</v>
      </c>
      <c r="F68" s="234" t="s">
        <v>340</v>
      </c>
      <c r="G68" s="234"/>
      <c r="H68" s="234"/>
      <c r="I68" s="234"/>
      <c r="J68" s="234"/>
    </row>
    <row r="69" spans="1:10" x14ac:dyDescent="0.25">
      <c r="A69" s="240" t="str">
        <f ca="1">IF(INDIRECT("B17")=FALSE,";","")&amp;"+AllowedWeapons=(SlotType=eInvSlot_SecondaryWeapon, WeaponType=""psiamp"")"</f>
        <v>;+AllowedWeapons=(SlotType=eInvSlot_SecondaryWeapon, WeaponType="psiamp")</v>
      </c>
      <c r="B69" s="234" t="s">
        <v>340</v>
      </c>
      <c r="C69" s="234"/>
      <c r="D69" s="234"/>
      <c r="E69" s="248" t="str">
        <f ca="1">IF(INDIRECT("V24")&lt;&gt;"","RandomNickNames[20]="""&amp;INDIRECT("V24")&amp;"""","")</f>
        <v>RandomNickNames[20]="Mega"</v>
      </c>
      <c r="F69" s="234" t="s">
        <v>340</v>
      </c>
      <c r="G69" s="234"/>
      <c r="H69" s="234"/>
      <c r="I69" s="234"/>
      <c r="J69" s="234"/>
    </row>
    <row r="70" spans="1:10" x14ac:dyDescent="0.25">
      <c r="A70" s="240" t="str">
        <f ca="1">IF(INDIRECT("B9")=FALSE,";","")&amp;"+AllowedWeapons=(SlotType=eInvSlot_HeavyWeapon, WeaponType=""heavyammo"")"</f>
        <v>;+AllowedWeapons=(SlotType=eInvSlot_HeavyWeapon, WeaponType="heavyammo")</v>
      </c>
      <c r="B70" s="234" t="s">
        <v>340</v>
      </c>
      <c r="C70" s="234"/>
      <c r="D70" s="234"/>
      <c r="E70" s="248" t="str">
        <f ca="1">IF(INDIRECT("V25")&lt;&gt;"","RandomNickNames[21]="""&amp;INDIRECT("V25")&amp;"""","")</f>
        <v>RandomNickNames[21]="Newton"</v>
      </c>
      <c r="F70" s="234" t="s">
        <v>340</v>
      </c>
      <c r="G70" s="234"/>
      <c r="H70" s="234"/>
      <c r="I70" s="234"/>
      <c r="J70" s="234"/>
    </row>
    <row r="71" spans="1:10" x14ac:dyDescent="0.25">
      <c r="A71" s="240" t="str">
        <f ca="1">IF(INDIRECT("B9")=TRUE,";","")&amp;"+AllowedWeapons=(SlotType=eInvSlot_HeavyWeapon, WeaponType=""heavy"")"</f>
        <v>+AllowedWeapons=(SlotType=eInvSlot_HeavyWeapon, WeaponType="heavy")</v>
      </c>
      <c r="B71" s="234" t="s">
        <v>340</v>
      </c>
      <c r="C71" s="234"/>
      <c r="D71" s="234"/>
      <c r="E71" s="248" t="str">
        <f ca="1">IF(INDIRECT("V26")&lt;&gt;"","RandomNickNames[22]="""&amp;INDIRECT("V26")&amp;"""","")</f>
        <v>RandomNickNames[22]="Ragtime"</v>
      </c>
      <c r="F71" s="234" t="s">
        <v>340</v>
      </c>
      <c r="G71" s="234"/>
      <c r="H71" s="234"/>
      <c r="I71" s="234"/>
      <c r="J71" s="234"/>
    </row>
    <row r="72" spans="1:10" x14ac:dyDescent="0.25">
      <c r="A72" s="240" t="str">
        <f ca="1">"+AllowedArmors="&amp;INDIRECT("E13")</f>
        <v>+AllowedArmors=soldier</v>
      </c>
      <c r="B72" s="234" t="s">
        <v>340</v>
      </c>
      <c r="C72" s="234"/>
      <c r="D72" s="234"/>
      <c r="E72" s="248" t="str">
        <f ca="1">IF(INDIRECT("V27")&lt;&gt;"","RandomNickNames[23]="""&amp;INDIRECT("V27")&amp;"""","")</f>
        <v>RandomNickNames[23]="Rascal"</v>
      </c>
      <c r="F72" s="234" t="s">
        <v>340</v>
      </c>
      <c r="G72" s="234"/>
      <c r="H72" s="234"/>
      <c r="I72" s="234"/>
      <c r="J72" s="234"/>
    </row>
    <row r="73" spans="1:10" x14ac:dyDescent="0.25">
      <c r="A73" s="240" t="str">
        <f>"; squaddie"</f>
        <v>; squaddie</v>
      </c>
      <c r="B73" s="234" t="s">
        <v>340</v>
      </c>
      <c r="C73" s="234"/>
      <c r="D73" s="234"/>
      <c r="E73" s="248" t="str">
        <f ca="1">IF(INDIRECT("V28")&lt;&gt;"","RandomNickNames[24]="""&amp;INDIRECT("V28")&amp;"""","")</f>
        <v>RandomNickNames[24]="Gaichu"</v>
      </c>
      <c r="F73" s="234" t="s">
        <v>340</v>
      </c>
      <c r="G73" s="234"/>
      <c r="H73" s="234"/>
      <c r="I73" s="234"/>
      <c r="J73" s="234"/>
    </row>
    <row r="74" spans="1:10" x14ac:dyDescent="0.25">
      <c r="A74" s="240" t="str">
        <f ca="1">"+SoldierRanks=(  aAbilityTree=( (AbilityName="""&amp;VLOOKUP(INDIRECT("F4"),Abilities,2,FALSE)&amp;""""&amp;IF(VLOOKUP(INDIRECT("F4"),Abilities,3,FALSE)="","",", ApplyToWeaponSlot=eInvSlot_"&amp;VLOOKUP(INDIRECT("F4"),Abilities,3,FALSE))&amp;"), \\"</f>
        <v>+SoldierRanks=(  aAbilityTree=( (AbilityName="IntrusionProtocol", ApplyToWeaponSlot=eInvSlot_SecondaryWeapon), \\</v>
      </c>
      <c r="B74" s="234" t="s">
        <v>340</v>
      </c>
      <c r="C74" s="234"/>
      <c r="D74" s="234"/>
      <c r="E74" s="248" t="str">
        <f ca="1">IF(INDIRECT("V29")&lt;&gt;"","RandomNickNames[25]="""&amp;INDIRECT("V29")&amp;"""","")</f>
        <v>RandomNickNames[25]="Revelation"</v>
      </c>
      <c r="F74" s="234" t="s">
        <v>340</v>
      </c>
      <c r="G74" s="234"/>
      <c r="H74" s="234"/>
      <c r="I74" s="234"/>
      <c r="J74" s="234"/>
    </row>
    <row r="75" spans="1:10" x14ac:dyDescent="0.25">
      <c r="A75" s="240" t="str">
        <f ca="1">IF(INDIRECT("I4")="","\\","(AbilityName="""&amp;VLOOKUP(INDIRECT("I4"),Abilities,2,FALSE)&amp;""""&amp;IF(VLOOKUP(INDIRECT("I4"),Abilities,3,FALSE)="","",", ApplyToWeaponSlot=eInvSlot_"&amp;VLOOKUP(INDIRECT("I4"),Abilities,3,FALSE))&amp;"), \\")</f>
        <v>(AbilityName="CombatProtocol", ApplyToWeaponSlot=eInvSlot_SecondaryWeapon), \\</v>
      </c>
      <c r="B75" s="234" t="s">
        <v>340</v>
      </c>
      <c r="C75" s="234"/>
      <c r="D75" s="234"/>
      <c r="E75" s="248" t="str">
        <f ca="1">IF(INDIRECT("V30")&lt;&gt;"","RandomNickNames[26]="""&amp;INDIRECT("V30")&amp;"""","")</f>
        <v>RandomNickNames[26]="Racter"</v>
      </c>
      <c r="F75" s="234" t="s">
        <v>340</v>
      </c>
      <c r="G75" s="234"/>
      <c r="H75" s="234"/>
      <c r="I75" s="234"/>
      <c r="J75" s="234"/>
    </row>
    <row r="76" spans="1:10" x14ac:dyDescent="0.25">
      <c r="A76" s="240" t="str">
        <f ca="1">IF(INDIRECT("L4")="","\\","(AbilityName="""&amp;VLOOKUP(INDIRECT("L4"),Abilities,2,FALSE)&amp;""""&amp;IF(VLOOKUP(INDIRECT("L4"),Abilities,3,FALSE)="","",", ApplyToWeaponSlot=eInvSlot_"&amp;VLOOKUP(INDIRECT("L4"),Abilities,3,FALSE))&amp;"), \\")</f>
        <v>(AbilityName="ShadowOps_ShieldProtocol", ApplyToWeaponSlot=eInvSlot_SecondaryWeapon), \\</v>
      </c>
      <c r="B76" s="234" t="s">
        <v>340</v>
      </c>
      <c r="C76" s="234"/>
      <c r="D76" s="234"/>
      <c r="E76" s="248" t="str">
        <f ca="1">IF(INDIRECT("V31")&lt;&gt;"","RandomNickNames[27]="""&amp;INDIRECT("V31")&amp;"""","")</f>
        <v>RandomNickNames[27]="Thunder"</v>
      </c>
      <c r="F76" s="234" t="s">
        <v>340</v>
      </c>
      <c r="G76" s="234"/>
      <c r="H76" s="234"/>
      <c r="I76" s="234"/>
      <c r="J76" s="234"/>
    </row>
    <row r="77" spans="1:10" x14ac:dyDescent="0.25">
      <c r="A77" s="240" t="str">
        <f ca="1">IF(INDIRECT("F7")="","\\","(AbilityName="""&amp;VLOOKUP(INDIRECT("F7"),Abilities,2,FALSE)&amp;""""&amp;IF(VLOOKUP(INDIRECT("F7"),Abilities,3,FALSE)="","",", ApplyToWeaponSlot=eInvSlot_"&amp;VLOOKUP(INDIRECT("F7"),Abilities,3,FALSE))&amp;"), \\")</f>
        <v>\\</v>
      </c>
      <c r="B77" s="234" t="s">
        <v>340</v>
      </c>
      <c r="C77" s="234"/>
      <c r="D77" s="234"/>
      <c r="E77" s="248" t="str">
        <f ca="1">IF(INDIRECT("V32")&lt;&gt;"","RandomNickNames[28]="""&amp;INDIRECT("V32")&amp;"""","")</f>
        <v>RandomNickNames[28]="Undertaker"</v>
      </c>
      <c r="F77" s="234" t="s">
        <v>340</v>
      </c>
      <c r="G77" s="234"/>
      <c r="H77" s="234"/>
      <c r="I77" s="234"/>
      <c r="J77" s="234"/>
    </row>
    <row r="78" spans="1:10" x14ac:dyDescent="0.25">
      <c r="A78" s="240" t="str">
        <f ca="1">IF(INDIRECT("I7")="","\\","(AbilityName="""&amp;VLOOKUP(INDIRECT("I7"),Abilities,2,FALSE)&amp;""""&amp;IF(VLOOKUP(INDIRECT("I7"),Abilities,3,FALSE)="","",", ApplyToWeaponSlot=eInvSlot_"&amp;VLOOKUP(INDIRECT("I7"),Abilities,3,FALSE))&amp;"), \\")</f>
        <v>\\</v>
      </c>
      <c r="B78" s="234" t="s">
        <v>340</v>
      </c>
      <c r="C78" s="234"/>
      <c r="D78" s="234"/>
      <c r="E78" s="248" t="str">
        <f ca="1">IF(INDIRECT("V33")&lt;&gt;"","RandomNickNames[29]="""&amp;INDIRECT("V33")&amp;"""","")</f>
        <v>RandomNickNames[29]="War"</v>
      </c>
      <c r="F78" s="234" t="s">
        <v>340</v>
      </c>
      <c r="G78" s="234"/>
      <c r="H78" s="234"/>
      <c r="I78" s="234"/>
      <c r="J78" s="234"/>
    </row>
    <row r="79" spans="1:10" x14ac:dyDescent="0.25">
      <c r="A79" s="240" t="str">
        <f ca="1">IF(INDIRECT("L7")="","\\","(AbilityName="""&amp;VLOOKUP(INDIRECT("L7"),Abilities,2,FALSE)&amp;""""&amp;IF(VLOOKUP(INDIRECT("L7"),Abilities,3,FALSE)="","",", ApplyToWeaponSlot=eInvSlot_"&amp;VLOOKUP(INDIRECT("L7"),Abilities,3,FALSE))&amp;"), \\")</f>
        <v>\\</v>
      </c>
      <c r="B79" s="234" t="s">
        <v>340</v>
      </c>
      <c r="C79" s="234"/>
      <c r="D79" s="234"/>
      <c r="E79" s="248" t="str">
        <f ca="1">IF(INDIRECT("V34")&lt;&gt;"","RandomNickNames[30]="""&amp;INDIRECT("V34")&amp;"""","")</f>
        <v>RandomNickNames[30]="Whoopsie"</v>
      </c>
      <c r="F79" s="234" t="s">
        <v>340</v>
      </c>
      <c r="G79" s="234"/>
      <c r="H79" s="234"/>
      <c r="I79" s="234"/>
      <c r="J79" s="234"/>
    </row>
    <row r="80" spans="1:10" x14ac:dyDescent="0.25">
      <c r="A80" s="240" t="s">
        <v>337</v>
      </c>
      <c r="B80" s="234" t="s">
        <v>340</v>
      </c>
      <c r="C80" s="234"/>
      <c r="D80" s="234"/>
      <c r="E80" s="248" t="str">
        <f ca="1">IF(INDIRECT("V35")&lt;&gt;"","RandomNickNames[31]="""&amp;INDIRECT("V35")&amp;"""","")</f>
        <v>RandomNickNames[31]="Gobbet"</v>
      </c>
      <c r="F80" s="234" t="s">
        <v>340</v>
      </c>
      <c r="G80" s="234"/>
      <c r="H80" s="234"/>
      <c r="I80" s="234"/>
      <c r="J80" s="234"/>
    </row>
    <row r="81" spans="1:10" x14ac:dyDescent="0.25">
      <c r="A81" s="240"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(StatType=eStat_Hacking,StatAmount=40), (StatType=eStat_CombatSims,StatAmount=1), (StatType=eStat_Will,StatAmount=5)),\\</v>
      </c>
      <c r="B81" s="234" t="s">
        <v>340</v>
      </c>
      <c r="C81" s="234"/>
      <c r="D81" s="234"/>
      <c r="E81" s="248" t="str">
        <f>"; Male Nicknames"</f>
        <v>; Male Nicknames</v>
      </c>
      <c r="F81" s="234" t="s">
        <v>340</v>
      </c>
      <c r="G81" s="234"/>
      <c r="H81" s="234"/>
      <c r="I81" s="234"/>
      <c r="J81" s="234"/>
    </row>
    <row r="82" spans="1:10" x14ac:dyDescent="0.25">
      <c r="A82" s="240" t="s">
        <v>338</v>
      </c>
      <c r="B82" s="234" t="s">
        <v>340</v>
      </c>
      <c r="C82" s="234"/>
      <c r="D82" s="234"/>
      <c r="E82" s="248" t="str">
        <f ca="1">IF(INDIRECT("X4")&lt;&gt;"","RandomNickNames_Male[0]="""&amp;INDIRECT("X4")&amp;"""","")</f>
        <v>RandomNickNames_Male[0]="Mr. Magoo"</v>
      </c>
      <c r="F82" s="234" t="s">
        <v>340</v>
      </c>
      <c r="G82" s="234"/>
      <c r="H82" s="234"/>
      <c r="I82" s="234"/>
      <c r="J82" s="234"/>
    </row>
    <row r="83" spans="1:10" x14ac:dyDescent="0.25">
      <c r="A83" s="240" t="str">
        <f>"; lance corporal"</f>
        <v>; lance corporal</v>
      </c>
      <c r="B83" s="234" t="s">
        <v>340</v>
      </c>
      <c r="C83" s="234"/>
      <c r="D83" s="234"/>
      <c r="E83" s="248" t="str">
        <f ca="1">IF(INDIRECT("X5")&lt;&gt;"","RandomNickNames_Male[1]="""&amp;INDIRECT("X5")&amp;"""","")</f>
        <v>RandomNickNames_Male[1]="Magic Man"</v>
      </c>
      <c r="F83" s="234" t="s">
        <v>340</v>
      </c>
      <c r="G83" s="234"/>
      <c r="H83" s="234"/>
      <c r="I83" s="234"/>
      <c r="J83" s="234"/>
    </row>
    <row r="84" spans="1:10" x14ac:dyDescent="0.25">
      <c r="A84" s="240" t="str">
        <f ca="1">"+SoldierRanks=(  aAbilityTree=( (AbilityName="""&amp;VLOOKUP(INDIRECT("F13"),Abilities,2,FALSE)&amp;""""&amp;IF(VLOOKUP(INDIRECT("F13"),Abilities,3,FALSE)="","",", ApplyToWeaponSlot=eInvSlot_"&amp;VLOOKUP(INDIRECT("F13"),Abilities,3,FALSE))&amp;"), \\"</f>
        <v>+SoldierRanks=(  aAbilityTree=( (AbilityName="AidProtocol", ApplyToWeaponSlot=eInvSlot_SecondaryWeapon), \\</v>
      </c>
      <c r="B84" s="234" t="s">
        <v>340</v>
      </c>
      <c r="C84" s="234"/>
      <c r="D84" s="234"/>
      <c r="E84" s="248" t="str">
        <f ca="1">IF(INDIRECT("X6")&lt;&gt;"","RandomNickNames_Male[2]="""&amp;INDIRECT("X6")&amp;"""","")</f>
        <v>RandomNickNames_Male[2]="Priest"</v>
      </c>
      <c r="F84" s="234" t="s">
        <v>340</v>
      </c>
      <c r="G84" s="234"/>
      <c r="H84" s="234"/>
      <c r="I84" s="234"/>
      <c r="J84" s="234"/>
    </row>
    <row r="85" spans="1:10" x14ac:dyDescent="0.25">
      <c r="A85" s="240" t="str">
        <f ca="1">IF(INDIRECT("I13")="","\\","(AbilityName="""&amp;VLOOKUP(INDIRECT("I13"),Abilities,2,FALSE)&amp;""""&amp;IF(VLOOKUP(INDIRECT("I13"),Abilities,3,FALSE)="","",", ApplyToWeaponSlot=eInvSlot_"&amp;VLOOKUP(INDIRECT("I13"),Abilities,3,FALSE))&amp;"), \\")</f>
        <v>(AbilityName=" "), \\</v>
      </c>
      <c r="B85" s="234" t="s">
        <v>340</v>
      </c>
      <c r="C85" s="234"/>
      <c r="D85" s="234"/>
      <c r="E85" s="248" t="str">
        <f ca="1">IF(INDIRECT("X7")&lt;&gt;"","RandomNickNames_Male[3]="""&amp;INDIRECT("X7")&amp;"""","")</f>
        <v>RandomNickNames_Male[3]="Rainman"</v>
      </c>
      <c r="F85" s="234" t="s">
        <v>340</v>
      </c>
      <c r="G85" s="234"/>
      <c r="H85" s="234"/>
      <c r="I85" s="234"/>
      <c r="J85" s="234"/>
    </row>
    <row r="86" spans="1:10" x14ac:dyDescent="0.25">
      <c r="A86" s="240" t="str">
        <f ca="1">IF(INDIRECT("L13")="","\\","(AbilityName="""&amp;VLOOKUP(INDIRECT("L13"),Abilities,2,FALSE)&amp;""""&amp;IF(VLOOKUP(INDIRECT("L13"),Abilities,3,FALSE)="","",", ApplyToWeaponSlot=eInvSlot_"&amp;VLOOKUP(INDIRECT("L13"),Abilities,3,FALSE))&amp;"), \\")</f>
        <v>(AbilityName="LWD_SmartlinkProtocol", ApplyToWeaponSlot=eInvSlot_SecondaryWeapon), \\</v>
      </c>
      <c r="B86" s="234" t="s">
        <v>340</v>
      </c>
      <c r="C86" s="234"/>
      <c r="D86" s="234"/>
      <c r="E86" s="248" t="str">
        <f ca="1">IF(INDIRECT("X8")&lt;&gt;"","RandomNickNames_Male[4]="""&amp;INDIRECT("X8")&amp;"""","")</f>
        <v>RandomNickNames_Male[4]="Rooster"</v>
      </c>
      <c r="F86" s="234" t="s">
        <v>340</v>
      </c>
      <c r="G86" s="234"/>
      <c r="H86" s="234"/>
      <c r="I86" s="234"/>
      <c r="J86" s="234"/>
    </row>
    <row r="87" spans="1:10" x14ac:dyDescent="0.25">
      <c r="A87" s="240" t="s">
        <v>337</v>
      </c>
      <c r="B87" s="234" t="s">
        <v>340</v>
      </c>
      <c r="C87" s="234"/>
      <c r="D87" s="234"/>
      <c r="E87" s="248" t="str">
        <f>"; Female Nicknames"</f>
        <v>; Female Nicknames</v>
      </c>
      <c r="F87" s="234" t="s">
        <v>340</v>
      </c>
      <c r="G87" s="234"/>
      <c r="H87" s="234"/>
      <c r="I87" s="234"/>
      <c r="J87" s="234"/>
    </row>
    <row r="88" spans="1:10" x14ac:dyDescent="0.25">
      <c r="A88" s="240"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(StatType=eStat_Hacking,StatAmount=5), (StatType=eStat_Will,StatAmount=5)),\\</v>
      </c>
      <c r="B88" s="234" t="s">
        <v>340</v>
      </c>
      <c r="C88" s="234"/>
      <c r="D88" s="234"/>
      <c r="E88" s="248" t="str">
        <f ca="1">IF(INDIRECT("X10")&lt;&gt;"","RandomNickNames_Female[0]="""&amp;INDIRECT("X10")&amp;"""","")</f>
        <v>RandomNickNames_Female[0]="Priestess"</v>
      </c>
      <c r="F88" s="234" t="s">
        <v>340</v>
      </c>
      <c r="G88" s="234"/>
      <c r="H88" s="234"/>
      <c r="I88" s="234"/>
      <c r="J88" s="234"/>
    </row>
    <row r="89" spans="1:10" x14ac:dyDescent="0.25">
      <c r="A89" s="240" t="s">
        <v>338</v>
      </c>
      <c r="B89" s="234" t="s">
        <v>340</v>
      </c>
      <c r="C89" s="234"/>
      <c r="D89" s="234"/>
      <c r="E89" s="248" t="str">
        <f ca="1">IF(INDIRECT("X11")&lt;&gt;"","RandomNickNames_Female[1]="""&amp;INDIRECT("X11")&amp;"""","")</f>
        <v>RandomNickNames_Female[1]="Wolfmother"</v>
      </c>
      <c r="F89" s="234" t="s">
        <v>340</v>
      </c>
      <c r="G89" s="234"/>
      <c r="H89" s="234"/>
      <c r="I89" s="234"/>
      <c r="J89" s="234"/>
    </row>
    <row r="90" spans="1:10" x14ac:dyDescent="0.25">
      <c r="A90" s="240" t="str">
        <f>"; corporal"</f>
        <v>; corporal</v>
      </c>
      <c r="B90" s="234" t="s">
        <v>340</v>
      </c>
      <c r="C90" s="234"/>
      <c r="D90" s="234"/>
      <c r="E90" s="248" t="str">
        <f ca="1">IF(INDIRECT("X12")&lt;&gt;"","RandomNickNames_Female[2]="""&amp;INDIRECT("X12")&amp;"""","")</f>
        <v>RandomNickNames_Female[2]="Black Widow"</v>
      </c>
      <c r="F90" s="234" t="s">
        <v>340</v>
      </c>
      <c r="G90" s="234"/>
      <c r="H90" s="234"/>
      <c r="I90" s="234"/>
      <c r="J90" s="234"/>
    </row>
    <row r="91" spans="1:10" x14ac:dyDescent="0.25">
      <c r="A91" s="240" t="str">
        <f ca="1">"+SoldierRanks=(  aAbilityTree=( (AbilityName="""&amp;VLOOKUP(INDIRECT("F17"),Abilities,2,FALSE)&amp;""""&amp;IF(VLOOKUP(INDIRECT("F17"),Abilities,3,FALSE)="","",", ApplyToWeaponSlot=eInvSlot_"&amp;VLOOKUP(INDIRECT("F17"),Abilities,3,FALSE))&amp;"), \\"</f>
        <v>+SoldierRanks=(  aAbilityTree=( (AbilityName=" "), \\</v>
      </c>
      <c r="B91" s="234" t="s">
        <v>340</v>
      </c>
      <c r="C91" s="234"/>
      <c r="D91" s="234"/>
      <c r="E91" s="248" t="str">
        <f ca="1">IF(INDIRECT("X13")&lt;&gt;"","RandomNickNames_Female[3]="""&amp;INDIRECT("X13")&amp;"""","")</f>
        <v>RandomNickNames_Female[3]="Duchess"</v>
      </c>
      <c r="F91" s="234" t="s">
        <v>340</v>
      </c>
      <c r="G91" s="234"/>
      <c r="H91" s="234"/>
      <c r="I91" s="234"/>
      <c r="J91" s="234"/>
    </row>
    <row r="92" spans="1:10" ht="15.75" thickBot="1" x14ac:dyDescent="0.3">
      <c r="A92" s="240" t="str">
        <f ca="1">IF(INDIRECT("I17")="","\\","(AbilityName="""&amp;VLOOKUP(INDIRECT("I17"),Abilities,2,FALSE)&amp;""""&amp;IF(VLOOKUP(INDIRECT("I17"),Abilities,3,FALSE)="","",", ApplyToWeaponSlot=eInvSlot_"&amp;VLOOKUP(INDIRECT("I17"),Abilities,3,FALSE))&amp;"), \\")</f>
        <v>(AbilityName="LWD_ArtificialIntelligence"), \\</v>
      </c>
      <c r="B92" s="234" t="s">
        <v>340</v>
      </c>
      <c r="C92" s="234"/>
      <c r="D92" s="234"/>
      <c r="E92" s="249" t="str">
        <f ca="1">IF(INDIRECT("X14")&lt;&gt;"","RandomNickNames_Female[4]="""&amp;INDIRECT("X14")&amp;"""","")</f>
        <v>RandomNickNames_Female[4]="Queen"</v>
      </c>
      <c r="F92" s="234" t="s">
        <v>340</v>
      </c>
      <c r="G92" s="234"/>
      <c r="H92" s="234"/>
      <c r="I92" s="234"/>
      <c r="J92" s="234"/>
    </row>
    <row r="93" spans="1:10" x14ac:dyDescent="0.25">
      <c r="A93" s="240" t="str">
        <f ca="1">IF(INDIRECT("L17")="","\\","(AbilityName="""&amp;VLOOKUP(INDIRECT("L17"),Abilities,2,FALSE)&amp;""""&amp;IF(VLOOKUP(INDIRECT("L17"),Abilities,3,FALSE)="","",", ApplyToWeaponSlot=eInvSlot_"&amp;VLOOKUP(INDIRECT("L17"),Abilities,3,FALSE))&amp;"), \\")</f>
        <v>(AbilityName=" "), \\</v>
      </c>
      <c r="B93" s="234" t="s">
        <v>340</v>
      </c>
      <c r="C93" s="234"/>
      <c r="D93" s="234"/>
      <c r="E93" s="234"/>
      <c r="F93" s="234"/>
      <c r="G93" s="234"/>
      <c r="H93" s="234"/>
      <c r="I93" s="234"/>
      <c r="J93" s="234"/>
    </row>
    <row r="94" spans="1:10" x14ac:dyDescent="0.25">
      <c r="A94" s="240" t="s">
        <v>337</v>
      </c>
      <c r="B94" s="234" t="s">
        <v>340</v>
      </c>
      <c r="C94" s="234"/>
      <c r="D94" s="234"/>
      <c r="E94" s="234"/>
      <c r="F94" s="234"/>
      <c r="G94" s="234"/>
      <c r="H94" s="234"/>
      <c r="I94" s="234"/>
      <c r="J94" s="234"/>
    </row>
    <row r="95" spans="1:10" x14ac:dyDescent="0.25">
      <c r="A95" s="240"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(StatType=eStat_Hacking,StatAmount=5)),\\</v>
      </c>
      <c r="B95" s="234" t="s">
        <v>340</v>
      </c>
      <c r="C95" s="234"/>
      <c r="D95" s="234"/>
      <c r="E95" s="234"/>
      <c r="F95" s="234"/>
      <c r="G95" s="234"/>
      <c r="H95" s="234"/>
      <c r="I95" s="234"/>
      <c r="J95" s="234"/>
    </row>
    <row r="96" spans="1:10" x14ac:dyDescent="0.25">
      <c r="A96" s="240" t="s">
        <v>338</v>
      </c>
      <c r="B96" s="234" t="s">
        <v>340</v>
      </c>
      <c r="C96" s="234"/>
      <c r="D96" s="234"/>
      <c r="E96" s="234"/>
      <c r="F96" s="234"/>
      <c r="G96" s="234"/>
      <c r="H96" s="234"/>
      <c r="I96" s="234"/>
      <c r="J96" s="234"/>
    </row>
    <row r="97" spans="1:10" x14ac:dyDescent="0.25">
      <c r="A97" s="240" t="str">
        <f>"; sergeant"</f>
        <v>; sergeant</v>
      </c>
      <c r="B97" s="234" t="s">
        <v>340</v>
      </c>
      <c r="C97" s="234"/>
      <c r="D97" s="234"/>
      <c r="E97" s="234"/>
      <c r="F97" s="234"/>
      <c r="G97" s="234"/>
      <c r="H97" s="234"/>
      <c r="I97" s="234"/>
      <c r="J97" s="234"/>
    </row>
    <row r="98" spans="1:10" x14ac:dyDescent="0.25">
      <c r="A98" s="240" t="str">
        <f ca="1">"+SoldierRanks=(  aAbilityTree=( (AbilityName="""&amp;VLOOKUP(INDIRECT("F21"),Abilities,2,FALSE)&amp;""""&amp;IF(VLOOKUP(INDIRECT("F21"),Abilities,3,FALSE)="","",", ApplyToWeaponSlot=eInvSlot_"&amp;VLOOKUP(INDIRECT("F21"),Abilities,3,FALSE))&amp;"), \\"</f>
        <v>+SoldierRanks=(  aAbilityTree=( (AbilityName="ShadowOps_Scrounger"), \\</v>
      </c>
      <c r="B98" s="234" t="s">
        <v>340</v>
      </c>
      <c r="C98" s="234"/>
      <c r="D98" s="234"/>
      <c r="E98" s="234"/>
      <c r="F98" s="234"/>
      <c r="G98" s="234"/>
      <c r="H98" s="234"/>
      <c r="I98" s="234"/>
      <c r="J98" s="234"/>
    </row>
    <row r="99" spans="1:10" x14ac:dyDescent="0.25">
      <c r="A99" s="240" t="str">
        <f ca="1">IF(INDIRECT("I21")="","\\","(AbilityName="""&amp;VLOOKUP(INDIRECT("I21"),Abilities,2,FALSE)&amp;""""&amp;IF(VLOOKUP(INDIRECT("I21"),Abilities,3,FALSE)="","",", ApplyToWeaponSlot=eInvSlot_"&amp;VLOOKUP(INDIRECT("I21"),Abilities,3,FALSE))&amp;"), \\")</f>
        <v>(AbilityName=" "), \\</v>
      </c>
      <c r="B99" s="234" t="s">
        <v>340</v>
      </c>
      <c r="C99" s="234"/>
      <c r="D99" s="234"/>
      <c r="E99" s="234"/>
      <c r="F99" s="234"/>
      <c r="G99" s="234"/>
      <c r="H99" s="234"/>
      <c r="I99" s="234"/>
      <c r="J99" s="234"/>
    </row>
    <row r="100" spans="1:10" x14ac:dyDescent="0.25">
      <c r="A100" s="240" t="str">
        <f ca="1">IF(INDIRECT("L21")="","\\","(AbilityName="""&amp;VLOOKUP(INDIRECT("L21"),Abilities,2,FALSE)&amp;""""&amp;IF(VLOOKUP(INDIRECT("L21"),Abilities,3,FALSE)="","",", ApplyToWeaponSlot=eInvSlot_"&amp;VLOOKUP(INDIRECT("L21"),Abilities,3,FALSE))&amp;"), \\")</f>
        <v>(AbilityName="Airdrop", ApplyToWeaponSlot=eInvSlot_SecondaryWeapon), \\</v>
      </c>
      <c r="B100" s="234" t="s">
        <v>340</v>
      </c>
      <c r="C100" s="234"/>
      <c r="D100" s="234"/>
      <c r="E100" s="234"/>
      <c r="F100" s="234"/>
      <c r="G100" s="234"/>
      <c r="H100" s="234"/>
      <c r="I100" s="234"/>
      <c r="J100" s="234"/>
    </row>
    <row r="101" spans="1:10" x14ac:dyDescent="0.25">
      <c r="A101" s="240" t="s">
        <v>337</v>
      </c>
      <c r="B101" s="234" t="s">
        <v>340</v>
      </c>
      <c r="C101" s="234"/>
      <c r="D101" s="234"/>
      <c r="E101" s="234"/>
      <c r="F101" s="234"/>
      <c r="G101" s="234"/>
      <c r="H101" s="234"/>
      <c r="I101" s="234"/>
      <c r="J101" s="234"/>
    </row>
    <row r="102" spans="1:10" x14ac:dyDescent="0.25">
      <c r="A102" s="240"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(StatType=eStat_Hacking,StatAmount=5)),\\</v>
      </c>
      <c r="B102" s="234" t="s">
        <v>340</v>
      </c>
      <c r="C102" s="234"/>
      <c r="D102" s="234"/>
      <c r="E102" s="234"/>
      <c r="F102" s="234"/>
      <c r="G102" s="234"/>
      <c r="H102" s="234"/>
      <c r="I102" s="234"/>
      <c r="J102" s="234"/>
    </row>
    <row r="103" spans="1:10" x14ac:dyDescent="0.25">
      <c r="A103" s="240" t="s">
        <v>338</v>
      </c>
      <c r="B103" s="234" t="s">
        <v>340</v>
      </c>
      <c r="C103" s="234"/>
      <c r="D103" s="234"/>
      <c r="E103" s="234"/>
      <c r="F103" s="234"/>
      <c r="G103" s="234"/>
      <c r="H103" s="234"/>
      <c r="I103" s="234"/>
      <c r="J103" s="234"/>
    </row>
    <row r="104" spans="1:10" x14ac:dyDescent="0.25">
      <c r="A104" s="240" t="str">
        <f>"; staff sergeant"</f>
        <v>; staff sergeant</v>
      </c>
      <c r="B104" s="234" t="s">
        <v>340</v>
      </c>
      <c r="C104" s="234"/>
      <c r="D104" s="234"/>
      <c r="E104" s="234"/>
      <c r="F104" s="234"/>
      <c r="G104" s="234"/>
      <c r="H104" s="234"/>
      <c r="I104" s="234"/>
      <c r="J104" s="234"/>
    </row>
    <row r="105" spans="1:10" x14ac:dyDescent="0.25">
      <c r="A105" s="240" t="str">
        <f ca="1">"+SoldierRanks=(  aAbilityTree=( (AbilityName="""&amp;VLOOKUP(INDIRECT("F25"),Abilities,2,FALSE)&amp;""""&amp;IF(VLOOKUP(INDIRECT("F25"),Abilities,3,FALSE)="","",", ApplyToWeaponSlot=eInvSlot_"&amp;VLOOKUP(INDIRECT("F25"),Abilities,3,FALSE))&amp;"), \\"</f>
        <v>+SoldierRanks=(  aAbilityTree=( (AbilityName="ShadowOps_AdvancedShieldProtocol", ApplyToWeaponSlot=eInvSlot_SecondaryWeapon), \\</v>
      </c>
      <c r="B105" s="234" t="s">
        <v>340</v>
      </c>
      <c r="C105" s="234"/>
      <c r="D105" s="234"/>
      <c r="E105" s="234"/>
      <c r="F105" s="234"/>
      <c r="G105" s="234"/>
      <c r="H105" s="234"/>
      <c r="I105" s="234"/>
      <c r="J105" s="234"/>
    </row>
    <row r="106" spans="1:10" x14ac:dyDescent="0.25">
      <c r="A106" s="240" t="str">
        <f ca="1">IF(INDIRECT("I25")="","\\","(AbilityName="""&amp;VLOOKUP(INDIRECT("I25"),Abilities,2,FALSE)&amp;""""&amp;IF(VLOOKUP(INDIRECT("I25"),Abilities,3,FALSE)="","",", ApplyToWeaponSlot=eInvSlot_"&amp;VLOOKUP(INDIRECT("I25"),Abilities,3,FALSE))&amp;"), \\")</f>
        <v>(AbilityName=" "), \\</v>
      </c>
      <c r="B106" s="234" t="s">
        <v>340</v>
      </c>
      <c r="C106" s="234"/>
      <c r="D106" s="234"/>
      <c r="E106" s="234"/>
      <c r="F106" s="234"/>
      <c r="G106" s="234"/>
      <c r="H106" s="234"/>
      <c r="I106" s="234"/>
      <c r="J106" s="234"/>
    </row>
    <row r="107" spans="1:10" x14ac:dyDescent="0.25">
      <c r="A107" s="240" t="str">
        <f ca="1">IF(INDIRECT("L25")="","\\","(AbilityName="""&amp;VLOOKUP(INDIRECT("L25"),Abilities,2,FALSE)&amp;""""&amp;IF(VLOOKUP(INDIRECT("L25"),Abilities,3,FALSE)="","",", ApplyToWeaponSlot=eInvSlot_"&amp;VLOOKUP(INDIRECT("L25"),Abilities,3,FALSE))&amp;"), \\")</f>
        <v>(AbilityName="ShadowOps_RestorationProtocol", ApplyToWeaponSlot=eInvSlot_SecondaryWeapon), \\</v>
      </c>
      <c r="B107" s="234" t="s">
        <v>340</v>
      </c>
      <c r="C107" s="234"/>
      <c r="D107" s="234"/>
      <c r="E107" s="234"/>
      <c r="F107" s="234"/>
      <c r="G107" s="234"/>
      <c r="H107" s="234"/>
      <c r="I107" s="234"/>
      <c r="J107" s="234"/>
    </row>
    <row r="108" spans="1:10" x14ac:dyDescent="0.25">
      <c r="A108" s="240" t="s">
        <v>337</v>
      </c>
      <c r="B108" s="234" t="s">
        <v>340</v>
      </c>
      <c r="C108" s="234"/>
      <c r="D108" s="234"/>
      <c r="E108" s="234"/>
      <c r="F108" s="234"/>
      <c r="G108" s="234"/>
      <c r="H108" s="234"/>
      <c r="I108" s="234"/>
      <c r="J108" s="234"/>
    </row>
    <row r="109" spans="1:10" x14ac:dyDescent="0.25">
      <c r="A109" s="240"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(StatType=eStat_Hacking,StatAmount=5)),\\</v>
      </c>
      <c r="B109" s="234" t="s">
        <v>340</v>
      </c>
      <c r="C109" s="234"/>
      <c r="D109" s="234"/>
      <c r="E109" s="234"/>
      <c r="F109" s="234"/>
      <c r="G109" s="234"/>
      <c r="H109" s="234"/>
      <c r="I109" s="234"/>
      <c r="J109" s="234"/>
    </row>
    <row r="110" spans="1:10" x14ac:dyDescent="0.25">
      <c r="A110" s="240" t="s">
        <v>338</v>
      </c>
      <c r="B110" s="234" t="s">
        <v>340</v>
      </c>
      <c r="C110" s="234"/>
      <c r="D110" s="234"/>
      <c r="E110" s="234"/>
      <c r="F110" s="234"/>
      <c r="G110" s="234"/>
      <c r="H110" s="234"/>
      <c r="I110" s="234"/>
      <c r="J110" s="234"/>
    </row>
    <row r="111" spans="1:10" x14ac:dyDescent="0.25">
      <c r="A111" s="240" t="str">
        <f>"; tech sergeant"</f>
        <v>; tech sergeant</v>
      </c>
      <c r="B111" s="234" t="s">
        <v>340</v>
      </c>
      <c r="C111" s="234"/>
      <c r="D111" s="234"/>
      <c r="E111" s="234"/>
      <c r="F111" s="234"/>
      <c r="G111" s="234"/>
      <c r="H111" s="234"/>
      <c r="I111" s="234"/>
      <c r="J111" s="234"/>
    </row>
    <row r="112" spans="1:10" x14ac:dyDescent="0.25">
      <c r="A112" s="240" t="str">
        <f ca="1">"+SoldierRanks=(  aAbilityTree=( (AbilityName="""&amp;VLOOKUP(INDIRECT("F29"),Abilities,2,FALSE)&amp;""""&amp;IF(VLOOKUP(INDIRECT("F29"),Abilities,3,FALSE)="","",", ApplyToWeaponSlot=eInvSlot_"&amp;VLOOKUP(INDIRECT("F29"),Abilities,3,FALSE))&amp;"), \\"</f>
        <v>+SoldierRanks=(  aAbilityTree=( (AbilityName="ShadowOps_ShieldsUp", ApplyToWeaponSlot=eInvSlot_SecondaryWeapon), \\</v>
      </c>
      <c r="B112" s="234" t="s">
        <v>340</v>
      </c>
      <c r="C112" s="234"/>
      <c r="D112" s="234"/>
      <c r="E112" s="234"/>
      <c r="F112" s="234"/>
      <c r="G112" s="234"/>
      <c r="H112" s="234"/>
      <c r="I112" s="234"/>
      <c r="J112" s="234"/>
    </row>
    <row r="113" spans="1:10" x14ac:dyDescent="0.25">
      <c r="A113" s="240" t="str">
        <f ca="1">IF(INDIRECT("I29")="","\\","(AbilityName="""&amp;VLOOKUP(INDIRECT("I29"),Abilities,2,FALSE)&amp;""""&amp;IF(VLOOKUP(INDIRECT("I29"),Abilities,3,FALSE)="","",", ApplyToWeaponSlot=eInvSlot_"&amp;VLOOKUP(INDIRECT("I29"),Abilities,3,FALSE))&amp;"), \\")</f>
        <v>(AbilityName=" "), \\</v>
      </c>
      <c r="B113" s="234" t="s">
        <v>340</v>
      </c>
      <c r="C113" s="234"/>
      <c r="D113" s="234"/>
      <c r="E113" s="234"/>
      <c r="F113" s="234"/>
      <c r="G113" s="234"/>
      <c r="H113" s="234"/>
      <c r="I113" s="234"/>
      <c r="J113" s="234"/>
    </row>
    <row r="114" spans="1:10" x14ac:dyDescent="0.25">
      <c r="A114" s="240" t="str">
        <f ca="1">IF(INDIRECT("L29")="","\\","(AbilityName="""&amp;VLOOKUP(INDIRECT("L29"),Abilities,2,FALSE)&amp;""""&amp;IF(VLOOKUP(INDIRECT("L29"),Abilities,3,FALSE)="","",", ApplyToWeaponSlot=eInvSlot_"&amp;VLOOKUP(INDIRECT("L29"),Abilities,3,FALSE))&amp;"), \\")</f>
        <v>(AbilityName="ScanningProtocol", ApplyToWeaponSlot=eInvSlot_SecondaryWeapon), \\</v>
      </c>
      <c r="B114" s="234" t="s">
        <v>340</v>
      </c>
      <c r="C114" s="234"/>
      <c r="D114" s="234"/>
      <c r="E114" s="234"/>
      <c r="F114" s="234"/>
      <c r="G114" s="234"/>
      <c r="H114" s="234"/>
      <c r="I114" s="234"/>
      <c r="J114" s="234"/>
    </row>
    <row r="115" spans="1:10" x14ac:dyDescent="0.25">
      <c r="A115" s="240" t="s">
        <v>337</v>
      </c>
      <c r="B115" s="234" t="s">
        <v>340</v>
      </c>
      <c r="C115" s="234"/>
      <c r="D115" s="234"/>
      <c r="E115" s="234"/>
      <c r="F115" s="234"/>
      <c r="G115" s="234"/>
      <c r="H115" s="234"/>
      <c r="I115" s="234"/>
      <c r="J115" s="234"/>
    </row>
    <row r="116" spans="1:10" x14ac:dyDescent="0.25">
      <c r="A116" s="240"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(StatType=eStat_Hacking,StatAmount=5)),\\</v>
      </c>
      <c r="B116" s="234" t="s">
        <v>340</v>
      </c>
      <c r="C116" s="234"/>
      <c r="D116" s="234"/>
      <c r="E116" s="234"/>
      <c r="F116" s="234"/>
      <c r="G116" s="234"/>
      <c r="H116" s="234"/>
      <c r="I116" s="234"/>
      <c r="J116" s="234"/>
    </row>
    <row r="117" spans="1:10" x14ac:dyDescent="0.25">
      <c r="A117" s="240" t="s">
        <v>338</v>
      </c>
      <c r="B117" s="234" t="s">
        <v>340</v>
      </c>
      <c r="C117" s="234"/>
      <c r="D117" s="234"/>
      <c r="E117" s="234"/>
      <c r="F117" s="234"/>
      <c r="G117" s="234"/>
      <c r="H117" s="234"/>
      <c r="I117" s="234"/>
      <c r="J117" s="234"/>
    </row>
    <row r="118" spans="1:10" x14ac:dyDescent="0.25">
      <c r="A118" s="240" t="str">
        <f>";  gunnery sergeant"</f>
        <v>;  gunnery sergeant</v>
      </c>
      <c r="B118" s="234" t="s">
        <v>340</v>
      </c>
      <c r="C118" s="234"/>
      <c r="D118" s="234"/>
      <c r="E118" s="234"/>
      <c r="F118" s="234"/>
      <c r="G118" s="234"/>
      <c r="H118" s="234"/>
      <c r="I118" s="234"/>
      <c r="J118" s="234"/>
    </row>
    <row r="119" spans="1:10" x14ac:dyDescent="0.25">
      <c r="A119" s="240" t="str">
        <f ca="1">"+SoldierRanks=(  aAbilityTree=( (AbilityName="""&amp;VLOOKUP(INDIRECT("F33"),Abilities,2,FALSE)&amp;""""&amp;IF(VLOOKUP(INDIRECT("F33"),Abilities,3,FALSE)="","",", ApplyToWeaponSlot=eInvSlot_"&amp;VLOOKUP(INDIRECT("F33"),Abilities,3,FALSE))&amp;"), \\"</f>
        <v>+SoldierRanks=(  aAbilityTree=( (AbilityName=" "), \\</v>
      </c>
      <c r="B119" s="234" t="s">
        <v>340</v>
      </c>
      <c r="C119" s="234"/>
      <c r="D119" s="234"/>
      <c r="E119" s="234"/>
      <c r="F119" s="234"/>
      <c r="G119" s="234"/>
      <c r="H119" s="234"/>
      <c r="I119" s="234"/>
      <c r="J119" s="234"/>
    </row>
    <row r="120" spans="1:10" x14ac:dyDescent="0.25">
      <c r="A120" s="240" t="str">
        <f ca="1">IF(INDIRECT("I33")="","\\","(AbilityName="""&amp;VLOOKUP(INDIRECT("I33"),Abilities,2,FALSE)&amp;""""&amp;IF(VLOOKUP(INDIRECT("I33"),Abilities,3,FALSE)="","",", ApplyToWeaponSlot=eInvSlot_"&amp;VLOOKUP(INDIRECT("I33"),Abilities,3,FALSE))&amp;"), \\")</f>
        <v>(AbilityName="ShadowOps_Aegis", ApplyToWeaponSlot=eInvSlot_SecondaryWeapon), \\</v>
      </c>
      <c r="B120" s="234" t="s">
        <v>340</v>
      </c>
      <c r="C120" s="234"/>
      <c r="D120" s="234"/>
      <c r="E120" s="234"/>
      <c r="F120" s="234"/>
      <c r="G120" s="234"/>
      <c r="H120" s="234"/>
      <c r="I120" s="234"/>
      <c r="J120" s="234"/>
    </row>
    <row r="121" spans="1:10" x14ac:dyDescent="0.25">
      <c r="A121" s="240" t="str">
        <f ca="1">IF(INDIRECT("L33")="","\\","(AbilityName="""&amp;VLOOKUP(INDIRECT("L33"),Abilities,2,FALSE)&amp;""""&amp;IF(VLOOKUP(INDIRECT("L33"),Abilities,3,FALSE)="","",", ApplyToWeaponSlot=eInvSlot_"&amp;VLOOKUP(INDIRECT("L33"),Abilities,3,FALSE))&amp;"), \\")</f>
        <v>(AbilityName=" "), \\</v>
      </c>
      <c r="B121" s="234" t="s">
        <v>340</v>
      </c>
      <c r="C121" s="234"/>
      <c r="D121" s="234"/>
      <c r="E121" s="234"/>
      <c r="F121" s="234"/>
      <c r="G121" s="234"/>
      <c r="H121" s="234"/>
      <c r="I121" s="234"/>
      <c r="J121" s="234"/>
    </row>
    <row r="122" spans="1:10" x14ac:dyDescent="0.25">
      <c r="A122" s="240" t="s">
        <v>337</v>
      </c>
      <c r="B122" s="234" t="s">
        <v>340</v>
      </c>
      <c r="C122" s="234"/>
      <c r="D122" s="234"/>
      <c r="E122" s="234"/>
      <c r="F122" s="234"/>
      <c r="G122" s="234"/>
      <c r="H122" s="234"/>
      <c r="I122" s="234"/>
      <c r="J122" s="234"/>
    </row>
    <row r="123" spans="1:10" x14ac:dyDescent="0.25">
      <c r="A123" s="240"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(StatType=eStat_Hacking,StatAmount=5)),\\</v>
      </c>
      <c r="B123" s="234" t="s">
        <v>340</v>
      </c>
      <c r="C123" s="234"/>
      <c r="D123" s="234"/>
      <c r="E123" s="234"/>
      <c r="F123" s="234"/>
      <c r="G123" s="234"/>
      <c r="H123" s="234"/>
      <c r="I123" s="234"/>
      <c r="J123" s="234"/>
    </row>
    <row r="124" spans="1:10" x14ac:dyDescent="0.25">
      <c r="A124" s="240" t="s">
        <v>338</v>
      </c>
      <c r="B124" s="234" t="s">
        <v>340</v>
      </c>
      <c r="C124" s="234"/>
      <c r="D124" s="234"/>
      <c r="E124" s="234"/>
      <c r="F124" s="234"/>
      <c r="G124" s="234"/>
      <c r="H124" s="234"/>
      <c r="I124" s="234"/>
      <c r="J124" s="234"/>
    </row>
    <row r="125" spans="1:10" x14ac:dyDescent="0.25">
      <c r="A125" s="240" t="str">
        <f>"; master sergeant"</f>
        <v>; master sergeant</v>
      </c>
      <c r="B125" s="234" t="s">
        <v>340</v>
      </c>
      <c r="C125" s="234"/>
      <c r="D125" s="234"/>
      <c r="E125" s="234"/>
      <c r="F125" s="234"/>
      <c r="G125" s="234"/>
      <c r="H125" s="234"/>
      <c r="I125" s="234"/>
      <c r="J125" s="234"/>
    </row>
    <row r="126" spans="1:10" x14ac:dyDescent="0.25">
      <c r="A126" s="240" t="str">
        <f ca="1">"+SoldierRanks=(  aAbilityTree=( (AbilityName="""&amp;VLOOKUP(INDIRECT("F37"),Abilities,2,FALSE)&amp;""""&amp;IF(VLOOKUP(INDIRECT("F37"),Abilities,3,FALSE)="","",", ApplyToWeaponSlot=eInvSlot_"&amp;VLOOKUP(INDIRECT("F37"),Abilities,3,FALSE))&amp;"), \\"</f>
        <v>+SoldierRanks=(  aAbilityTree=( (AbilityName="ShadowOps_Supercharge", ApplyToWeaponSlot=eInvSlot_SecondaryWeapon), \\</v>
      </c>
      <c r="B126" s="234" t="s">
        <v>340</v>
      </c>
      <c r="C126" s="234"/>
      <c r="D126" s="234"/>
      <c r="E126" s="234"/>
      <c r="F126" s="234"/>
      <c r="G126" s="234"/>
      <c r="H126" s="234"/>
      <c r="I126" s="234"/>
      <c r="J126" s="234"/>
    </row>
    <row r="127" spans="1:10" x14ac:dyDescent="0.25">
      <c r="A127" s="240" t="str">
        <f ca="1">IF(INDIRECT("I37")="","\\","(AbilityName="""&amp;VLOOKUP(INDIRECT("I37"),Abilities,2,FALSE)&amp;""""&amp;IF(VLOOKUP(INDIRECT("I37"),Abilities,3,FALSE)="","",", ApplyToWeaponSlot=eInvSlot_"&amp;VLOOKUP(INDIRECT("I37"),Abilities,3,FALSE))&amp;"), \\")</f>
        <v>(AbilityName=" "), \\</v>
      </c>
      <c r="B127" s="234" t="s">
        <v>340</v>
      </c>
      <c r="C127" s="234"/>
      <c r="D127" s="234"/>
      <c r="E127" s="234"/>
      <c r="F127" s="234"/>
      <c r="G127" s="234"/>
      <c r="H127" s="234"/>
      <c r="I127" s="234"/>
      <c r="J127" s="234"/>
    </row>
    <row r="128" spans="1:10" x14ac:dyDescent="0.25">
      <c r="A128" s="240" t="str">
        <f ca="1">IF(INDIRECT("L37")="","\\","(AbilityName="""&amp;VLOOKUP(INDIRECT("L37"),Abilities,2,FALSE)&amp;""""&amp;IF(VLOOKUP(INDIRECT("L37"),Abilities,3,FALSE)="","",", ApplyToWeaponSlot=eInvSlot_"&amp;VLOOKUP(INDIRECT("L37"),Abilities,3,FALSE))&amp;"), \\")</f>
        <v>(AbilityName="CapacitorDischarge", ApplyToWeaponSlot=eInvSlot_SecondaryWeapon), \\</v>
      </c>
      <c r="B128" s="234" t="s">
        <v>340</v>
      </c>
      <c r="C128" s="234"/>
      <c r="D128" s="234"/>
      <c r="E128" s="234"/>
      <c r="F128" s="234"/>
      <c r="G128" s="234"/>
      <c r="H128" s="234"/>
      <c r="I128" s="234"/>
      <c r="J128" s="234"/>
    </row>
    <row r="129" spans="1:10" x14ac:dyDescent="0.25">
      <c r="A129" s="240" t="s">
        <v>337</v>
      </c>
      <c r="B129" s="234" t="s">
        <v>340</v>
      </c>
      <c r="C129" s="234"/>
      <c r="D129" s="234"/>
      <c r="E129" s="234"/>
      <c r="F129" s="234"/>
      <c r="G129" s="234"/>
      <c r="H129" s="234"/>
      <c r="I129" s="234"/>
      <c r="J129" s="234"/>
    </row>
    <row r="130" spans="1:10" x14ac:dyDescent="0.25">
      <c r="A130" s="240"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(StatType=eStat_Hacking,StatAmount=5)),\\</v>
      </c>
      <c r="B130" s="234" t="s">
        <v>340</v>
      </c>
      <c r="C130" s="234"/>
      <c r="D130" s="234"/>
      <c r="E130" s="234"/>
      <c r="F130" s="234"/>
      <c r="G130" s="234"/>
      <c r="H130" s="234"/>
      <c r="I130" s="234"/>
      <c r="J130" s="234"/>
    </row>
    <row r="131" spans="1:10" ht="15.75" thickBot="1" x14ac:dyDescent="0.3">
      <c r="A131" s="241" t="s">
        <v>338</v>
      </c>
      <c r="B131" s="234" t="s">
        <v>340</v>
      </c>
      <c r="C131" s="234"/>
      <c r="D131" s="234"/>
      <c r="E131" s="234"/>
      <c r="F131" s="234"/>
      <c r="G131" s="234"/>
      <c r="H131" s="234"/>
      <c r="I131" s="234"/>
      <c r="J131" s="234"/>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I37:J37"/>
    <mergeCell ref="F17:G17"/>
    <mergeCell ref="I17:J17"/>
    <mergeCell ref="L17:M1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L37:M37"/>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A40:B41"/>
    <mergeCell ref="C40:E41"/>
    <mergeCell ref="A42:B42"/>
    <mergeCell ref="C42:D42"/>
    <mergeCell ref="E42:F42"/>
    <mergeCell ref="F38:H39"/>
    <mergeCell ref="I38:K39"/>
  </mergeCells>
  <dataValidations disablePrompts="1"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24930"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24931"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24932"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24933"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24934"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24935"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24936"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24937"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24938"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24939"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24940"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24941"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90" t="s">
        <v>308</v>
      </c>
      <c r="B1" s="91"/>
      <c r="C1" s="94" t="s">
        <v>770</v>
      </c>
      <c r="D1" s="95"/>
      <c r="E1" s="95"/>
      <c r="F1" s="98" t="s">
        <v>324</v>
      </c>
      <c r="G1" s="99"/>
      <c r="H1" s="99"/>
      <c r="I1" s="99"/>
      <c r="J1" s="99"/>
      <c r="K1" s="99"/>
      <c r="L1" s="99"/>
      <c r="M1" s="99"/>
      <c r="N1" s="99"/>
      <c r="O1" s="100" t="s">
        <v>325</v>
      </c>
      <c r="P1" s="101"/>
      <c r="Q1" s="101"/>
      <c r="R1" s="101"/>
      <c r="S1" s="101"/>
      <c r="T1" s="101"/>
      <c r="U1" s="102"/>
      <c r="V1" s="196" t="s">
        <v>776</v>
      </c>
      <c r="W1" s="197"/>
      <c r="X1" s="197"/>
      <c r="Y1" s="197"/>
    </row>
    <row r="2" spans="1:25" ht="15" customHeight="1" thickBot="1" x14ac:dyDescent="0.3">
      <c r="A2" s="92"/>
      <c r="B2" s="93"/>
      <c r="C2" s="96"/>
      <c r="D2" s="97"/>
      <c r="E2" s="97"/>
      <c r="F2" s="98"/>
      <c r="G2" s="99"/>
      <c r="H2" s="99"/>
      <c r="I2" s="99"/>
      <c r="J2" s="99"/>
      <c r="K2" s="99"/>
      <c r="L2" s="99"/>
      <c r="M2" s="99"/>
      <c r="N2" s="99"/>
      <c r="O2" s="103"/>
      <c r="P2" s="104"/>
      <c r="Q2" s="104"/>
      <c r="R2" s="104"/>
      <c r="S2" s="104"/>
      <c r="T2" s="104"/>
      <c r="U2" s="105"/>
      <c r="V2" s="198"/>
      <c r="W2" s="199"/>
      <c r="X2" s="199"/>
      <c r="Y2" s="199"/>
    </row>
    <row r="3" spans="1:25" ht="18" thickBot="1" x14ac:dyDescent="0.35">
      <c r="A3" s="106" t="s">
        <v>309</v>
      </c>
      <c r="B3" s="107"/>
      <c r="C3" s="108" t="str">
        <f>Output!$L$1&amp;SUBSTITUTE(C1," ","")</f>
        <v>LWD_Courser</v>
      </c>
      <c r="D3" s="109"/>
      <c r="E3" s="109"/>
      <c r="F3" s="110" t="s">
        <v>12</v>
      </c>
      <c r="G3" s="111"/>
      <c r="H3" s="111"/>
      <c r="I3" s="111"/>
      <c r="J3" s="111"/>
      <c r="K3" s="111"/>
      <c r="L3" s="111"/>
      <c r="M3" s="111"/>
      <c r="N3" s="112"/>
      <c r="O3" s="15"/>
      <c r="P3" s="16" t="s">
        <v>79</v>
      </c>
      <c r="Q3" s="17" t="s">
        <v>326</v>
      </c>
      <c r="R3" s="17" t="s">
        <v>328</v>
      </c>
      <c r="S3" s="17" t="s">
        <v>327</v>
      </c>
      <c r="T3" s="17" t="s">
        <v>330</v>
      </c>
      <c r="U3" s="18" t="s">
        <v>329</v>
      </c>
      <c r="V3" s="200" t="s">
        <v>810</v>
      </c>
      <c r="W3" s="201"/>
      <c r="X3" s="200" t="s">
        <v>811</v>
      </c>
      <c r="Y3" s="201"/>
    </row>
    <row r="4" spans="1:25" ht="18" thickTop="1" x14ac:dyDescent="0.3">
      <c r="A4" s="113" t="s">
        <v>310</v>
      </c>
      <c r="B4" s="114"/>
      <c r="C4" s="115" t="s">
        <v>314</v>
      </c>
      <c r="D4" s="116"/>
      <c r="E4" s="116"/>
      <c r="F4" s="119" t="s">
        <v>104</v>
      </c>
      <c r="G4" s="120"/>
      <c r="H4" s="4" t="str">
        <f>IFERROR(VLOOKUP(F4,Abilities,4,FALSE),"")</f>
        <v>Spark</v>
      </c>
      <c r="I4" s="121" t="s">
        <v>238</v>
      </c>
      <c r="J4" s="120"/>
      <c r="K4" s="35" t="str">
        <f>IFERROR(VLOOKUP(I4,Abilities,4,FALSE),"")</f>
        <v>LW2</v>
      </c>
      <c r="L4" s="122" t="s">
        <v>242</v>
      </c>
      <c r="M4" s="120"/>
      <c r="N4" s="10" t="str">
        <f>IFERROR(VLOOKUP(L4,Abilities,4,FALSE),"")</f>
        <v>LW2</v>
      </c>
      <c r="O4" s="19" t="s">
        <v>12</v>
      </c>
      <c r="P4" s="4">
        <v>3</v>
      </c>
      <c r="Q4" s="20">
        <v>0</v>
      </c>
      <c r="R4" s="20"/>
      <c r="S4" s="4">
        <v>0</v>
      </c>
      <c r="T4" s="4">
        <v>1</v>
      </c>
      <c r="U4" s="10"/>
      <c r="V4" s="192" t="s">
        <v>777</v>
      </c>
      <c r="W4" s="193"/>
      <c r="X4" s="192" t="s">
        <v>801</v>
      </c>
      <c r="Y4" s="193"/>
    </row>
    <row r="5" spans="1:25" ht="15" customHeight="1" x14ac:dyDescent="0.25">
      <c r="A5" s="6"/>
      <c r="B5" s="5" t="b">
        <v>1</v>
      </c>
      <c r="C5" s="117"/>
      <c r="D5" s="118"/>
      <c r="E5" s="118"/>
      <c r="F5" s="123">
        <f>IFERROR(VLOOKUP(F4,Abilities,7,FALSE),"")</f>
        <v>0</v>
      </c>
      <c r="G5" s="124"/>
      <c r="H5" s="125"/>
      <c r="I5" s="129">
        <f>IFERROR(VLOOKUP(I4,Abilities,7,FALSE),"")</f>
        <v>0</v>
      </c>
      <c r="J5" s="130"/>
      <c r="K5" s="131"/>
      <c r="L5" s="130">
        <f>IFERROR(VLOOKUP(L4,Abilities,7,FALSE),"")</f>
        <v>0</v>
      </c>
      <c r="M5" s="130"/>
      <c r="N5" s="135"/>
      <c r="O5" s="26" t="s">
        <v>456</v>
      </c>
      <c r="P5" s="27">
        <v>2</v>
      </c>
      <c r="Q5" s="28">
        <v>1</v>
      </c>
      <c r="R5" s="28"/>
      <c r="S5" s="27">
        <v>0</v>
      </c>
      <c r="T5" s="27"/>
      <c r="U5" s="29"/>
      <c r="V5" s="190" t="s">
        <v>821</v>
      </c>
      <c r="W5" s="191"/>
      <c r="X5" s="190" t="s">
        <v>802</v>
      </c>
      <c r="Y5" s="191"/>
    </row>
    <row r="6" spans="1:25" ht="15" customHeight="1" x14ac:dyDescent="0.25">
      <c r="A6" s="6"/>
      <c r="B6" s="5" t="b">
        <v>0</v>
      </c>
      <c r="C6" s="137" t="s">
        <v>315</v>
      </c>
      <c r="D6" s="138"/>
      <c r="E6" s="11">
        <v>0</v>
      </c>
      <c r="F6" s="126"/>
      <c r="G6" s="127"/>
      <c r="H6" s="128"/>
      <c r="I6" s="132"/>
      <c r="J6" s="133"/>
      <c r="K6" s="134"/>
      <c r="L6" s="133"/>
      <c r="M6" s="133"/>
      <c r="N6" s="136"/>
      <c r="O6" s="19" t="s">
        <v>15</v>
      </c>
      <c r="P6" s="4">
        <v>3</v>
      </c>
      <c r="Q6" s="20">
        <v>0</v>
      </c>
      <c r="R6" s="20"/>
      <c r="S6" s="4">
        <v>0</v>
      </c>
      <c r="T6" s="4"/>
      <c r="U6" s="10"/>
      <c r="V6" s="190" t="s">
        <v>778</v>
      </c>
      <c r="W6" s="191"/>
      <c r="X6" s="192" t="s">
        <v>803</v>
      </c>
      <c r="Y6" s="193"/>
    </row>
    <row r="7" spans="1:25" ht="15" customHeight="1" x14ac:dyDescent="0.25">
      <c r="A7" s="6"/>
      <c r="B7" s="5" t="b">
        <v>1</v>
      </c>
      <c r="C7" s="137" t="s">
        <v>316</v>
      </c>
      <c r="D7" s="138"/>
      <c r="E7" s="11">
        <v>4</v>
      </c>
      <c r="F7" s="139"/>
      <c r="G7" s="140"/>
      <c r="H7" s="4" t="str">
        <f>IFERROR(VLOOKUP(F7,Abilities,4,FALSE),"")</f>
        <v/>
      </c>
      <c r="I7" s="141"/>
      <c r="J7" s="140"/>
      <c r="K7" s="4" t="str">
        <f>IFERROR(VLOOKUP(I7,Abilities,4,FALSE),"")</f>
        <v/>
      </c>
      <c r="L7" s="142"/>
      <c r="M7" s="140"/>
      <c r="N7" s="10" t="str">
        <f>IFERROR(VLOOKUP(L7,Abilities,4,FALSE),"")</f>
        <v/>
      </c>
      <c r="O7" s="26" t="s">
        <v>21</v>
      </c>
      <c r="P7" s="27">
        <v>2</v>
      </c>
      <c r="Q7" s="28">
        <v>1</v>
      </c>
      <c r="R7" s="28"/>
      <c r="S7" s="27">
        <v>0</v>
      </c>
      <c r="T7" s="27"/>
      <c r="U7" s="29"/>
      <c r="V7" s="192" t="s">
        <v>779</v>
      </c>
      <c r="W7" s="193"/>
      <c r="X7" s="190" t="s">
        <v>804</v>
      </c>
      <c r="Y7" s="191"/>
    </row>
    <row r="8" spans="1:25" ht="15" customHeight="1" thickBot="1" x14ac:dyDescent="0.3">
      <c r="A8" s="6"/>
      <c r="B8" s="5" t="b">
        <v>0</v>
      </c>
      <c r="C8" s="137" t="s">
        <v>317</v>
      </c>
      <c r="D8" s="143"/>
      <c r="E8" s="12" t="s">
        <v>774</v>
      </c>
      <c r="F8" s="144" t="str">
        <f>IFERROR(VLOOKUP(F7,Abilities,7,FALSE),"")</f>
        <v/>
      </c>
      <c r="G8" s="130"/>
      <c r="H8" s="131"/>
      <c r="I8" s="129" t="str">
        <f>IFERROR(VLOOKUP(I7,Abilities,7,FALSE),"")</f>
        <v/>
      </c>
      <c r="J8" s="130"/>
      <c r="K8" s="131"/>
      <c r="L8" s="130" t="str">
        <f>IFERROR(VLOOKUP(L7,Abilities,7,FALSE),"")</f>
        <v/>
      </c>
      <c r="M8" s="130"/>
      <c r="N8" s="135"/>
      <c r="O8" s="21" t="s">
        <v>457</v>
      </c>
      <c r="P8" s="4">
        <v>3</v>
      </c>
      <c r="Q8" s="20">
        <v>0</v>
      </c>
      <c r="R8" s="20"/>
      <c r="S8" s="4">
        <v>0</v>
      </c>
      <c r="T8" s="4"/>
      <c r="U8" s="10"/>
      <c r="V8" s="190" t="s">
        <v>780</v>
      </c>
      <c r="W8" s="191"/>
      <c r="X8" s="192" t="s">
        <v>805</v>
      </c>
      <c r="Y8" s="193"/>
    </row>
    <row r="9" spans="1:25" ht="15.75" thickBot="1" x14ac:dyDescent="0.3">
      <c r="A9" s="6"/>
      <c r="B9" s="5" t="b">
        <v>0</v>
      </c>
      <c r="C9" s="137" t="s">
        <v>319</v>
      </c>
      <c r="D9" s="143"/>
      <c r="E9" s="12">
        <v>1</v>
      </c>
      <c r="F9" s="145"/>
      <c r="G9" s="133"/>
      <c r="H9" s="134"/>
      <c r="I9" s="146"/>
      <c r="J9" s="147"/>
      <c r="K9" s="148"/>
      <c r="L9" s="133"/>
      <c r="M9" s="133"/>
      <c r="N9" s="136"/>
      <c r="O9" s="26" t="s">
        <v>458</v>
      </c>
      <c r="P9" s="27">
        <v>2</v>
      </c>
      <c r="Q9" s="28">
        <v>0</v>
      </c>
      <c r="R9" s="28"/>
      <c r="S9" s="27">
        <v>0</v>
      </c>
      <c r="T9" s="27"/>
      <c r="U9" s="29"/>
      <c r="V9" s="192" t="s">
        <v>829</v>
      </c>
      <c r="W9" s="193"/>
      <c r="X9" s="200" t="s">
        <v>812</v>
      </c>
      <c r="Y9" s="201"/>
    </row>
    <row r="10" spans="1:25" ht="18.75" x14ac:dyDescent="0.3">
      <c r="A10" s="6"/>
      <c r="B10" s="5" t="b">
        <v>0</v>
      </c>
      <c r="C10" s="137" t="s">
        <v>318</v>
      </c>
      <c r="D10" s="143"/>
      <c r="E10" s="12">
        <v>4</v>
      </c>
      <c r="F10" s="157" t="s">
        <v>311</v>
      </c>
      <c r="G10" s="158"/>
      <c r="H10" s="159"/>
      <c r="I10" s="160" t="s">
        <v>349</v>
      </c>
      <c r="J10" s="158"/>
      <c r="K10" s="159"/>
      <c r="L10" s="158" t="s">
        <v>312</v>
      </c>
      <c r="M10" s="158"/>
      <c r="N10" s="161"/>
      <c r="O10" s="36" t="s">
        <v>459</v>
      </c>
      <c r="P10" s="37">
        <v>3</v>
      </c>
      <c r="Q10" s="37">
        <v>1</v>
      </c>
      <c r="R10" s="37"/>
      <c r="S10" s="37">
        <v>0</v>
      </c>
      <c r="T10" s="37"/>
      <c r="U10" s="38"/>
      <c r="V10" s="190" t="s">
        <v>782</v>
      </c>
      <c r="W10" s="191"/>
      <c r="X10" s="192" t="s">
        <v>806</v>
      </c>
      <c r="Y10" s="193"/>
    </row>
    <row r="11" spans="1:25" ht="15.75" customHeight="1" thickBot="1" x14ac:dyDescent="0.3">
      <c r="A11" s="6"/>
      <c r="B11" s="5" t="b">
        <v>0</v>
      </c>
      <c r="C11" s="137" t="s">
        <v>320</v>
      </c>
      <c r="D11" s="143"/>
      <c r="E11" s="12">
        <v>4</v>
      </c>
      <c r="F11" s="162" t="s">
        <v>771</v>
      </c>
      <c r="G11" s="163"/>
      <c r="H11" s="164"/>
      <c r="I11" s="165"/>
      <c r="J11" s="163"/>
      <c r="K11" s="164"/>
      <c r="L11" s="163" t="s">
        <v>740</v>
      </c>
      <c r="M11" s="163"/>
      <c r="N11" s="166"/>
      <c r="O11" s="39" t="s">
        <v>460</v>
      </c>
      <c r="P11" s="40">
        <v>2</v>
      </c>
      <c r="Q11" s="41">
        <v>0</v>
      </c>
      <c r="R11" s="41"/>
      <c r="S11" s="40">
        <v>0</v>
      </c>
      <c r="T11" s="40"/>
      <c r="U11" s="42"/>
      <c r="V11" s="192" t="s">
        <v>824</v>
      </c>
      <c r="W11" s="193"/>
      <c r="X11" s="190" t="s">
        <v>807</v>
      </c>
      <c r="Y11" s="191"/>
    </row>
    <row r="12" spans="1:25" ht="18" customHeight="1" thickBot="1" x14ac:dyDescent="0.35">
      <c r="A12" s="6"/>
      <c r="B12" s="5" t="b">
        <v>0</v>
      </c>
      <c r="C12" s="137" t="s">
        <v>321</v>
      </c>
      <c r="D12" s="143"/>
      <c r="E12" s="12">
        <v>1</v>
      </c>
      <c r="F12" s="169" t="s">
        <v>443</v>
      </c>
      <c r="G12" s="170"/>
      <c r="H12" s="170"/>
      <c r="I12" s="170"/>
      <c r="J12" s="170"/>
      <c r="K12" s="170"/>
      <c r="L12" s="170"/>
      <c r="M12" s="170"/>
      <c r="N12" s="171"/>
      <c r="O12" s="149" t="s">
        <v>813</v>
      </c>
      <c r="P12" s="150"/>
      <c r="Q12" s="150"/>
      <c r="R12" s="150"/>
      <c r="S12" s="150"/>
      <c r="T12" s="150"/>
      <c r="U12" s="151"/>
      <c r="V12" s="192" t="s">
        <v>783</v>
      </c>
      <c r="W12" s="193"/>
      <c r="X12" s="192" t="s">
        <v>808</v>
      </c>
      <c r="Y12" s="193"/>
    </row>
    <row r="13" spans="1:25" ht="16.5" thickTop="1" thickBot="1" x14ac:dyDescent="0.3">
      <c r="A13" s="6"/>
      <c r="B13" s="5" t="b">
        <v>0</v>
      </c>
      <c r="C13" s="155" t="s">
        <v>322</v>
      </c>
      <c r="D13" s="156"/>
      <c r="E13" s="13" t="s">
        <v>323</v>
      </c>
      <c r="F13" s="119" t="s">
        <v>217</v>
      </c>
      <c r="G13" s="120"/>
      <c r="H13" s="4" t="str">
        <f>IFERROR(VLOOKUP(F13,Abilities,4,FALSE),"")</f>
        <v>LW2</v>
      </c>
      <c r="I13" s="121" t="s">
        <v>962</v>
      </c>
      <c r="J13" s="120"/>
      <c r="K13" s="35" t="str">
        <f>IFERROR(VLOOKUP(I13,Abilities,4,FALSE),"")</f>
        <v>BLANK</v>
      </c>
      <c r="L13" s="122" t="s">
        <v>625</v>
      </c>
      <c r="M13" s="120"/>
      <c r="N13" s="10" t="str">
        <f>IFERROR(VLOOKUP(L13,Abilities,4,FALSE),"")</f>
        <v>SOLW</v>
      </c>
      <c r="O13" s="152"/>
      <c r="P13" s="153"/>
      <c r="Q13" s="153"/>
      <c r="R13" s="153"/>
      <c r="S13" s="153"/>
      <c r="T13" s="153"/>
      <c r="U13" s="154"/>
      <c r="V13" s="192" t="s">
        <v>818</v>
      </c>
      <c r="W13" s="193"/>
      <c r="X13" s="190" t="s">
        <v>809</v>
      </c>
      <c r="Y13" s="191"/>
    </row>
    <row r="14" spans="1:25" ht="15.75" thickBot="1" x14ac:dyDescent="0.3">
      <c r="A14" s="6"/>
      <c r="B14" s="7" t="b">
        <v>0</v>
      </c>
      <c r="F14" s="144">
        <f>IFERROR(VLOOKUP(F13,Abilities,7,FALSE),"")</f>
        <v>0</v>
      </c>
      <c r="G14" s="130"/>
      <c r="H14" s="131"/>
      <c r="I14" s="129" t="str">
        <f>IFERROR(VLOOKUP(I13,Abilities,7,FALSE),"")</f>
        <v xml:space="preserve"> </v>
      </c>
      <c r="J14" s="130"/>
      <c r="K14" s="131"/>
      <c r="L14" s="130" t="str">
        <f>IFERROR(VLOOKUP(L13,Abilities,7,FALSE),"")</f>
        <v>Gain &lt;Ability:+Defense/&gt; Defense and &lt;Ability:+Crit/&gt; Crit chance while injured.</v>
      </c>
      <c r="M14" s="130"/>
      <c r="N14" s="135"/>
      <c r="O14" s="22"/>
      <c r="P14" s="23" t="s">
        <v>331</v>
      </c>
      <c r="Q14" s="24" t="s">
        <v>332</v>
      </c>
      <c r="R14" s="24" t="s">
        <v>333</v>
      </c>
      <c r="S14" s="24" t="s">
        <v>334</v>
      </c>
      <c r="T14" s="24" t="s">
        <v>336</v>
      </c>
      <c r="U14" s="25" t="s">
        <v>335</v>
      </c>
      <c r="V14" s="190" t="s">
        <v>784</v>
      </c>
      <c r="W14" s="191"/>
      <c r="X14" s="194" t="s">
        <v>814</v>
      </c>
      <c r="Y14" s="195"/>
    </row>
    <row r="15" spans="1:25" ht="15.75" thickBot="1" x14ac:dyDescent="0.3">
      <c r="A15" s="6"/>
      <c r="B15" s="7" t="b">
        <v>0</v>
      </c>
      <c r="F15" s="167"/>
      <c r="G15" s="147"/>
      <c r="H15" s="148"/>
      <c r="I15" s="146"/>
      <c r="J15" s="147"/>
      <c r="K15" s="148"/>
      <c r="L15" s="147"/>
      <c r="M15" s="147"/>
      <c r="N15" s="168"/>
      <c r="O15" s="19" t="s">
        <v>12</v>
      </c>
      <c r="P15" s="4"/>
      <c r="Q15" s="20">
        <v>5</v>
      </c>
      <c r="R15" s="20"/>
      <c r="S15" s="4"/>
      <c r="T15" s="4"/>
      <c r="U15" s="10"/>
      <c r="V15" s="190" t="s">
        <v>823</v>
      </c>
      <c r="W15" s="191"/>
    </row>
    <row r="16" spans="1:25" ht="18" thickBot="1" x14ac:dyDescent="0.35">
      <c r="A16" s="6"/>
      <c r="B16" s="7" t="b">
        <v>1</v>
      </c>
      <c r="F16" s="169" t="s">
        <v>15</v>
      </c>
      <c r="G16" s="170"/>
      <c r="H16" s="170"/>
      <c r="I16" s="170"/>
      <c r="J16" s="170"/>
      <c r="K16" s="170"/>
      <c r="L16" s="170"/>
      <c r="M16" s="170"/>
      <c r="N16" s="171"/>
      <c r="O16" s="26" t="s">
        <v>456</v>
      </c>
      <c r="P16" s="27"/>
      <c r="Q16" s="28">
        <v>5</v>
      </c>
      <c r="R16" s="28"/>
      <c r="S16" s="27"/>
      <c r="T16" s="27"/>
      <c r="U16" s="29"/>
      <c r="V16" s="190" t="s">
        <v>786</v>
      </c>
      <c r="W16" s="191"/>
    </row>
    <row r="17" spans="1:23" ht="16.5" thickTop="1" thickBot="1" x14ac:dyDescent="0.3">
      <c r="A17" s="8"/>
      <c r="B17" s="9" t="b">
        <v>0</v>
      </c>
      <c r="F17" s="121" t="s">
        <v>962</v>
      </c>
      <c r="G17" s="120"/>
      <c r="H17" s="4" t="str">
        <f>IFERROR(VLOOKUP(F17,Abilities,4,FALSE),"")</f>
        <v>BLANK</v>
      </c>
      <c r="I17" s="121" t="s">
        <v>425</v>
      </c>
      <c r="J17" s="120"/>
      <c r="K17" s="35" t="str">
        <f>IFERROR(VLOOKUP(I17,Abilities,4,FALSE),"")</f>
        <v>LW2</v>
      </c>
      <c r="L17" s="121" t="s">
        <v>962</v>
      </c>
      <c r="M17" s="120"/>
      <c r="N17" s="10" t="str">
        <f>IFERROR(VLOOKUP(L17,Abilities,4,FALSE),"")</f>
        <v>BLANK</v>
      </c>
      <c r="O17" s="19" t="s">
        <v>15</v>
      </c>
      <c r="P17" s="4"/>
      <c r="Q17" s="20"/>
      <c r="R17" s="20"/>
      <c r="S17" s="4"/>
      <c r="T17" s="4"/>
      <c r="U17" s="10"/>
      <c r="V17" s="192" t="s">
        <v>787</v>
      </c>
      <c r="W17" s="193"/>
    </row>
    <row r="18" spans="1:23" x14ac:dyDescent="0.25">
      <c r="A18" s="172" t="s">
        <v>344</v>
      </c>
      <c r="B18" s="173"/>
      <c r="F18" s="144" t="str">
        <f>IFERROR(VLOOKUP(F17,Abilities,7,FALSE),"")</f>
        <v xml:space="preserve"> </v>
      </c>
      <c r="G18" s="130"/>
      <c r="H18" s="131"/>
      <c r="I18" s="129">
        <f>IFERROR(VLOOKUP(I17,Abilities,7,FALSE),"")</f>
        <v>0</v>
      </c>
      <c r="J18" s="130"/>
      <c r="K18" s="131"/>
      <c r="L18" s="130" t="str">
        <f>IFERROR(VLOOKUP(L17,Abilities,7,FALSE),"")</f>
        <v xml:space="preserve"> </v>
      </c>
      <c r="M18" s="130"/>
      <c r="N18" s="135"/>
      <c r="O18" s="26" t="s">
        <v>21</v>
      </c>
      <c r="P18" s="27"/>
      <c r="Q18" s="28"/>
      <c r="R18" s="28"/>
      <c r="S18" s="27"/>
      <c r="T18" s="27"/>
      <c r="U18" s="29"/>
      <c r="V18" s="190" t="s">
        <v>788</v>
      </c>
      <c r="W18" s="191"/>
    </row>
    <row r="19" spans="1:23" ht="15.75" thickBot="1" x14ac:dyDescent="0.3">
      <c r="A19" s="174"/>
      <c r="B19" s="175"/>
      <c r="D19" s="3"/>
      <c r="F19" s="167"/>
      <c r="G19" s="147"/>
      <c r="H19" s="148"/>
      <c r="I19" s="146"/>
      <c r="J19" s="147"/>
      <c r="K19" s="148"/>
      <c r="L19" s="147"/>
      <c r="M19" s="147"/>
      <c r="N19" s="168"/>
      <c r="O19" s="21" t="s">
        <v>457</v>
      </c>
      <c r="P19" s="4"/>
      <c r="Q19" s="20"/>
      <c r="R19" s="20"/>
      <c r="S19" s="4"/>
      <c r="T19" s="4"/>
      <c r="U19" s="10"/>
      <c r="V19" s="192" t="s">
        <v>789</v>
      </c>
      <c r="W19" s="193"/>
    </row>
    <row r="20" spans="1:23" ht="18" thickBot="1" x14ac:dyDescent="0.35">
      <c r="A20" s="176" t="s">
        <v>966</v>
      </c>
      <c r="B20" s="177"/>
      <c r="C20" s="178"/>
      <c r="D20" s="178"/>
      <c r="E20" s="179"/>
      <c r="F20" s="169" t="s">
        <v>21</v>
      </c>
      <c r="G20" s="170"/>
      <c r="H20" s="170"/>
      <c r="I20" s="170"/>
      <c r="J20" s="170"/>
      <c r="K20" s="170"/>
      <c r="L20" s="170"/>
      <c r="M20" s="170"/>
      <c r="N20" s="171"/>
      <c r="O20" s="26" t="s">
        <v>458</v>
      </c>
      <c r="P20" s="27"/>
      <c r="Q20" s="28"/>
      <c r="R20" s="28"/>
      <c r="S20" s="27"/>
      <c r="T20" s="27"/>
      <c r="U20" s="29"/>
      <c r="V20" s="192" t="s">
        <v>790</v>
      </c>
      <c r="W20" s="193"/>
    </row>
    <row r="21" spans="1:23" ht="15.75" thickTop="1" x14ac:dyDescent="0.25">
      <c r="A21" s="176"/>
      <c r="B21" s="177"/>
      <c r="C21" s="177"/>
      <c r="D21" s="177"/>
      <c r="E21" s="180"/>
      <c r="F21" s="119" t="s">
        <v>228</v>
      </c>
      <c r="G21" s="120"/>
      <c r="H21" s="4" t="str">
        <f>IFERROR(VLOOKUP(F21,Abilities,4,FALSE),"")</f>
        <v>LW2</v>
      </c>
      <c r="I21" s="121" t="s">
        <v>962</v>
      </c>
      <c r="J21" s="120"/>
      <c r="K21" s="35" t="str">
        <f>IFERROR(VLOOKUP(I21,Abilities,4,FALSE),"")</f>
        <v>BLANK</v>
      </c>
      <c r="L21" s="122" t="s">
        <v>633</v>
      </c>
      <c r="M21" s="120"/>
      <c r="N21" s="10" t="str">
        <f>IFERROR(VLOOKUP(L21,Abilities,4,FALSE),"")</f>
        <v>SOLW</v>
      </c>
      <c r="O21" s="36" t="s">
        <v>459</v>
      </c>
      <c r="P21" s="37"/>
      <c r="Q21" s="37"/>
      <c r="R21" s="37"/>
      <c r="S21" s="37"/>
      <c r="T21" s="37"/>
      <c r="U21" s="38"/>
      <c r="V21" s="190" t="s">
        <v>791</v>
      </c>
      <c r="W21" s="191"/>
    </row>
    <row r="22" spans="1:23" ht="15.75" thickBot="1" x14ac:dyDescent="0.3">
      <c r="A22" s="181"/>
      <c r="B22" s="182"/>
      <c r="C22" s="182"/>
      <c r="D22" s="182"/>
      <c r="E22" s="183"/>
      <c r="F22" s="144">
        <f>IFERROR(VLOOKUP(F21,Abilities,7,FALSE),"")</f>
        <v>0</v>
      </c>
      <c r="G22" s="130"/>
      <c r="H22" s="131"/>
      <c r="I22" s="129" t="str">
        <f>IFERROR(VLOOKUP(I21,Abilities,7,FALSE),"")</f>
        <v xml:space="preserve"> </v>
      </c>
      <c r="J22" s="130"/>
      <c r="K22" s="131"/>
      <c r="L22" s="130" t="str">
        <f>IFERROR(VLOOKUP(L21,Abilities,7,FALSE),"")</f>
        <v>You get &lt;Ability:+ToHit/&gt; Aim and &lt;Ability:+Crit/&gt; Crit chance on attacks against the closest visible enemy.</v>
      </c>
      <c r="M22" s="130"/>
      <c r="N22" s="135"/>
      <c r="O22" s="39" t="s">
        <v>460</v>
      </c>
      <c r="P22" s="40"/>
      <c r="Q22" s="41"/>
      <c r="R22" s="41"/>
      <c r="S22" s="40"/>
      <c r="T22" s="40"/>
      <c r="U22" s="42"/>
      <c r="V22" s="192" t="s">
        <v>792</v>
      </c>
      <c r="W22" s="193"/>
    </row>
    <row r="23" spans="1:23" ht="15.75" thickBot="1" x14ac:dyDescent="0.3">
      <c r="A23" s="184" t="s">
        <v>352</v>
      </c>
      <c r="B23" s="185"/>
      <c r="C23" s="185"/>
      <c r="D23" s="185"/>
      <c r="E23" s="186"/>
      <c r="F23" s="167"/>
      <c r="G23" s="147"/>
      <c r="H23" s="148"/>
      <c r="I23" s="146"/>
      <c r="J23" s="147"/>
      <c r="K23" s="148"/>
      <c r="L23" s="147"/>
      <c r="M23" s="147"/>
      <c r="N23" s="168"/>
      <c r="O23" s="14"/>
      <c r="P23" s="14"/>
      <c r="Q23" s="3"/>
      <c r="V23" s="190" t="s">
        <v>793</v>
      </c>
      <c r="W23" s="191"/>
    </row>
    <row r="24" spans="1:23" ht="18" thickBot="1" x14ac:dyDescent="0.35">
      <c r="A24" s="187"/>
      <c r="B24" s="188"/>
      <c r="C24" s="188"/>
      <c r="D24" s="188"/>
      <c r="E24" s="189"/>
      <c r="F24" s="169" t="s">
        <v>444</v>
      </c>
      <c r="G24" s="170"/>
      <c r="H24" s="170"/>
      <c r="I24" s="170"/>
      <c r="J24" s="170"/>
      <c r="K24" s="170"/>
      <c r="L24" s="170"/>
      <c r="M24" s="170"/>
      <c r="N24" s="171"/>
      <c r="O24" s="14"/>
      <c r="P24" s="14"/>
      <c r="Q24" s="3"/>
      <c r="V24" s="192" t="s">
        <v>794</v>
      </c>
      <c r="W24" s="193"/>
    </row>
    <row r="25" spans="1:23" ht="15.75" thickTop="1" x14ac:dyDescent="0.25">
      <c r="A25" s="50" t="s">
        <v>925</v>
      </c>
      <c r="B25" s="51"/>
      <c r="C25" s="51"/>
      <c r="D25" s="51"/>
      <c r="E25" s="52"/>
      <c r="F25" s="119" t="s">
        <v>269</v>
      </c>
      <c r="G25" s="120"/>
      <c r="H25" s="4" t="str">
        <f>IFERROR(VLOOKUP(F25,Abilities,4,FALSE),"")</f>
        <v>LW2</v>
      </c>
      <c r="I25" s="121" t="s">
        <v>962</v>
      </c>
      <c r="J25" s="120"/>
      <c r="K25" s="35" t="str">
        <f>IFERROR(VLOOKUP(I25,Abilities,4,FALSE),"")</f>
        <v>BLANK</v>
      </c>
      <c r="L25" s="122" t="s">
        <v>616</v>
      </c>
      <c r="M25" s="120"/>
      <c r="N25" s="10" t="str">
        <f>IFERROR(VLOOKUP(L25,Abilities,4,FALSE),"")</f>
        <v>SOLW</v>
      </c>
      <c r="O25" s="14"/>
      <c r="P25" s="14"/>
      <c r="Q25" s="3"/>
      <c r="V25" s="190" t="s">
        <v>795</v>
      </c>
      <c r="W25" s="191"/>
    </row>
    <row r="26" spans="1:23" x14ac:dyDescent="0.25">
      <c r="A26" s="50"/>
      <c r="B26" s="51"/>
      <c r="C26" s="51"/>
      <c r="D26" s="51"/>
      <c r="E26" s="52"/>
      <c r="F26" s="144">
        <f>IFERROR(VLOOKUP(F25,Abilities,7,FALSE),"")</f>
        <v>0</v>
      </c>
      <c r="G26" s="130"/>
      <c r="H26" s="131"/>
      <c r="I26" s="129" t="str">
        <f>IFERROR(VLOOKUP(I25,Abilities,7,FALSE),"")</f>
        <v xml:space="preserve"> </v>
      </c>
      <c r="J26" s="130"/>
      <c r="K26" s="131"/>
      <c r="L26" s="130" t="str">
        <f>IFERROR(VLOOKUP(L25,Abilities,7,FALSE),"")</f>
        <v>You get an additional &lt;Ability:+Defense/&gt; Defense and &lt;Ability:+Dodge/&gt; Dodge against attacks by the closest visible enemy while not flanked.</v>
      </c>
      <c r="M26" s="130"/>
      <c r="N26" s="135"/>
      <c r="O26" s="14"/>
      <c r="P26" s="14"/>
      <c r="Q26" s="3"/>
      <c r="V26" s="190" t="s">
        <v>797</v>
      </c>
      <c r="W26" s="191"/>
    </row>
    <row r="27" spans="1:23" ht="15.75" thickBot="1" x14ac:dyDescent="0.3">
      <c r="A27" s="50"/>
      <c r="B27" s="51"/>
      <c r="C27" s="51"/>
      <c r="D27" s="51"/>
      <c r="E27" s="52"/>
      <c r="F27" s="167"/>
      <c r="G27" s="147"/>
      <c r="H27" s="148"/>
      <c r="I27" s="146"/>
      <c r="J27" s="147"/>
      <c r="K27" s="148"/>
      <c r="L27" s="147"/>
      <c r="M27" s="147"/>
      <c r="N27" s="168"/>
      <c r="O27" s="14"/>
      <c r="P27" s="14"/>
      <c r="Q27" s="3"/>
      <c r="V27" s="192" t="s">
        <v>798</v>
      </c>
      <c r="W27" s="193"/>
    </row>
    <row r="28" spans="1:23" ht="18" thickBot="1" x14ac:dyDescent="0.35">
      <c r="A28" s="50"/>
      <c r="B28" s="51"/>
      <c r="C28" s="51"/>
      <c r="D28" s="51"/>
      <c r="E28" s="52"/>
      <c r="F28" s="169" t="s">
        <v>445</v>
      </c>
      <c r="G28" s="170"/>
      <c r="H28" s="170"/>
      <c r="I28" s="170"/>
      <c r="J28" s="170"/>
      <c r="K28" s="170"/>
      <c r="L28" s="170"/>
      <c r="M28" s="170"/>
      <c r="N28" s="171"/>
      <c r="O28" s="14"/>
      <c r="P28" s="14"/>
      <c r="Q28" s="3"/>
      <c r="V28" s="190" t="s">
        <v>799</v>
      </c>
      <c r="W28" s="191"/>
    </row>
    <row r="29" spans="1:23" ht="15.75" thickTop="1" x14ac:dyDescent="0.25">
      <c r="A29" s="50"/>
      <c r="B29" s="51"/>
      <c r="C29" s="51"/>
      <c r="D29" s="51"/>
      <c r="E29" s="52"/>
      <c r="F29" s="119" t="s">
        <v>393</v>
      </c>
      <c r="G29" s="120"/>
      <c r="H29" s="4" t="str">
        <f>IFERROR(VLOOKUP(F29,Abilities,4,FALSE),"")</f>
        <v>LW2</v>
      </c>
      <c r="I29" s="121" t="s">
        <v>962</v>
      </c>
      <c r="J29" s="120"/>
      <c r="K29" s="35" t="str">
        <f>IFERROR(VLOOKUP(I29,Abilities,4,FALSE),"")</f>
        <v>BLANK</v>
      </c>
      <c r="L29" s="122" t="s">
        <v>426</v>
      </c>
      <c r="M29" s="120"/>
      <c r="N29" s="10" t="str">
        <f>IFERROR(VLOOKUP(L29,Abilities,4,FALSE),"")</f>
        <v>LW2</v>
      </c>
      <c r="O29" s="14"/>
      <c r="P29" s="14"/>
      <c r="Q29" s="3"/>
      <c r="V29" s="190" t="s">
        <v>825</v>
      </c>
      <c r="W29" s="191"/>
    </row>
    <row r="30" spans="1:23" x14ac:dyDescent="0.25">
      <c r="A30" s="50"/>
      <c r="B30" s="51"/>
      <c r="C30" s="51"/>
      <c r="D30" s="51"/>
      <c r="E30" s="52"/>
      <c r="F30" s="144">
        <f>IFERROR(VLOOKUP(F29,Abilities,7,FALSE),"")</f>
        <v>0</v>
      </c>
      <c r="G30" s="130"/>
      <c r="H30" s="131"/>
      <c r="I30" s="129" t="str">
        <f>IFERROR(VLOOKUP(I29,Abilities,7,FALSE),"")</f>
        <v xml:space="preserve"> </v>
      </c>
      <c r="J30" s="130"/>
      <c r="K30" s="131"/>
      <c r="L30" s="130">
        <f>IFERROR(VLOOKUP(L29,Abilities,7,FALSE),"")</f>
        <v>0</v>
      </c>
      <c r="M30" s="130"/>
      <c r="N30" s="135"/>
      <c r="O30" s="14"/>
      <c r="P30" s="14"/>
      <c r="Q30" s="3"/>
      <c r="V30" s="190" t="s">
        <v>830</v>
      </c>
      <c r="W30" s="191"/>
    </row>
    <row r="31" spans="1:23" ht="15.75" thickBot="1" x14ac:dyDescent="0.3">
      <c r="A31" s="50"/>
      <c r="B31" s="51"/>
      <c r="C31" s="51"/>
      <c r="D31" s="51"/>
      <c r="E31" s="52"/>
      <c r="F31" s="167"/>
      <c r="G31" s="147"/>
      <c r="H31" s="148"/>
      <c r="I31" s="146"/>
      <c r="J31" s="147"/>
      <c r="K31" s="148"/>
      <c r="L31" s="147"/>
      <c r="M31" s="147"/>
      <c r="N31" s="168"/>
      <c r="O31" s="14"/>
      <c r="P31" s="14"/>
      <c r="Q31" s="3"/>
      <c r="V31" s="192" t="s">
        <v>820</v>
      </c>
      <c r="W31" s="193"/>
    </row>
    <row r="32" spans="1:23" ht="18" thickBot="1" x14ac:dyDescent="0.35">
      <c r="A32" s="50"/>
      <c r="B32" s="51"/>
      <c r="C32" s="51"/>
      <c r="D32" s="51"/>
      <c r="E32" s="52"/>
      <c r="F32" s="169" t="s">
        <v>446</v>
      </c>
      <c r="G32" s="170"/>
      <c r="H32" s="170"/>
      <c r="I32" s="170"/>
      <c r="J32" s="170"/>
      <c r="K32" s="170"/>
      <c r="L32" s="170"/>
      <c r="M32" s="170"/>
      <c r="N32" s="171"/>
      <c r="O32" s="14"/>
      <c r="P32" s="14"/>
      <c r="Q32" s="3"/>
      <c r="V32" s="192" t="s">
        <v>815</v>
      </c>
      <c r="W32" s="193"/>
    </row>
    <row r="33" spans="1:23" ht="15.75" thickTop="1" x14ac:dyDescent="0.25">
      <c r="A33" s="50"/>
      <c r="B33" s="51"/>
      <c r="C33" s="51"/>
      <c r="D33" s="51"/>
      <c r="E33" s="52"/>
      <c r="F33" s="121" t="s">
        <v>962</v>
      </c>
      <c r="G33" s="120"/>
      <c r="H33" s="4" t="str">
        <f>IFERROR(VLOOKUP(F33,Abilities,4,FALSE),"")</f>
        <v>BLANK</v>
      </c>
      <c r="I33" s="121" t="s">
        <v>413</v>
      </c>
      <c r="J33" s="120"/>
      <c r="K33" s="35" t="str">
        <f>IFERROR(VLOOKUP(I33,Abilities,4,FALSE),"")</f>
        <v>LW2</v>
      </c>
      <c r="L33" s="121" t="s">
        <v>962</v>
      </c>
      <c r="M33" s="120"/>
      <c r="N33" s="10" t="str">
        <f>IFERROR(VLOOKUP(L33,Abilities,4,FALSE),"")</f>
        <v>BLANK</v>
      </c>
      <c r="O33" s="14"/>
      <c r="P33" s="14"/>
      <c r="Q33" s="3"/>
      <c r="V33" s="192" t="s">
        <v>822</v>
      </c>
      <c r="W33" s="193"/>
    </row>
    <row r="34" spans="1:23" x14ac:dyDescent="0.25">
      <c r="A34" s="50"/>
      <c r="B34" s="51"/>
      <c r="C34" s="51"/>
      <c r="D34" s="51"/>
      <c r="E34" s="52"/>
      <c r="F34" s="144" t="str">
        <f>IFERROR(VLOOKUP(F33,Abilities,7,FALSE),"")</f>
        <v xml:space="preserve"> </v>
      </c>
      <c r="G34" s="130"/>
      <c r="H34" s="131"/>
      <c r="I34" s="129">
        <f>IFERROR(VLOOKUP(I33,Abilities,7,FALSE),"")</f>
        <v>0</v>
      </c>
      <c r="J34" s="130"/>
      <c r="K34" s="131"/>
      <c r="L34" s="130" t="str">
        <f>IFERROR(VLOOKUP(L33,Abilities,7,FALSE),"")</f>
        <v xml:space="preserve"> </v>
      </c>
      <c r="M34" s="130"/>
      <c r="N34" s="135"/>
      <c r="O34" s="14"/>
      <c r="P34" s="14"/>
      <c r="Q34" s="3"/>
      <c r="V34" s="190" t="s">
        <v>816</v>
      </c>
      <c r="W34" s="191"/>
    </row>
    <row r="35" spans="1:23" ht="15.75" thickBot="1" x14ac:dyDescent="0.3">
      <c r="A35" s="50"/>
      <c r="B35" s="51"/>
      <c r="C35" s="51"/>
      <c r="D35" s="51"/>
      <c r="E35" s="52"/>
      <c r="F35" s="167"/>
      <c r="G35" s="147"/>
      <c r="H35" s="148"/>
      <c r="I35" s="146"/>
      <c r="J35" s="147"/>
      <c r="K35" s="148"/>
      <c r="L35" s="147"/>
      <c r="M35" s="147"/>
      <c r="N35" s="168"/>
      <c r="O35" s="14"/>
      <c r="P35" s="14"/>
      <c r="Q35" s="3"/>
      <c r="V35" s="194" t="s">
        <v>800</v>
      </c>
      <c r="W35" s="195"/>
    </row>
    <row r="36" spans="1:23" ht="18" thickBot="1" x14ac:dyDescent="0.35">
      <c r="A36" s="50"/>
      <c r="B36" s="51"/>
      <c r="C36" s="51"/>
      <c r="D36" s="51"/>
      <c r="E36" s="52"/>
      <c r="F36" s="169" t="s">
        <v>447</v>
      </c>
      <c r="G36" s="170"/>
      <c r="H36" s="170"/>
      <c r="I36" s="170"/>
      <c r="J36" s="170"/>
      <c r="K36" s="170"/>
      <c r="L36" s="170"/>
      <c r="M36" s="170"/>
      <c r="N36" s="171"/>
    </row>
    <row r="37" spans="1:23" ht="15.75" thickTop="1" x14ac:dyDescent="0.25">
      <c r="A37" s="50"/>
      <c r="B37" s="51"/>
      <c r="C37" s="51"/>
      <c r="D37" s="51"/>
      <c r="E37" s="52"/>
      <c r="F37" s="119" t="s">
        <v>773</v>
      </c>
      <c r="G37" s="120"/>
      <c r="H37" s="4" t="str">
        <f>IFERROR(VLOOKUP(F37,Abilities,4,FALSE),"")</f>
        <v>SOLW</v>
      </c>
      <c r="I37" s="121" t="s">
        <v>962</v>
      </c>
      <c r="J37" s="120"/>
      <c r="K37" s="35" t="str">
        <f>IFERROR(VLOOKUP(I37,Abilities,4,FALSE),"")</f>
        <v>BLANK</v>
      </c>
      <c r="L37" s="122" t="s">
        <v>431</v>
      </c>
      <c r="M37" s="120"/>
      <c r="N37" s="10" t="str">
        <f>IFERROR(VLOOKUP(L37,Abilities,4,FALSE),"")</f>
        <v>LW2</v>
      </c>
    </row>
    <row r="38" spans="1:23" x14ac:dyDescent="0.25">
      <c r="A38" s="50"/>
      <c r="B38" s="51"/>
      <c r="C38" s="51"/>
      <c r="D38" s="51"/>
      <c r="E38" s="52"/>
      <c r="F38" s="144" t="str">
        <f>IFERROR(VLOOKUP(F37,Abilities,7,FALSE),"")</f>
        <v>Gain &lt;Ability:+ToHit/&gt; Aim per enemy the squad can see (max &lt;Ability:+MaxToHit/&gt;).</v>
      </c>
      <c r="G38" s="130"/>
      <c r="H38" s="131"/>
      <c r="I38" s="129" t="str">
        <f>IFERROR(VLOOKUP(I37,Abilities,7,FALSE),"")</f>
        <v xml:space="preserve"> </v>
      </c>
      <c r="J38" s="130"/>
      <c r="K38" s="131"/>
      <c r="L38" s="130">
        <f>IFERROR(VLOOKUP(L37,Abilities,7,FALSE),"")</f>
        <v>0</v>
      </c>
      <c r="M38" s="130"/>
      <c r="N38" s="135"/>
    </row>
    <row r="39" spans="1:23" ht="15.75" thickBot="1" x14ac:dyDescent="0.3">
      <c r="A39" s="53"/>
      <c r="B39" s="54"/>
      <c r="C39" s="54"/>
      <c r="D39" s="54"/>
      <c r="E39" s="55"/>
      <c r="F39" s="167"/>
      <c r="G39" s="147"/>
      <c r="H39" s="148"/>
      <c r="I39" s="146"/>
      <c r="J39" s="147"/>
      <c r="K39" s="148"/>
      <c r="L39" s="147"/>
      <c r="M39" s="147"/>
      <c r="N39" s="168"/>
    </row>
    <row r="40" spans="1:23" ht="15" customHeight="1" x14ac:dyDescent="0.25">
      <c r="A40" s="86" t="s">
        <v>1200</v>
      </c>
      <c r="B40" s="86"/>
      <c r="C40" s="88" t="str">
        <f>SUBSTITUTE(C1," ","")</f>
        <v>Courser</v>
      </c>
      <c r="D40" s="88"/>
      <c r="E40" s="88"/>
      <c r="F40" s="238"/>
      <c r="G40" s="238"/>
      <c r="H40" s="237"/>
      <c r="I40" s="237"/>
      <c r="J40" s="237"/>
    </row>
    <row r="41" spans="1:23" ht="15" customHeight="1" thickBot="1" x14ac:dyDescent="0.3">
      <c r="A41" s="87"/>
      <c r="B41" s="87"/>
      <c r="C41" s="89"/>
      <c r="D41" s="89"/>
      <c r="E41" s="89"/>
      <c r="F41" s="239"/>
      <c r="G41" s="239"/>
      <c r="H41" s="237"/>
      <c r="I41" s="237"/>
      <c r="J41" s="237"/>
    </row>
    <row r="42" spans="1:23" ht="16.5" thickBot="1" x14ac:dyDescent="0.3">
      <c r="A42" s="242" t="s">
        <v>339</v>
      </c>
      <c r="B42" s="244"/>
      <c r="C42" s="253" t="s">
        <v>342</v>
      </c>
      <c r="D42" s="247"/>
      <c r="E42" s="251" t="s">
        <v>343</v>
      </c>
      <c r="F42" s="250"/>
      <c r="G42" s="234"/>
      <c r="H42" s="235"/>
      <c r="I42" s="235"/>
      <c r="J42" s="235"/>
    </row>
    <row r="43" spans="1:23" x14ac:dyDescent="0.25">
      <c r="A43" s="243" t="str">
        <f ca="1">"; "&amp;INDIRECT("C1")&amp;" class data"</f>
        <v>; Courser class data</v>
      </c>
      <c r="B43" s="234" t="s">
        <v>340</v>
      </c>
      <c r="C43" s="254" t="str">
        <f ca="1">"; "&amp;INDIRECT("C1")&amp;" class loadout"</f>
        <v>; Courser class loadout</v>
      </c>
      <c r="D43" s="234" t="s">
        <v>340</v>
      </c>
      <c r="E43" s="252" t="str">
        <f ca="1">"["&amp;INDIRECT("C3")&amp;" X2SoldierClassTemplate]"</f>
        <v>[LWD_Courser X2SoldierClassTemplate]</v>
      </c>
      <c r="F43" s="234" t="s">
        <v>340</v>
      </c>
      <c r="G43" s="234"/>
      <c r="H43" s="235"/>
      <c r="I43" s="235"/>
      <c r="J43" s="235"/>
    </row>
    <row r="44" spans="1:23" x14ac:dyDescent="0.25">
      <c r="A44" s="240"/>
      <c r="B44" s="234"/>
      <c r="C44" s="245"/>
      <c r="D44" s="234" t="s">
        <v>340</v>
      </c>
      <c r="E44" s="248" t="str">
        <f ca="1">"+DisplayName="""&amp;INDIRECT("C1")&amp;""""</f>
        <v>+DisplayName="Courser"</v>
      </c>
      <c r="F44" s="234" t="s">
        <v>340</v>
      </c>
      <c r="G44" s="234"/>
      <c r="H44" s="235"/>
      <c r="I44" s="235"/>
      <c r="J44" s="235"/>
    </row>
    <row r="45" spans="1:23" x14ac:dyDescent="0.25">
      <c r="A45" s="240" t="str">
        <f>"[XComGame.X2SoldierClass_DefaultClasses]"</f>
        <v>[XComGame.X2SoldierClass_DefaultClasses]</v>
      </c>
      <c r="B45" s="234" t="s">
        <v>340</v>
      </c>
      <c r="C45" s="245" t="s">
        <v>341</v>
      </c>
      <c r="D45" s="234" t="s">
        <v>340</v>
      </c>
      <c r="E45" s="248" t="str">
        <f ca="1">"+ClassSummary="""&amp;INDIRECT("A20")&amp;""""</f>
        <v>+ClassSummary="The Courser serves best offset from the rest of the squad, specializing in either taking on entire squads, or picking off stragglers. They employ a holotargeter for picking their targets."</v>
      </c>
      <c r="F45" s="234" t="s">
        <v>340</v>
      </c>
      <c r="G45" s="234"/>
      <c r="H45" s="235"/>
      <c r="I45" s="235"/>
      <c r="J45" s="235"/>
    </row>
    <row r="46" spans="1:23" x14ac:dyDescent="0.25">
      <c r="A46" s="240" t="str">
        <f ca="1">"+SoldierClasses="&amp;INDIRECT("C3")</f>
        <v>+SoldierClasses=LWD_Courser</v>
      </c>
      <c r="B46" s="234" t="s">
        <v>340</v>
      </c>
      <c r="C46" s="245"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+Loadouts=(LoadoutName="SquaddieLWD_Courser", Items[0]=(Item="Shotgun_CV"), Items[1]=(Item="Holotargeter_CV"))</v>
      </c>
      <c r="D46" s="234" t="s">
        <v>340</v>
      </c>
      <c r="E46" s="248" t="str">
        <f ca="1">"+LeftAbilityTreeTitle="""&amp;INDIRECT("F11")&amp;""""</f>
        <v>+LeftAbilityTreeTitle="Hordebreaker"</v>
      </c>
      <c r="F46" s="234" t="s">
        <v>340</v>
      </c>
      <c r="G46" s="234"/>
      <c r="H46" s="235"/>
      <c r="I46" s="234"/>
      <c r="J46" s="234"/>
    </row>
    <row r="47" spans="1:23" x14ac:dyDescent="0.25">
      <c r="A47" s="240"/>
      <c r="B47" s="234" t="s">
        <v>340</v>
      </c>
      <c r="C47" s="245"/>
      <c r="D47" s="234" t="s">
        <v>340</v>
      </c>
      <c r="E47" s="248" t="str">
        <f ca="1">"+RightAbilityTreeTitle="""&amp;INDIRECT("L11")&amp;""""</f>
        <v>+RightAbilityTreeTitle="Duelist"</v>
      </c>
      <c r="F47" s="234" t="s">
        <v>340</v>
      </c>
      <c r="G47" s="234"/>
      <c r="H47" s="235"/>
      <c r="I47" s="234"/>
      <c r="J47" s="234"/>
    </row>
    <row r="48" spans="1:23" x14ac:dyDescent="0.25">
      <c r="A48" s="240" t="str">
        <f ca="1">"["&amp;INDIRECT("C3")&amp;" X2SoldierClassTemplate]"</f>
        <v>[LWD_Courser X2SoldierClassTemplate]</v>
      </c>
      <c r="B48" s="234" t="s">
        <v>340</v>
      </c>
      <c r="C48" s="245" t="s">
        <v>351</v>
      </c>
      <c r="D48" s="234" t="s">
        <v>340</v>
      </c>
      <c r="E48" s="248" t="str">
        <f>"; Nicknames"</f>
        <v>; Nicknames</v>
      </c>
      <c r="F48" s="234" t="s">
        <v>340</v>
      </c>
      <c r="G48" s="234"/>
      <c r="H48" s="234"/>
      <c r="I48" s="234"/>
      <c r="J48" s="234"/>
    </row>
    <row r="49" spans="1:10" ht="15.75" thickBot="1" x14ac:dyDescent="0.3">
      <c r="A49" s="240" t="str">
        <f ca="1">"+bMultiplayerOnly="&amp;INDIRECT("E6")</f>
        <v>+bMultiplayerOnly=0</v>
      </c>
      <c r="B49" s="234" t="s">
        <v>340</v>
      </c>
      <c r="C49" s="246" t="str">
        <f ca="1">"+DEBUG_StartingSoldierClasses="""&amp;INDIRECT("C3")&amp;""""</f>
        <v>+DEBUG_StartingSoldierClasses="LWD_Courser"</v>
      </c>
      <c r="D49" s="234" t="s">
        <v>340</v>
      </c>
      <c r="E49" s="248" t="str">
        <f ca="1">IF(INDIRECT("V4")&lt;&gt;"","RandomNickNames[0]="""&amp;INDIRECT("V4")&amp;"""","")</f>
        <v>RandomNickNames[0]="Angel"</v>
      </c>
      <c r="F49" s="234" t="s">
        <v>340</v>
      </c>
      <c r="G49" s="234"/>
      <c r="H49" s="234"/>
      <c r="I49" s="234"/>
      <c r="J49" s="234"/>
    </row>
    <row r="50" spans="1:10" x14ac:dyDescent="0.25">
      <c r="A50" s="240" t="str">
        <f ca="1">"+ClassPoints="&amp;INDIRECT("E7")</f>
        <v>+ClassPoints=4</v>
      </c>
      <c r="B50" s="234" t="s">
        <v>340</v>
      </c>
      <c r="C50" s="234"/>
      <c r="D50" s="234"/>
      <c r="E50" s="248" t="str">
        <f ca="1">IF(INDIRECT("V5")&lt;&gt;"","RandomNickNames[1]="""&amp;INDIRECT("V5")&amp;"""","")</f>
        <v>RandomNickNames[1]="Bargain"</v>
      </c>
      <c r="F50" s="234" t="s">
        <v>340</v>
      </c>
      <c r="G50" s="234"/>
      <c r="H50" s="234"/>
      <c r="I50" s="234"/>
      <c r="J50" s="234"/>
    </row>
    <row r="51" spans="1:10" x14ac:dyDescent="0.25">
      <c r="A51" s="240" t="str">
        <f ca="1">"+IconImage="&amp;""""&amp;INDIRECT("E8")&amp;""""</f>
        <v>+IconImage="img:///UILibrary_LWD.class_courser"</v>
      </c>
      <c r="B51" s="234" t="s">
        <v>340</v>
      </c>
      <c r="C51" s="234"/>
      <c r="D51" s="234"/>
      <c r="E51" s="248" t="str">
        <f ca="1">IF(INDIRECT("V6")&lt;&gt;"","RandomNickNames[2]="""&amp;INDIRECT("V6")&amp;"""","")</f>
        <v>RandomNickNames[2]="Beta"</v>
      </c>
      <c r="F51" s="234" t="s">
        <v>340</v>
      </c>
      <c r="G51" s="234"/>
      <c r="H51" s="234"/>
      <c r="I51" s="234"/>
      <c r="J51" s="234"/>
    </row>
    <row r="52" spans="1:10" x14ac:dyDescent="0.25">
      <c r="A52" s="240" t="str">
        <f ca="1">"+NumInForcedDeck="&amp;INDIRECT("E9")</f>
        <v>+NumInForcedDeck=1</v>
      </c>
      <c r="B52" s="234" t="s">
        <v>340</v>
      </c>
      <c r="C52" s="234"/>
      <c r="D52" s="234"/>
      <c r="E52" s="248" t="str">
        <f ca="1">IF(INDIRECT("V7")&lt;&gt;"","RandomNickNames[3]="""&amp;INDIRECT("V7")&amp;"""","")</f>
        <v>RandomNickNames[3]="Bishop"</v>
      </c>
      <c r="F52" s="234" t="s">
        <v>340</v>
      </c>
      <c r="G52" s="234"/>
      <c r="H52" s="234"/>
      <c r="I52" s="234"/>
      <c r="J52" s="234"/>
    </row>
    <row r="53" spans="1:10" x14ac:dyDescent="0.25">
      <c r="A53" s="240" t="str">
        <f ca="1">"+NumInDeck="&amp;INDIRECT("E10")</f>
        <v>+NumInDeck=4</v>
      </c>
      <c r="B53" s="234" t="s">
        <v>340</v>
      </c>
      <c r="C53" s="234"/>
      <c r="D53" s="234"/>
      <c r="E53" s="248" t="str">
        <f ca="1">IF(INDIRECT("V8")&lt;&gt;"","RandomNickNames[4]="""&amp;INDIRECT("V8")&amp;"""","")</f>
        <v>RandomNickNames[4]="Bones"</v>
      </c>
      <c r="F53" s="234" t="s">
        <v>340</v>
      </c>
      <c r="G53" s="234"/>
      <c r="H53" s="234"/>
      <c r="I53" s="234"/>
      <c r="J53" s="234"/>
    </row>
    <row r="54" spans="1:10" x14ac:dyDescent="0.25">
      <c r="A54" s="240" t="str">
        <f ca="1">"+KillAssistsPerKill="&amp;INDIRECT("E11")</f>
        <v>+KillAssistsPerKill=4</v>
      </c>
      <c r="B54" s="234" t="s">
        <v>340</v>
      </c>
      <c r="C54" s="234"/>
      <c r="D54" s="234"/>
      <c r="E54" s="248" t="str">
        <f ca="1">IF(INDIRECT("V9")&lt;&gt;"","RandomNickNames[5]="""&amp;INDIRECT("V9")&amp;"""","")</f>
        <v>RandomNickNames[5]="FUBAR"</v>
      </c>
      <c r="F54" s="234" t="s">
        <v>340</v>
      </c>
      <c r="G54" s="234"/>
      <c r="H54" s="234"/>
      <c r="I54" s="234"/>
      <c r="J54" s="234"/>
    </row>
    <row r="55" spans="1:10" x14ac:dyDescent="0.25">
      <c r="A55" s="240" t="str">
        <f ca="1">"+SquaddieLoadout=Squaddie"&amp;INDIRECT("C3")</f>
        <v>+SquaddieLoadout=SquaddieLWD_Courser</v>
      </c>
      <c r="B55" s="234" t="s">
        <v>340</v>
      </c>
      <c r="C55" s="234"/>
      <c r="D55" s="234"/>
      <c r="E55" s="248" t="str">
        <f ca="1">IF(INDIRECT("V10")&lt;&gt;"","RandomNickNames[6]="""&amp;INDIRECT("V10")&amp;"""","")</f>
        <v>RandomNickNames[6]="Broker"</v>
      </c>
      <c r="F55" s="234" t="s">
        <v>340</v>
      </c>
      <c r="G55" s="234"/>
      <c r="H55" s="234"/>
      <c r="I55" s="234"/>
      <c r="J55" s="234"/>
    </row>
    <row r="56" spans="1:10" x14ac:dyDescent="0.25">
      <c r="A56" s="240" t="str">
        <f ca="1">";+bAllowAWCAbilities="&amp;INDIRECT("E12")&amp;" ; Not a thing in LW2"</f>
        <v>;+bAllowAWCAbilities=1 ; Not a thing in LW2</v>
      </c>
      <c r="B56" s="234" t="s">
        <v>340</v>
      </c>
      <c r="C56" s="234"/>
      <c r="D56" s="234"/>
      <c r="E56" s="248" t="str">
        <f ca="1">IF(INDIRECT("V11")&lt;&gt;"","RandomNickNames[7]="""&amp;INDIRECT("V11")&amp;"""","")</f>
        <v>RandomNickNames[7]="Conquest"</v>
      </c>
      <c r="F56" s="234" t="s">
        <v>340</v>
      </c>
      <c r="G56" s="234"/>
      <c r="H56" s="234"/>
      <c r="I56" s="234"/>
      <c r="J56" s="234"/>
    </row>
    <row r="57" spans="1:10" x14ac:dyDescent="0.25">
      <c r="A57" s="240" t="str">
        <f ca="1">IF(INDIRECT("B5")=FALSE,";","")&amp;"+AllowedWeapons=(SlotType=eInvSlot_PrimaryWeapon, WeaponType=""rifle"")"</f>
        <v>+AllowedWeapons=(SlotType=eInvSlot_PrimaryWeapon, WeaponType="rifle")</v>
      </c>
      <c r="B57" s="234" t="s">
        <v>340</v>
      </c>
      <c r="C57" s="234"/>
      <c r="D57" s="234"/>
      <c r="E57" s="248" t="str">
        <f ca="1">IF(INDIRECT("V12")&lt;&gt;"","RandomNickNames[8]="""&amp;INDIRECT("V12")&amp;"""","")</f>
        <v>RandomNickNames[8]="Deacon"</v>
      </c>
      <c r="F57" s="234" t="s">
        <v>340</v>
      </c>
      <c r="G57" s="234"/>
      <c r="H57" s="234"/>
      <c r="I57" s="234"/>
      <c r="J57" s="234"/>
    </row>
    <row r="58" spans="1:10" x14ac:dyDescent="0.25">
      <c r="A58" s="240" t="str">
        <f ca="1">IF(INDIRECT("B6")=FALSE,";","")&amp;"+AllowedWeapons=(SlotType=eInvSlot_PrimaryWeapon, WeaponType=""cannon"")"</f>
        <v>;+AllowedWeapons=(SlotType=eInvSlot_PrimaryWeapon, WeaponType="cannon")</v>
      </c>
      <c r="B58" s="234" t="s">
        <v>340</v>
      </c>
      <c r="C58" s="234"/>
      <c r="D58" s="234"/>
      <c r="E58" s="248" t="str">
        <f ca="1">IF(INDIRECT("V13")&lt;&gt;"","RandomNickNames[9]="""&amp;INDIRECT("V13")&amp;"""","")</f>
        <v>RandomNickNames[9]="Doomtrain"</v>
      </c>
      <c r="F58" s="234" t="s">
        <v>340</v>
      </c>
      <c r="G58" s="234"/>
      <c r="H58" s="234"/>
      <c r="I58" s="234"/>
      <c r="J58" s="234"/>
    </row>
    <row r="59" spans="1:10" x14ac:dyDescent="0.25">
      <c r="A59" s="240" t="str">
        <f ca="1">IF(INDIRECT("B7")=FALSE,";","")&amp;"+AllowedWeapons=(SlotType=eInvSlot_PrimaryWeapon, WeaponType=""shotgun"")"</f>
        <v>+AllowedWeapons=(SlotType=eInvSlot_PrimaryWeapon, WeaponType="shotgun")</v>
      </c>
      <c r="B59" s="234" t="s">
        <v>340</v>
      </c>
      <c r="C59" s="234"/>
      <c r="D59" s="234"/>
      <c r="E59" s="248" t="str">
        <f ca="1">IF(INDIRECT("V14")&lt;&gt;"","RandomNickNames[10]="""&amp;INDIRECT("V14")&amp;"""","")</f>
        <v>RandomNickNames[10]="Dr. Feelgood"</v>
      </c>
      <c r="F59" s="234" t="s">
        <v>340</v>
      </c>
      <c r="G59" s="234"/>
      <c r="H59" s="234"/>
      <c r="I59" s="234"/>
      <c r="J59" s="234"/>
    </row>
    <row r="60" spans="1:10" x14ac:dyDescent="0.25">
      <c r="A60" s="240" t="str">
        <f ca="1">IF(INDIRECT("B8")=FALSE,";","")&amp;"+AllowedWeapons=(SlotType=eInvSlot_PrimaryWeapon, WeaponType=""sniper_rifle"")"</f>
        <v>;+AllowedWeapons=(SlotType=eInvSlot_PrimaryWeapon, WeaponType="sniper_rifle")</v>
      </c>
      <c r="B60" s="234" t="s">
        <v>340</v>
      </c>
      <c r="C60" s="234"/>
      <c r="D60" s="234"/>
      <c r="E60" s="248" t="str">
        <f ca="1">IF(INDIRECT("V15")&lt;&gt;"","RandomNickNames[11]="""&amp;INDIRECT("V15")&amp;"""","")</f>
        <v>RandomNickNames[11]="Famine"</v>
      </c>
      <c r="F60" s="234" t="s">
        <v>340</v>
      </c>
      <c r="G60" s="234"/>
      <c r="H60" s="234"/>
      <c r="I60" s="234"/>
      <c r="J60" s="234"/>
    </row>
    <row r="61" spans="1:10" x14ac:dyDescent="0.25">
      <c r="A61" s="240" t="str">
        <f ca="1">IF(INDIRECT("B9")=FALSE,";","")&amp;"+AllowedWeapons=(SlotType=eInvSlot_SecondaryWeapon, WeaponType=""gauntlet"")"</f>
        <v>;+AllowedWeapons=(SlotType=eInvSlot_SecondaryWeapon, WeaponType="gauntlet")</v>
      </c>
      <c r="B61" s="234" t="s">
        <v>340</v>
      </c>
      <c r="C61" s="234"/>
      <c r="D61" s="234"/>
      <c r="E61" s="248" t="str">
        <f ca="1">IF(INDIRECT("V16")&lt;&gt;"","RandomNickNames[12]="""&amp;INDIRECT("V16")&amp;"""","")</f>
        <v>RandomNickNames[12]="Feedback"</v>
      </c>
      <c r="F61" s="234" t="s">
        <v>340</v>
      </c>
      <c r="G61" s="234"/>
      <c r="H61" s="234"/>
      <c r="I61" s="234"/>
      <c r="J61" s="234"/>
    </row>
    <row r="62" spans="1:10" x14ac:dyDescent="0.25">
      <c r="A62" s="240" t="str">
        <f ca="1">IF(INDIRECT("B10")=FALSE,";","")&amp;"+AllowedWeapons=(SlotType=eInvSlot_SecondaryWeapon, WeaponType=""combatknife"")"</f>
        <v>;+AllowedWeapons=(SlotType=eInvSlot_SecondaryWeapon, WeaponType="combatknife")</v>
      </c>
      <c r="B62" s="234" t="s">
        <v>340</v>
      </c>
      <c r="C62" s="234"/>
      <c r="D62" s="234"/>
      <c r="E62" s="248" t="str">
        <f ca="1">IF(INDIRECT("V17")&lt;&gt;"","RandomNickNames[13]="""&amp;INDIRECT("V17")&amp;"""","")</f>
        <v>RandomNickNames[13]="Firewall"</v>
      </c>
      <c r="F62" s="234" t="s">
        <v>340</v>
      </c>
      <c r="G62" s="234"/>
      <c r="H62" s="234"/>
      <c r="I62" s="234"/>
      <c r="J62" s="234"/>
    </row>
    <row r="63" spans="1:10" x14ac:dyDescent="0.25">
      <c r="A63" s="240" t="str">
        <f ca="1">IF(INDIRECT("B11")=FALSE,";","")&amp;"+AllowedWeapons=(SlotType=eInvSlot_SecondaryWeapon, WeaponType=""grenade_launcher"")"</f>
        <v>;+AllowedWeapons=(SlotType=eInvSlot_SecondaryWeapon, WeaponType="grenade_launcher")</v>
      </c>
      <c r="B63" s="234" t="s">
        <v>340</v>
      </c>
      <c r="C63" s="234"/>
      <c r="D63" s="234"/>
      <c r="E63" s="248" t="str">
        <f ca="1">IF(INDIRECT("V18")&lt;&gt;"","RandomNickNames[14]="""&amp;INDIRECT("V18")&amp;"""","")</f>
        <v>RandomNickNames[14]="Genius"</v>
      </c>
      <c r="F63" s="234" t="s">
        <v>340</v>
      </c>
      <c r="G63" s="234"/>
      <c r="H63" s="234"/>
      <c r="I63" s="234"/>
      <c r="J63" s="234"/>
    </row>
    <row r="64" spans="1:10" x14ac:dyDescent="0.25">
      <c r="A64" s="240" t="str">
        <f ca="1">IF(INDIRECT("B12")=FALSE,";","")&amp;"+AllowedWeapons=(SlotType=eInvSlot_SecondaryWeapon, WeaponType=""gremlin"")"</f>
        <v>;+AllowedWeapons=(SlotType=eInvSlot_SecondaryWeapon, WeaponType="gremlin")</v>
      </c>
      <c r="B64" s="234" t="s">
        <v>340</v>
      </c>
      <c r="C64" s="234"/>
      <c r="D64" s="234"/>
      <c r="E64" s="248" t="str">
        <f ca="1">IF(INDIRECT("V19")&lt;&gt;"","RandomNickNames[15]="""&amp;INDIRECT("V19")&amp;"""","")</f>
        <v>RandomNickNames[15]="Gizmo"</v>
      </c>
      <c r="F64" s="234" t="s">
        <v>340</v>
      </c>
      <c r="G64" s="234"/>
      <c r="H64" s="234"/>
      <c r="I64" s="234"/>
      <c r="J64" s="234"/>
    </row>
    <row r="65" spans="1:10" x14ac:dyDescent="0.25">
      <c r="A65" s="240" t="str">
        <f ca="1">IF(INDIRECT("B13")=FALSE,";","")&amp;"+AllowedWeapons=(SlotType=eInvSlot_SecondaryWeapon, WeaponType=""sword"")"</f>
        <v>;+AllowedWeapons=(SlotType=eInvSlot_SecondaryWeapon, WeaponType="sword")</v>
      </c>
      <c r="B65" s="234" t="s">
        <v>340</v>
      </c>
      <c r="C65" s="234"/>
      <c r="D65" s="234"/>
      <c r="E65" s="248" t="str">
        <f ca="1">IF(INDIRECT("V20")&lt;&gt;"","RandomNickNames[16]="""&amp;INDIRECT("V20")&amp;"""","")</f>
        <v>RandomNickNames[16]="Jester"</v>
      </c>
      <c r="F65" s="234" t="s">
        <v>340</v>
      </c>
      <c r="G65" s="234"/>
      <c r="H65" s="234"/>
      <c r="I65" s="234"/>
      <c r="J65" s="234"/>
    </row>
    <row r="66" spans="1:10" x14ac:dyDescent="0.25">
      <c r="A66" s="240" t="str">
        <f ca="1">IF(INDIRECT("B14")=FALSE,";","")&amp;"+AllowedWeapons=(SlotType=eInvSlot_SecondaryWeapon, WeaponType=""sawedoffshotgun"")"</f>
        <v>;+AllowedWeapons=(SlotType=eInvSlot_SecondaryWeapon, WeaponType="sawedoffshotgun")</v>
      </c>
      <c r="B66" s="234" t="s">
        <v>340</v>
      </c>
      <c r="C66" s="234"/>
      <c r="D66" s="234"/>
      <c r="E66" s="248" t="str">
        <f ca="1">IF(INDIRECT("V21")&lt;&gt;"","RandomNickNames[17]="""&amp;INDIRECT("V21")&amp;"""","")</f>
        <v>RandomNickNames[17]="Jolt"</v>
      </c>
      <c r="F66" s="234" t="s">
        <v>340</v>
      </c>
      <c r="G66" s="234"/>
      <c r="H66" s="234"/>
      <c r="I66" s="234"/>
      <c r="J66" s="234"/>
    </row>
    <row r="67" spans="1:10" x14ac:dyDescent="0.25">
      <c r="A67" s="240" t="str">
        <f ca="1">IF(INDIRECT("B15")=FALSE,";","")&amp;"+AllowedWeapons=(SlotType=eInvSlot_SecondaryWeapon, WeaponType=""arcthrower"")"</f>
        <v>;+AllowedWeapons=(SlotType=eInvSlot_SecondaryWeapon, WeaponType="arcthrower")</v>
      </c>
      <c r="B67" s="234" t="s">
        <v>340</v>
      </c>
      <c r="C67" s="234"/>
      <c r="D67" s="234"/>
      <c r="E67" s="248" t="str">
        <f ca="1">IF(INDIRECT("V22")&lt;&gt;"","RandomNickNames[18]="""&amp;INDIRECT("V22")&amp;"""","")</f>
        <v>RandomNickNames[18]="Lightning"</v>
      </c>
      <c r="F67" s="234" t="s">
        <v>340</v>
      </c>
      <c r="G67" s="234"/>
      <c r="H67" s="234"/>
      <c r="I67" s="234"/>
      <c r="J67" s="234"/>
    </row>
    <row r="68" spans="1:10" x14ac:dyDescent="0.25">
      <c r="A68" s="240" t="str">
        <f ca="1">IF(INDIRECT("B16")=FALSE,";","")&amp;"+AllowedWeapons=(SlotType=eInvSlot_SecondaryWeapon, WeaponType=""holotargeter"")"</f>
        <v>+AllowedWeapons=(SlotType=eInvSlot_SecondaryWeapon, WeaponType="holotargeter")</v>
      </c>
      <c r="B68" s="234" t="s">
        <v>340</v>
      </c>
      <c r="C68" s="234"/>
      <c r="D68" s="234"/>
      <c r="E68" s="248" t="str">
        <f ca="1">IF(INDIRECT("V23")&lt;&gt;"","RandomNickNames[19]="""&amp;INDIRECT("V23")&amp;"""","")</f>
        <v>RandomNickNames[19]="Mayday"</v>
      </c>
      <c r="F68" s="234" t="s">
        <v>340</v>
      </c>
      <c r="G68" s="234"/>
      <c r="H68" s="234"/>
      <c r="I68" s="234"/>
      <c r="J68" s="234"/>
    </row>
    <row r="69" spans="1:10" x14ac:dyDescent="0.25">
      <c r="A69" s="240" t="str">
        <f ca="1">IF(INDIRECT("B17")=FALSE,";","")&amp;"+AllowedWeapons=(SlotType=eInvSlot_SecondaryWeapon, WeaponType=""psiamp"")"</f>
        <v>;+AllowedWeapons=(SlotType=eInvSlot_SecondaryWeapon, WeaponType="psiamp")</v>
      </c>
      <c r="B69" s="234" t="s">
        <v>340</v>
      </c>
      <c r="C69" s="234"/>
      <c r="D69" s="234"/>
      <c r="E69" s="248" t="str">
        <f ca="1">IF(INDIRECT("V24")&lt;&gt;"","RandomNickNames[20]="""&amp;INDIRECT("V24")&amp;"""","")</f>
        <v>RandomNickNames[20]="Mega"</v>
      </c>
      <c r="F69" s="234" t="s">
        <v>340</v>
      </c>
      <c r="G69" s="234"/>
      <c r="H69" s="234"/>
      <c r="I69" s="234"/>
      <c r="J69" s="234"/>
    </row>
    <row r="70" spans="1:10" x14ac:dyDescent="0.25">
      <c r="A70" s="240" t="str">
        <f ca="1">IF(INDIRECT("B9")=FALSE,";","")&amp;"+AllowedWeapons=(SlotType=eInvSlot_HeavyWeapon, WeaponType=""heavyammo"")"</f>
        <v>;+AllowedWeapons=(SlotType=eInvSlot_HeavyWeapon, WeaponType="heavyammo")</v>
      </c>
      <c r="B70" s="234" t="s">
        <v>340</v>
      </c>
      <c r="C70" s="234"/>
      <c r="D70" s="234"/>
      <c r="E70" s="248" t="str">
        <f ca="1">IF(INDIRECT("V25")&lt;&gt;"","RandomNickNames[21]="""&amp;INDIRECT("V25")&amp;"""","")</f>
        <v>RandomNickNames[21]="Newton"</v>
      </c>
      <c r="F70" s="234" t="s">
        <v>340</v>
      </c>
      <c r="G70" s="234"/>
      <c r="H70" s="234"/>
      <c r="I70" s="234"/>
      <c r="J70" s="234"/>
    </row>
    <row r="71" spans="1:10" x14ac:dyDescent="0.25">
      <c r="A71" s="240" t="str">
        <f ca="1">IF(INDIRECT("B9")=TRUE,";","")&amp;"+AllowedWeapons=(SlotType=eInvSlot_HeavyWeapon, WeaponType=""heavy"")"</f>
        <v>+AllowedWeapons=(SlotType=eInvSlot_HeavyWeapon, WeaponType="heavy")</v>
      </c>
      <c r="B71" s="234" t="s">
        <v>340</v>
      </c>
      <c r="C71" s="234"/>
      <c r="D71" s="234"/>
      <c r="E71" s="248" t="str">
        <f ca="1">IF(INDIRECT("V26")&lt;&gt;"","RandomNickNames[22]="""&amp;INDIRECT("V26")&amp;"""","")</f>
        <v>RandomNickNames[22]="Ragtime"</v>
      </c>
      <c r="F71" s="234" t="s">
        <v>340</v>
      </c>
      <c r="G71" s="234"/>
      <c r="H71" s="234"/>
      <c r="I71" s="234"/>
      <c r="J71" s="234"/>
    </row>
    <row r="72" spans="1:10" x14ac:dyDescent="0.25">
      <c r="A72" s="240" t="str">
        <f ca="1">"+AllowedArmors="&amp;INDIRECT("E13")</f>
        <v>+AllowedArmors=soldier</v>
      </c>
      <c r="B72" s="234" t="s">
        <v>340</v>
      </c>
      <c r="C72" s="234"/>
      <c r="D72" s="234"/>
      <c r="E72" s="248" t="str">
        <f ca="1">IF(INDIRECT("V27")&lt;&gt;"","RandomNickNames[23]="""&amp;INDIRECT("V27")&amp;"""","")</f>
        <v>RandomNickNames[23]="Rascal"</v>
      </c>
      <c r="F72" s="234" t="s">
        <v>340</v>
      </c>
      <c r="G72" s="234"/>
      <c r="H72" s="234"/>
      <c r="I72" s="234"/>
      <c r="J72" s="234"/>
    </row>
    <row r="73" spans="1:10" x14ac:dyDescent="0.25">
      <c r="A73" s="240" t="str">
        <f>"; squaddie"</f>
        <v>; squaddie</v>
      </c>
      <c r="B73" s="234" t="s">
        <v>340</v>
      </c>
      <c r="C73" s="234"/>
      <c r="D73" s="234"/>
      <c r="E73" s="248" t="str">
        <f ca="1">IF(INDIRECT("V28")&lt;&gt;"","RandomNickNames[24]="""&amp;INDIRECT("V28")&amp;"""","")</f>
        <v>RandomNickNames[24]="Rattler"</v>
      </c>
      <c r="F73" s="234" t="s">
        <v>340</v>
      </c>
      <c r="G73" s="234"/>
      <c r="H73" s="234"/>
      <c r="I73" s="234"/>
      <c r="J73" s="234"/>
    </row>
    <row r="74" spans="1:10" x14ac:dyDescent="0.25">
      <c r="A74" s="240" t="str">
        <f ca="1">"+SoldierRanks=(  aAbilityTree=( (AbilityName="""&amp;VLOOKUP(INDIRECT("F4"),Abilities,2,FALSE)&amp;""""&amp;IF(VLOOKUP(INDIRECT("F4"),Abilities,3,FALSE)="","",", ApplyToWeaponSlot=eInvSlot_"&amp;VLOOKUP(INDIRECT("F4"),Abilities,3,FALSE))&amp;"), \\"</f>
        <v>+SoldierRanks=(  aAbilityTree=( (AbilityName="Holotargeting", ApplyToWeaponSlot=eInvSlot_PrimaryWeapon), \\</v>
      </c>
      <c r="B74" s="234" t="s">
        <v>340</v>
      </c>
      <c r="C74" s="234"/>
      <c r="D74" s="234"/>
      <c r="E74" s="248" t="str">
        <f ca="1">IF(INDIRECT("V29")&lt;&gt;"","RandomNickNames[25]="""&amp;INDIRECT("V29")&amp;"""","")</f>
        <v>RandomNickNames[25]="Revelation"</v>
      </c>
      <c r="F74" s="234" t="s">
        <v>340</v>
      </c>
      <c r="G74" s="234"/>
      <c r="H74" s="234"/>
      <c r="I74" s="234"/>
      <c r="J74" s="234"/>
    </row>
    <row r="75" spans="1:10" x14ac:dyDescent="0.25">
      <c r="A75" s="240" t="str">
        <f ca="1">IF(INDIRECT("I4")="","\\","(AbilityName="""&amp;VLOOKUP(INDIRECT("I4"),Abilities,2,FALSE)&amp;""""&amp;IF(VLOOKUP(INDIRECT("I4"),Abilities,3,FALSE)="","",", ApplyToWeaponSlot=eInvSlot_"&amp;VLOOKUP(INDIRECT("I4"),Abilities,3,FALSE))&amp;"), \\")</f>
        <v>(AbilityName="LowProfile"), \\</v>
      </c>
      <c r="B75" s="234" t="s">
        <v>340</v>
      </c>
      <c r="C75" s="234"/>
      <c r="D75" s="234"/>
      <c r="E75" s="248" t="str">
        <f ca="1">IF(INDIRECT("V30")&lt;&gt;"","RandomNickNames[26]="""&amp;INDIRECT("V30")&amp;"""","")</f>
        <v>RandomNickNames[26]="Horseman"</v>
      </c>
      <c r="F75" s="234" t="s">
        <v>340</v>
      </c>
      <c r="G75" s="234"/>
      <c r="H75" s="234"/>
      <c r="I75" s="234"/>
      <c r="J75" s="234"/>
    </row>
    <row r="76" spans="1:10" x14ac:dyDescent="0.25">
      <c r="A76" s="240" t="str">
        <f ca="1">IF(INDIRECT("L4")="","\\","(AbilityName="""&amp;VLOOKUP(INDIRECT("L4"),Abilities,2,FALSE)&amp;""""&amp;IF(VLOOKUP(INDIRECT("L4"),Abilities,3,FALSE)="","",", ApplyToWeaponSlot=eInvSlot_"&amp;VLOOKUP(INDIRECT("L4"),Abilities,3,FALSE))&amp;"), \\")</f>
        <v>(AbilityName="LoneWolf", ApplyToWeaponSlot=eInvSlot_Unknown), \\</v>
      </c>
      <c r="B76" s="234" t="s">
        <v>340</v>
      </c>
      <c r="C76" s="234"/>
      <c r="D76" s="234"/>
      <c r="E76" s="248" t="str">
        <f ca="1">IF(INDIRECT("V31")&lt;&gt;"","RandomNickNames[27]="""&amp;INDIRECT("V31")&amp;"""","")</f>
        <v>RandomNickNames[27]="Thunder"</v>
      </c>
      <c r="F76" s="234" t="s">
        <v>340</v>
      </c>
      <c r="G76" s="234"/>
      <c r="H76" s="234"/>
      <c r="I76" s="234"/>
      <c r="J76" s="234"/>
    </row>
    <row r="77" spans="1:10" x14ac:dyDescent="0.25">
      <c r="A77" s="240" t="str">
        <f ca="1">IF(INDIRECT("F7")="","\\","(AbilityName="""&amp;VLOOKUP(INDIRECT("F7"),Abilities,2,FALSE)&amp;""""&amp;IF(VLOOKUP(INDIRECT("F7"),Abilities,3,FALSE)="","",", ApplyToWeaponSlot=eInvSlot_"&amp;VLOOKUP(INDIRECT("F7"),Abilities,3,FALSE))&amp;"), \\")</f>
        <v>\\</v>
      </c>
      <c r="B77" s="234" t="s">
        <v>340</v>
      </c>
      <c r="C77" s="234"/>
      <c r="D77" s="234"/>
      <c r="E77" s="248" t="str">
        <f ca="1">IF(INDIRECT("V32")&lt;&gt;"","RandomNickNames[28]="""&amp;INDIRECT("V32")&amp;"""","")</f>
        <v>RandomNickNames[28]="Undertaker"</v>
      </c>
      <c r="F77" s="234" t="s">
        <v>340</v>
      </c>
      <c r="G77" s="234"/>
      <c r="H77" s="234"/>
      <c r="I77" s="234"/>
      <c r="J77" s="234"/>
    </row>
    <row r="78" spans="1:10" x14ac:dyDescent="0.25">
      <c r="A78" s="240" t="str">
        <f ca="1">IF(INDIRECT("I7")="","\\","(AbilityName="""&amp;VLOOKUP(INDIRECT("I7"),Abilities,2,FALSE)&amp;""""&amp;IF(VLOOKUP(INDIRECT("I7"),Abilities,3,FALSE)="","",", ApplyToWeaponSlot=eInvSlot_"&amp;VLOOKUP(INDIRECT("I7"),Abilities,3,FALSE))&amp;"), \\")</f>
        <v>\\</v>
      </c>
      <c r="B78" s="234" t="s">
        <v>340</v>
      </c>
      <c r="C78" s="234"/>
      <c r="D78" s="234"/>
      <c r="E78" s="248" t="str">
        <f ca="1">IF(INDIRECT("V33")&lt;&gt;"","RandomNickNames[29]="""&amp;INDIRECT("V33")&amp;"""","")</f>
        <v>RandomNickNames[29]="War"</v>
      </c>
      <c r="F78" s="234" t="s">
        <v>340</v>
      </c>
      <c r="G78" s="234"/>
      <c r="H78" s="234"/>
      <c r="I78" s="234"/>
      <c r="J78" s="234"/>
    </row>
    <row r="79" spans="1:10" x14ac:dyDescent="0.25">
      <c r="A79" s="240" t="str">
        <f ca="1">IF(INDIRECT("L7")="","\\","(AbilityName="""&amp;VLOOKUP(INDIRECT("L7"),Abilities,2,FALSE)&amp;""""&amp;IF(VLOOKUP(INDIRECT("L7"),Abilities,3,FALSE)="","",", ApplyToWeaponSlot=eInvSlot_"&amp;VLOOKUP(INDIRECT("L7"),Abilities,3,FALSE))&amp;"), \\")</f>
        <v>\\</v>
      </c>
      <c r="B79" s="234" t="s">
        <v>340</v>
      </c>
      <c r="C79" s="234"/>
      <c r="D79" s="234"/>
      <c r="E79" s="248" t="str">
        <f ca="1">IF(INDIRECT("V34")&lt;&gt;"","RandomNickNames[30]="""&amp;INDIRECT("V34")&amp;"""","")</f>
        <v>RandomNickNames[30]="Whoopsie"</v>
      </c>
      <c r="F79" s="234" t="s">
        <v>340</v>
      </c>
      <c r="G79" s="234"/>
      <c r="H79" s="234"/>
      <c r="I79" s="234"/>
      <c r="J79" s="234"/>
    </row>
    <row r="80" spans="1:10" x14ac:dyDescent="0.25">
      <c r="A80" s="240" t="s">
        <v>337</v>
      </c>
      <c r="B80" s="234" t="s">
        <v>340</v>
      </c>
      <c r="C80" s="234"/>
      <c r="D80" s="234"/>
      <c r="E80" s="248" t="str">
        <f ca="1">IF(INDIRECT("V35")&lt;&gt;"","RandomNickNames[31]="""&amp;INDIRECT("V35")&amp;"""","")</f>
        <v>RandomNickNames[31]="Zulu"</v>
      </c>
      <c r="F80" s="234" t="s">
        <v>340</v>
      </c>
      <c r="G80" s="234"/>
      <c r="H80" s="234"/>
      <c r="I80" s="234"/>
      <c r="J80" s="234"/>
    </row>
    <row r="81" spans="1:10" x14ac:dyDescent="0.25">
      <c r="A81" s="240"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aStatProgression=((StatType=eStat_Offense,StatAmount=3), (StatType=eStat_HP,StatAmount=0), (StatType=eStat_Hacking,StatAmount=0), (StatType=eStat_CombatSims,StatAmount=1), (StatType=eStat_Will,StatAmount=5)),\\</v>
      </c>
      <c r="B81" s="234" t="s">
        <v>340</v>
      </c>
      <c r="C81" s="234"/>
      <c r="D81" s="234"/>
      <c r="E81" s="248" t="str">
        <f>"; Male Nicknames"</f>
        <v>; Male Nicknames</v>
      </c>
      <c r="F81" s="234" t="s">
        <v>340</v>
      </c>
      <c r="G81" s="234"/>
      <c r="H81" s="234"/>
      <c r="I81" s="234"/>
      <c r="J81" s="234"/>
    </row>
    <row r="82" spans="1:10" x14ac:dyDescent="0.25">
      <c r="A82" s="240" t="s">
        <v>338</v>
      </c>
      <c r="B82" s="234" t="s">
        <v>340</v>
      </c>
      <c r="C82" s="234"/>
      <c r="D82" s="234"/>
      <c r="E82" s="248" t="str">
        <f ca="1">IF(INDIRECT("X4")&lt;&gt;"","RandomNickNames_Male[0]="""&amp;INDIRECT("X4")&amp;"""","")</f>
        <v>RandomNickNames_Male[0]="Candyman"</v>
      </c>
      <c r="F82" s="234" t="s">
        <v>340</v>
      </c>
      <c r="G82" s="234"/>
      <c r="H82" s="234"/>
      <c r="I82" s="234"/>
      <c r="J82" s="234"/>
    </row>
    <row r="83" spans="1:10" x14ac:dyDescent="0.25">
      <c r="A83" s="240" t="str">
        <f>"; lance corporal"</f>
        <v>; lance corporal</v>
      </c>
      <c r="B83" s="234" t="s">
        <v>340</v>
      </c>
      <c r="C83" s="234"/>
      <c r="D83" s="234"/>
      <c r="E83" s="248" t="str">
        <f ca="1">IF(INDIRECT("X5")&lt;&gt;"","RandomNickNames_Male[1]="""&amp;INDIRECT("X5")&amp;"""","")</f>
        <v>RandomNickNames_Male[1]="Magic Man"</v>
      </c>
      <c r="F83" s="234" t="s">
        <v>340</v>
      </c>
      <c r="G83" s="234"/>
      <c r="H83" s="234"/>
      <c r="I83" s="234"/>
      <c r="J83" s="234"/>
    </row>
    <row r="84" spans="1:10" x14ac:dyDescent="0.25">
      <c r="A84" s="240" t="str">
        <f ca="1">"+SoldierRanks=(  aAbilityTree=( (AbilityName="""&amp;VLOOKUP(INDIRECT("F13"),Abilities,2,FALSE)&amp;""""&amp;IF(VLOOKUP(INDIRECT("F13"),Abilities,3,FALSE)="","",", ApplyToWeaponSlot=eInvSlot_"&amp;VLOOKUP(INDIRECT("F13"),Abilities,3,FALSE))&amp;"), \\"</f>
        <v>+SoldierRanks=(  aAbilityTree=( (AbilityName="StreetSweeper", ApplyToWeaponSlot=eInvSlot_PrimaryWeapon), \\</v>
      </c>
      <c r="B84" s="234" t="s">
        <v>340</v>
      </c>
      <c r="C84" s="234"/>
      <c r="D84" s="234"/>
      <c r="E84" s="248" t="str">
        <f ca="1">IF(INDIRECT("X6")&lt;&gt;"","RandomNickNames_Male[2]="""&amp;INDIRECT("X6")&amp;"""","")</f>
        <v>RandomNickNames_Male[2]="Priest"</v>
      </c>
      <c r="F84" s="234" t="s">
        <v>340</v>
      </c>
      <c r="G84" s="234"/>
      <c r="H84" s="234"/>
      <c r="I84" s="234"/>
      <c r="J84" s="234"/>
    </row>
    <row r="85" spans="1:10" x14ac:dyDescent="0.25">
      <c r="A85" s="240" t="str">
        <f ca="1">IF(INDIRECT("I13")="","\\","(AbilityName="""&amp;VLOOKUP(INDIRECT("I13"),Abilities,2,FALSE)&amp;""""&amp;IF(VLOOKUP(INDIRECT("I13"),Abilities,3,FALSE)="","",", ApplyToWeaponSlot=eInvSlot_"&amp;VLOOKUP(INDIRECT("I13"),Abilities,3,FALSE))&amp;"), \\")</f>
        <v>(AbilityName=" "), \\</v>
      </c>
      <c r="B85" s="234" t="s">
        <v>340</v>
      </c>
      <c r="C85" s="234"/>
      <c r="D85" s="234"/>
      <c r="E85" s="248" t="str">
        <f ca="1">IF(INDIRECT("X7")&lt;&gt;"","RandomNickNames_Male[3]="""&amp;INDIRECT("X7")&amp;"""","")</f>
        <v>RandomNickNames_Male[3]="Rainman"</v>
      </c>
      <c r="F85" s="234" t="s">
        <v>340</v>
      </c>
      <c r="G85" s="234"/>
      <c r="H85" s="234"/>
      <c r="I85" s="234"/>
      <c r="J85" s="234"/>
    </row>
    <row r="86" spans="1:10" x14ac:dyDescent="0.25">
      <c r="A86" s="240" t="str">
        <f ca="1">IF(INDIRECT("L13")="","\\","(AbilityName="""&amp;VLOOKUP(INDIRECT("L13"),Abilities,2,FALSE)&amp;""""&amp;IF(VLOOKUP(INDIRECT("L13"),Abilities,3,FALSE)="","",", ApplyToWeaponSlot=eInvSlot_"&amp;VLOOKUP(INDIRECT("L13"),Abilities,3,FALSE))&amp;"), \\")</f>
        <v>(AbilityName="ShadowOps_SurvivalInstinct"), \\</v>
      </c>
      <c r="B86" s="234" t="s">
        <v>340</v>
      </c>
      <c r="C86" s="234"/>
      <c r="D86" s="234"/>
      <c r="E86" s="248" t="str">
        <f ca="1">IF(INDIRECT("X8")&lt;&gt;"","RandomNickNames_Male[4]="""&amp;INDIRECT("X8")&amp;"""","")</f>
        <v>RandomNickNames_Male[4]="Rooster"</v>
      </c>
      <c r="F86" s="234" t="s">
        <v>340</v>
      </c>
      <c r="G86" s="234"/>
      <c r="H86" s="234"/>
      <c r="I86" s="234"/>
      <c r="J86" s="234"/>
    </row>
    <row r="87" spans="1:10" x14ac:dyDescent="0.25">
      <c r="A87" s="240" t="s">
        <v>337</v>
      </c>
      <c r="B87" s="234" t="s">
        <v>340</v>
      </c>
      <c r="C87" s="234"/>
      <c r="D87" s="234"/>
      <c r="E87" s="248" t="str">
        <f>"; Female Nicknames"</f>
        <v>; Female Nicknames</v>
      </c>
      <c r="F87" s="234" t="s">
        <v>340</v>
      </c>
      <c r="G87" s="234"/>
      <c r="H87" s="234"/>
      <c r="I87" s="234"/>
      <c r="J87" s="234"/>
    </row>
    <row r="88" spans="1:10" x14ac:dyDescent="0.25">
      <c r="A88" s="240"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(StatType=eStat_Will,StatAmount=5)),\\</v>
      </c>
      <c r="B88" s="234" t="s">
        <v>340</v>
      </c>
      <c r="C88" s="234"/>
      <c r="D88" s="234"/>
      <c r="E88" s="248" t="str">
        <f ca="1">IF(INDIRECT("X10")&lt;&gt;"","RandomNickNames_Female[0]="""&amp;INDIRECT("X10")&amp;"""","")</f>
        <v>RandomNickNames_Female[0]="Priestess"</v>
      </c>
      <c r="F88" s="234" t="s">
        <v>340</v>
      </c>
      <c r="G88" s="234"/>
      <c r="H88" s="234"/>
      <c r="I88" s="234"/>
      <c r="J88" s="234"/>
    </row>
    <row r="89" spans="1:10" x14ac:dyDescent="0.25">
      <c r="A89" s="240" t="s">
        <v>338</v>
      </c>
      <c r="B89" s="234" t="s">
        <v>340</v>
      </c>
      <c r="C89" s="234"/>
      <c r="D89" s="234"/>
      <c r="E89" s="248" t="str">
        <f ca="1">IF(INDIRECT("X11")&lt;&gt;"","RandomNickNames_Female[1]="""&amp;INDIRECT("X11")&amp;"""","")</f>
        <v>RandomNickNames_Female[1]="Wolfmother"</v>
      </c>
      <c r="F89" s="234" t="s">
        <v>340</v>
      </c>
      <c r="G89" s="234"/>
      <c r="H89" s="234"/>
      <c r="I89" s="234"/>
      <c r="J89" s="234"/>
    </row>
    <row r="90" spans="1:10" x14ac:dyDescent="0.25">
      <c r="A90" s="240" t="str">
        <f>"; corporal"</f>
        <v>; corporal</v>
      </c>
      <c r="B90" s="234" t="s">
        <v>340</v>
      </c>
      <c r="C90" s="234"/>
      <c r="D90" s="234"/>
      <c r="E90" s="248" t="str">
        <f ca="1">IF(INDIRECT("X12")&lt;&gt;"","RandomNickNames_Female[2]="""&amp;INDIRECT("X12")&amp;"""","")</f>
        <v>RandomNickNames_Female[2]="Black Widow"</v>
      </c>
      <c r="F90" s="234" t="s">
        <v>340</v>
      </c>
      <c r="G90" s="234"/>
      <c r="H90" s="234"/>
      <c r="I90" s="234"/>
      <c r="J90" s="234"/>
    </row>
    <row r="91" spans="1:10" x14ac:dyDescent="0.25">
      <c r="A91" s="240" t="str">
        <f ca="1">"+SoldierRanks=(  aAbilityTree=( (AbilityName="""&amp;VLOOKUP(INDIRECT("F17"),Abilities,2,FALSE)&amp;""""&amp;IF(VLOOKUP(INDIRECT("F17"),Abilities,3,FALSE)="","",", ApplyToWeaponSlot=eInvSlot_"&amp;VLOOKUP(INDIRECT("F17"),Abilities,3,FALSE))&amp;"), \\"</f>
        <v>+SoldierRanks=(  aAbilityTree=( (AbilityName=" "), \\</v>
      </c>
      <c r="B91" s="234" t="s">
        <v>340</v>
      </c>
      <c r="C91" s="234"/>
      <c r="D91" s="234"/>
      <c r="E91" s="248" t="str">
        <f ca="1">IF(INDIRECT("X13")&lt;&gt;"","RandomNickNames_Female[3]="""&amp;INDIRECT("X13")&amp;"""","")</f>
        <v>RandomNickNames_Female[3]="Duchess"</v>
      </c>
      <c r="F91" s="234" t="s">
        <v>340</v>
      </c>
      <c r="G91" s="234"/>
      <c r="H91" s="234"/>
      <c r="I91" s="234"/>
      <c r="J91" s="234"/>
    </row>
    <row r="92" spans="1:10" ht="15.75" thickBot="1" x14ac:dyDescent="0.3">
      <c r="A92" s="240" t="str">
        <f ca="1">IF(INDIRECT("I17")="","\\","(AbilityName="""&amp;VLOOKUP(INDIRECT("I17"),Abilities,2,FALSE)&amp;""""&amp;IF(VLOOKUP(INDIRECT("I17"),Abilities,3,FALSE)="","",", ApplyToWeaponSlot=eInvSlot_"&amp;VLOOKUP(INDIRECT("I17"),Abilities,3,FALSE))&amp;"), \\")</f>
        <v>(AbilityName="RapidTargeting", ApplyToWeaponSlot=eInvSlot_SecondaryWeapon), \\</v>
      </c>
      <c r="B92" s="234" t="s">
        <v>340</v>
      </c>
      <c r="C92" s="234"/>
      <c r="D92" s="234"/>
      <c r="E92" s="249" t="str">
        <f ca="1">IF(INDIRECT("X14")&lt;&gt;"","RandomNickNames_Female[4]="""&amp;INDIRECT("X14")&amp;"""","")</f>
        <v>RandomNickNames_Female[4]="Queen"</v>
      </c>
      <c r="F92" s="234" t="s">
        <v>340</v>
      </c>
      <c r="G92" s="234"/>
      <c r="H92" s="234"/>
      <c r="I92" s="234"/>
      <c r="J92" s="234"/>
    </row>
    <row r="93" spans="1:10" x14ac:dyDescent="0.25">
      <c r="A93" s="240" t="str">
        <f ca="1">IF(INDIRECT("L17")="","\\","(AbilityName="""&amp;VLOOKUP(INDIRECT("L17"),Abilities,2,FALSE)&amp;""""&amp;IF(VLOOKUP(INDIRECT("L17"),Abilities,3,FALSE)="","",", ApplyToWeaponSlot=eInvSlot_"&amp;VLOOKUP(INDIRECT("L17"),Abilities,3,FALSE))&amp;"), \\")</f>
        <v>(AbilityName=" "), \\</v>
      </c>
      <c r="B93" s="234" t="s">
        <v>340</v>
      </c>
      <c r="C93" s="234"/>
      <c r="D93" s="234"/>
      <c r="E93" s="234"/>
      <c r="F93" s="234"/>
      <c r="G93" s="234"/>
      <c r="H93" s="234"/>
      <c r="I93" s="234"/>
      <c r="J93" s="234"/>
    </row>
    <row r="94" spans="1:10" x14ac:dyDescent="0.25">
      <c r="A94" s="240" t="s">
        <v>337</v>
      </c>
      <c r="B94" s="234" t="s">
        <v>340</v>
      </c>
      <c r="C94" s="234"/>
      <c r="D94" s="234"/>
      <c r="E94" s="234"/>
      <c r="F94" s="234"/>
      <c r="G94" s="234"/>
      <c r="H94" s="234"/>
      <c r="I94" s="234"/>
      <c r="J94" s="234"/>
    </row>
    <row r="95" spans="1:10" x14ac:dyDescent="0.25">
      <c r="A95" s="240"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aStatProgression=((StatType=eStat_Offense,StatAmount=3), (StatType=eStat_HP,StatAmount=0), (StatType=eStat_Hacking,StatAmount=0)),\\</v>
      </c>
      <c r="B95" s="234" t="s">
        <v>340</v>
      </c>
      <c r="C95" s="234"/>
      <c r="D95" s="234"/>
      <c r="E95" s="234"/>
      <c r="F95" s="234"/>
      <c r="G95" s="234"/>
      <c r="H95" s="234"/>
      <c r="I95" s="234"/>
      <c r="J95" s="234"/>
    </row>
    <row r="96" spans="1:10" x14ac:dyDescent="0.25">
      <c r="A96" s="240" t="s">
        <v>338</v>
      </c>
      <c r="B96" s="234" t="s">
        <v>340</v>
      </c>
      <c r="C96" s="234"/>
      <c r="D96" s="234"/>
      <c r="E96" s="234"/>
      <c r="F96" s="234"/>
      <c r="G96" s="234"/>
      <c r="H96" s="234"/>
      <c r="I96" s="234"/>
      <c r="J96" s="234"/>
    </row>
    <row r="97" spans="1:10" x14ac:dyDescent="0.25">
      <c r="A97" s="240" t="str">
        <f>"; sergeant"</f>
        <v>; sergeant</v>
      </c>
      <c r="B97" s="234" t="s">
        <v>340</v>
      </c>
      <c r="C97" s="234"/>
      <c r="D97" s="234"/>
      <c r="E97" s="234"/>
      <c r="F97" s="234"/>
      <c r="G97" s="234"/>
      <c r="H97" s="234"/>
      <c r="I97" s="234"/>
      <c r="J97" s="234"/>
    </row>
    <row r="98" spans="1:10" x14ac:dyDescent="0.25">
      <c r="A98" s="240" t="str">
        <f ca="1">"+SoldierRanks=(  aAbilityTree=( (AbilityName="""&amp;VLOOKUP(INDIRECT("F21"),Abilities,2,FALSE)&amp;""""&amp;IF(VLOOKUP(INDIRECT("F21"),Abilities,3,FALSE)="","",", ApplyToWeaponSlot=eInvSlot_"&amp;VLOOKUP(INDIRECT("F21"),Abilities,3,FALSE))&amp;"), \\"</f>
        <v>+SoldierRanks=(  aAbilityTree=( (AbilityName="Aggression", ApplyToWeaponSlot=eInvSlot_PrimaryWeapon), \\</v>
      </c>
      <c r="B98" s="234" t="s">
        <v>340</v>
      </c>
      <c r="C98" s="234"/>
      <c r="D98" s="234"/>
      <c r="E98" s="234"/>
      <c r="F98" s="234"/>
      <c r="G98" s="234"/>
      <c r="H98" s="234"/>
      <c r="I98" s="234"/>
      <c r="J98" s="234"/>
    </row>
    <row r="99" spans="1:10" x14ac:dyDescent="0.25">
      <c r="A99" s="240" t="str">
        <f ca="1">IF(INDIRECT("I21")="","\\","(AbilityName="""&amp;VLOOKUP(INDIRECT("I21"),Abilities,2,FALSE)&amp;""""&amp;IF(VLOOKUP(INDIRECT("I21"),Abilities,3,FALSE)="","",", ApplyToWeaponSlot=eInvSlot_"&amp;VLOOKUP(INDIRECT("I21"),Abilities,3,FALSE))&amp;"), \\")</f>
        <v>(AbilityName=" "), \\</v>
      </c>
      <c r="B99" s="234" t="s">
        <v>340</v>
      </c>
      <c r="C99" s="234"/>
      <c r="D99" s="234"/>
      <c r="E99" s="234"/>
      <c r="F99" s="234"/>
      <c r="G99" s="234"/>
      <c r="H99" s="234"/>
      <c r="I99" s="234"/>
      <c r="J99" s="234"/>
    </row>
    <row r="100" spans="1:10" x14ac:dyDescent="0.25">
      <c r="A100" s="240" t="str">
        <f ca="1">IF(INDIRECT("L21")="","\\","(AbilityName="""&amp;VLOOKUP(INDIRECT("L21"),Abilities,2,FALSE)&amp;""""&amp;IF(VLOOKUP(INDIRECT("L21"),Abilities,3,FALSE)="","",", ApplyToWeaponSlot=eInvSlot_"&amp;VLOOKUP(INDIRECT("L21"),Abilities,3,FALSE))&amp;"), \\")</f>
        <v>(AbilityName="ShadowOps_LineEmUp", ApplyToWeaponSlot=eInvSlot_PrimaryWeapon), \\</v>
      </c>
      <c r="B100" s="234" t="s">
        <v>340</v>
      </c>
      <c r="C100" s="234"/>
      <c r="D100" s="234"/>
      <c r="E100" s="234"/>
      <c r="F100" s="234"/>
      <c r="G100" s="234"/>
      <c r="H100" s="234"/>
      <c r="I100" s="234"/>
      <c r="J100" s="234"/>
    </row>
    <row r="101" spans="1:10" x14ac:dyDescent="0.25">
      <c r="A101" s="240" t="s">
        <v>337</v>
      </c>
      <c r="B101" s="234" t="s">
        <v>340</v>
      </c>
      <c r="C101" s="234"/>
      <c r="D101" s="234"/>
      <c r="E101" s="234"/>
      <c r="F101" s="234"/>
      <c r="G101" s="234"/>
      <c r="H101" s="234"/>
      <c r="I101" s="234"/>
      <c r="J101" s="234"/>
    </row>
    <row r="102" spans="1:10" x14ac:dyDescent="0.25">
      <c r="A102" s="240"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234" t="s">
        <v>340</v>
      </c>
      <c r="C102" s="234"/>
      <c r="D102" s="234"/>
      <c r="E102" s="234"/>
      <c r="F102" s="234"/>
      <c r="G102" s="234"/>
      <c r="H102" s="234"/>
      <c r="I102" s="234"/>
      <c r="J102" s="234"/>
    </row>
    <row r="103" spans="1:10" x14ac:dyDescent="0.25">
      <c r="A103" s="240" t="s">
        <v>338</v>
      </c>
      <c r="B103" s="234" t="s">
        <v>340</v>
      </c>
      <c r="C103" s="234"/>
      <c r="D103" s="234"/>
      <c r="E103" s="234"/>
      <c r="F103" s="234"/>
      <c r="G103" s="234"/>
      <c r="H103" s="234"/>
      <c r="I103" s="234"/>
      <c r="J103" s="234"/>
    </row>
    <row r="104" spans="1:10" x14ac:dyDescent="0.25">
      <c r="A104" s="240" t="str">
        <f>"; staff sergeant"</f>
        <v>; staff sergeant</v>
      </c>
      <c r="B104" s="234" t="s">
        <v>340</v>
      </c>
      <c r="C104" s="234"/>
      <c r="D104" s="234"/>
      <c r="E104" s="234"/>
      <c r="F104" s="234"/>
      <c r="G104" s="234"/>
      <c r="H104" s="234"/>
      <c r="I104" s="234"/>
      <c r="J104" s="234"/>
    </row>
    <row r="105" spans="1:10" x14ac:dyDescent="0.25">
      <c r="A105" s="240" t="str">
        <f ca="1">"+SoldierRanks=(  aAbilityTree=( (AbilityName="""&amp;VLOOKUP(INDIRECT("F25"),Abilities,2,FALSE)&amp;""""&amp;IF(VLOOKUP(INDIRECT("F25"),Abilities,3,FALSE)="","",", ApplyToWeaponSlot=eInvSlot_"&amp;VLOOKUP(INDIRECT("F25"),Abilities,3,FALSE))&amp;"), \\"</f>
        <v>+SoldierRanks=(  aAbilityTree=( (AbilityName="TacticalSense"), \\</v>
      </c>
      <c r="B105" s="234" t="s">
        <v>340</v>
      </c>
      <c r="C105" s="234"/>
      <c r="D105" s="234"/>
      <c r="E105" s="234"/>
      <c r="F105" s="234"/>
      <c r="G105" s="234"/>
      <c r="H105" s="234"/>
      <c r="I105" s="234"/>
      <c r="J105" s="234"/>
    </row>
    <row r="106" spans="1:10" x14ac:dyDescent="0.25">
      <c r="A106" s="240" t="str">
        <f ca="1">IF(INDIRECT("I25")="","\\","(AbilityName="""&amp;VLOOKUP(INDIRECT("I25"),Abilities,2,FALSE)&amp;""""&amp;IF(VLOOKUP(INDIRECT("I25"),Abilities,3,FALSE)="","",", ApplyToWeaponSlot=eInvSlot_"&amp;VLOOKUP(INDIRECT("I25"),Abilities,3,FALSE))&amp;"), \\")</f>
        <v>(AbilityName=" "), \\</v>
      </c>
      <c r="B106" s="234" t="s">
        <v>340</v>
      </c>
      <c r="C106" s="234"/>
      <c r="D106" s="234"/>
      <c r="E106" s="234"/>
      <c r="F106" s="234"/>
      <c r="G106" s="234"/>
      <c r="H106" s="234"/>
      <c r="I106" s="234"/>
      <c r="J106" s="234"/>
    </row>
    <row r="107" spans="1:10" x14ac:dyDescent="0.25">
      <c r="A107" s="240" t="str">
        <f ca="1">IF(INDIRECT("L25")="","\\","(AbilityName="""&amp;VLOOKUP(INDIRECT("L25"),Abilities,2,FALSE)&amp;""""&amp;IF(VLOOKUP(INDIRECT("L25"),Abilities,3,FALSE)="","",", ApplyToWeaponSlot=eInvSlot_"&amp;VLOOKUP(INDIRECT("L25"),Abilities,3,FALSE))&amp;"), \\")</f>
        <v>(AbilityName="ShadowOps_FocusedDefense"), \\</v>
      </c>
      <c r="B107" s="234" t="s">
        <v>340</v>
      </c>
      <c r="C107" s="234"/>
      <c r="D107" s="234"/>
      <c r="E107" s="234"/>
      <c r="F107" s="234"/>
      <c r="G107" s="234"/>
      <c r="H107" s="234"/>
      <c r="I107" s="234"/>
      <c r="J107" s="234"/>
    </row>
    <row r="108" spans="1:10" x14ac:dyDescent="0.25">
      <c r="A108" s="240" t="s">
        <v>337</v>
      </c>
      <c r="B108" s="234" t="s">
        <v>340</v>
      </c>
      <c r="C108" s="234"/>
      <c r="D108" s="234"/>
      <c r="E108" s="234"/>
      <c r="F108" s="234"/>
      <c r="G108" s="234"/>
      <c r="H108" s="234"/>
      <c r="I108" s="234"/>
      <c r="J108" s="234"/>
    </row>
    <row r="109" spans="1:10" x14ac:dyDescent="0.25">
      <c r="A109" s="240"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(StatType=eStat_HP,StatAmount=0), (StatType=eStat_Hacking,StatAmount=0)),\\</v>
      </c>
      <c r="B109" s="234" t="s">
        <v>340</v>
      </c>
      <c r="C109" s="234"/>
      <c r="D109" s="234"/>
      <c r="E109" s="234"/>
      <c r="F109" s="234"/>
      <c r="G109" s="234"/>
      <c r="H109" s="234"/>
      <c r="I109" s="234"/>
      <c r="J109" s="234"/>
    </row>
    <row r="110" spans="1:10" x14ac:dyDescent="0.25">
      <c r="A110" s="240" t="s">
        <v>338</v>
      </c>
      <c r="B110" s="234" t="s">
        <v>340</v>
      </c>
      <c r="C110" s="234"/>
      <c r="D110" s="234"/>
      <c r="E110" s="234"/>
      <c r="F110" s="234"/>
      <c r="G110" s="234"/>
      <c r="H110" s="234"/>
      <c r="I110" s="234"/>
      <c r="J110" s="234"/>
    </row>
    <row r="111" spans="1:10" x14ac:dyDescent="0.25">
      <c r="A111" s="240" t="str">
        <f>"; tech sergeant"</f>
        <v>; tech sergeant</v>
      </c>
      <c r="B111" s="234" t="s">
        <v>340</v>
      </c>
      <c r="C111" s="234"/>
      <c r="D111" s="234"/>
      <c r="E111" s="234"/>
      <c r="F111" s="234"/>
      <c r="G111" s="234"/>
      <c r="H111" s="234"/>
      <c r="I111" s="234"/>
      <c r="J111" s="234"/>
    </row>
    <row r="112" spans="1:10" x14ac:dyDescent="0.25">
      <c r="A112" s="240" t="str">
        <f ca="1">"+SoldierRanks=(  aAbilityTree=( (AbilityName="""&amp;VLOOKUP(INDIRECT("F29"),Abilities,2,FALSE)&amp;""""&amp;IF(VLOOKUP(INDIRECT("F29"),Abilities,3,FALSE)="","",", ApplyToWeaponSlot=eInvSlot_"&amp;VLOOKUP(INDIRECT("F29"),Abilities,3,FALSE))&amp;"), \\"</f>
        <v>+SoldierRanks=(  aAbilityTree=( (AbilityName="Multitargeting", ApplyToWeaponSlot=eInvSlot_SecondaryWeapon), \\</v>
      </c>
      <c r="B112" s="234" t="s">
        <v>340</v>
      </c>
      <c r="C112" s="234"/>
      <c r="D112" s="234"/>
      <c r="E112" s="234"/>
      <c r="F112" s="234"/>
      <c r="G112" s="234"/>
      <c r="H112" s="234"/>
      <c r="I112" s="234"/>
      <c r="J112" s="234"/>
    </row>
    <row r="113" spans="1:10" x14ac:dyDescent="0.25">
      <c r="A113" s="240" t="str">
        <f ca="1">IF(INDIRECT("I29")="","\\","(AbilityName="""&amp;VLOOKUP(INDIRECT("I29"),Abilities,2,FALSE)&amp;""""&amp;IF(VLOOKUP(INDIRECT("I29"),Abilities,3,FALSE)="","",", ApplyToWeaponSlot=eInvSlot_"&amp;VLOOKUP(INDIRECT("I29"),Abilities,3,FALSE))&amp;"), \\")</f>
        <v>(AbilityName=" "), \\</v>
      </c>
      <c r="B113" s="234" t="s">
        <v>340</v>
      </c>
      <c r="C113" s="234"/>
      <c r="D113" s="234"/>
      <c r="E113" s="234"/>
      <c r="F113" s="234"/>
      <c r="G113" s="234"/>
      <c r="H113" s="234"/>
      <c r="I113" s="234"/>
      <c r="J113" s="234"/>
    </row>
    <row r="114" spans="1:10" x14ac:dyDescent="0.25">
      <c r="A114" s="240" t="str">
        <f ca="1">IF(INDIRECT("L29")="","\\","(AbilityName="""&amp;VLOOKUP(INDIRECT("L29"),Abilities,2,FALSE)&amp;""""&amp;IF(VLOOKUP(INDIRECT("L29"),Abilities,3,FALSE)="","",", ApplyToWeaponSlot=eInvSlot_"&amp;VLOOKUP(INDIRECT("L29"),Abilities,3,FALSE))&amp;"), \\")</f>
        <v>(AbilityName="IndependentTracking", ApplyToWeaponSlot=eInvSlot_SecondaryWeapon), \\</v>
      </c>
      <c r="B114" s="234" t="s">
        <v>340</v>
      </c>
      <c r="C114" s="234"/>
      <c r="D114" s="234"/>
      <c r="E114" s="234"/>
      <c r="F114" s="234"/>
      <c r="G114" s="234"/>
      <c r="H114" s="234"/>
      <c r="I114" s="234"/>
      <c r="J114" s="234"/>
    </row>
    <row r="115" spans="1:10" x14ac:dyDescent="0.25">
      <c r="A115" s="240" t="s">
        <v>337</v>
      </c>
      <c r="B115" s="234" t="s">
        <v>340</v>
      </c>
      <c r="C115" s="234"/>
      <c r="D115" s="234"/>
      <c r="E115" s="234"/>
      <c r="F115" s="234"/>
      <c r="G115" s="234"/>
      <c r="H115" s="234"/>
      <c r="I115" s="234"/>
      <c r="J115" s="234"/>
    </row>
    <row r="116" spans="1:10" x14ac:dyDescent="0.25">
      <c r="A116" s="240"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234" t="s">
        <v>340</v>
      </c>
      <c r="C116" s="234"/>
      <c r="D116" s="234"/>
      <c r="E116" s="234"/>
      <c r="F116" s="234"/>
      <c r="G116" s="234"/>
      <c r="H116" s="234"/>
      <c r="I116" s="234"/>
      <c r="J116" s="234"/>
    </row>
    <row r="117" spans="1:10" x14ac:dyDescent="0.25">
      <c r="A117" s="240" t="s">
        <v>338</v>
      </c>
      <c r="B117" s="234" t="s">
        <v>340</v>
      </c>
      <c r="C117" s="234"/>
      <c r="D117" s="234"/>
      <c r="E117" s="234"/>
      <c r="F117" s="234"/>
      <c r="G117" s="234"/>
      <c r="H117" s="234"/>
      <c r="I117" s="234"/>
      <c r="J117" s="234"/>
    </row>
    <row r="118" spans="1:10" x14ac:dyDescent="0.25">
      <c r="A118" s="240" t="str">
        <f>";  gunnery sergeant"</f>
        <v>;  gunnery sergeant</v>
      </c>
      <c r="B118" s="234" t="s">
        <v>340</v>
      </c>
      <c r="C118" s="234"/>
      <c r="D118" s="234"/>
      <c r="E118" s="234"/>
      <c r="F118" s="234"/>
      <c r="G118" s="234"/>
      <c r="H118" s="234"/>
      <c r="I118" s="234"/>
      <c r="J118" s="234"/>
    </row>
    <row r="119" spans="1:10" x14ac:dyDescent="0.25">
      <c r="A119" s="240" t="str">
        <f ca="1">"+SoldierRanks=(  aAbilityTree=( (AbilityName="""&amp;VLOOKUP(INDIRECT("F33"),Abilities,2,FALSE)&amp;""""&amp;IF(VLOOKUP(INDIRECT("F33"),Abilities,3,FALSE)="","",", ApplyToWeaponSlot=eInvSlot_"&amp;VLOOKUP(INDIRECT("F33"),Abilities,3,FALSE))&amp;"), \\"</f>
        <v>+SoldierRanks=(  aAbilityTree=( (AbilityName=" "), \\</v>
      </c>
      <c r="B119" s="234" t="s">
        <v>340</v>
      </c>
      <c r="C119" s="234"/>
      <c r="D119" s="234"/>
      <c r="E119" s="234"/>
      <c r="F119" s="234"/>
      <c r="G119" s="234"/>
      <c r="H119" s="234"/>
      <c r="I119" s="234"/>
      <c r="J119" s="234"/>
    </row>
    <row r="120" spans="1:10" x14ac:dyDescent="0.25">
      <c r="A120" s="240" t="str">
        <f ca="1">IF(INDIRECT("I33")="","\\","(AbilityName="""&amp;VLOOKUP(INDIRECT("I33"),Abilities,2,FALSE)&amp;""""&amp;IF(VLOOKUP(INDIRECT("I33"),Abilities,3,FALSE)="","",", ApplyToWeaponSlot=eInvSlot_"&amp;VLOOKUP(INDIRECT("I33"),Abilities,3,FALSE))&amp;"), \\")</f>
        <v>(AbilityName="BringEmOn", ApplyToWeaponSlot=eInvSlot_Unknown), \\</v>
      </c>
      <c r="B120" s="234" t="s">
        <v>340</v>
      </c>
      <c r="C120" s="234"/>
      <c r="D120" s="234"/>
      <c r="E120" s="234"/>
      <c r="F120" s="234"/>
      <c r="G120" s="234"/>
      <c r="H120" s="234"/>
      <c r="I120" s="234"/>
      <c r="J120" s="234"/>
    </row>
    <row r="121" spans="1:10" x14ac:dyDescent="0.25">
      <c r="A121" s="240" t="str">
        <f ca="1">IF(INDIRECT("L33")="","\\","(AbilityName="""&amp;VLOOKUP(INDIRECT("L33"),Abilities,2,FALSE)&amp;""""&amp;IF(VLOOKUP(INDIRECT("L33"),Abilities,3,FALSE)="","",", ApplyToWeaponSlot=eInvSlot_"&amp;VLOOKUP(INDIRECT("L33"),Abilities,3,FALSE))&amp;"), \\")</f>
        <v>(AbilityName=" "), \\</v>
      </c>
      <c r="B121" s="234" t="s">
        <v>340</v>
      </c>
      <c r="C121" s="234"/>
      <c r="D121" s="234"/>
      <c r="E121" s="234"/>
      <c r="F121" s="234"/>
      <c r="G121" s="234"/>
      <c r="H121" s="234"/>
      <c r="I121" s="234"/>
      <c r="J121" s="234"/>
    </row>
    <row r="122" spans="1:10" x14ac:dyDescent="0.25">
      <c r="A122" s="240" t="s">
        <v>337</v>
      </c>
      <c r="B122" s="234" t="s">
        <v>340</v>
      </c>
      <c r="C122" s="234"/>
      <c r="D122" s="234"/>
      <c r="E122" s="234"/>
      <c r="F122" s="234"/>
      <c r="G122" s="234"/>
      <c r="H122" s="234"/>
      <c r="I122" s="234"/>
      <c r="J122" s="234"/>
    </row>
    <row r="123" spans="1:10" x14ac:dyDescent="0.25">
      <c r="A123" s="240"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(StatType=eStat_HP,StatAmount=1), (StatType=eStat_Hacking,StatAmount=0)),\\</v>
      </c>
      <c r="B123" s="234" t="s">
        <v>340</v>
      </c>
      <c r="C123" s="234"/>
      <c r="D123" s="234"/>
      <c r="E123" s="234"/>
      <c r="F123" s="234"/>
      <c r="G123" s="234"/>
      <c r="H123" s="234"/>
      <c r="I123" s="234"/>
      <c r="J123" s="234"/>
    </row>
    <row r="124" spans="1:10" x14ac:dyDescent="0.25">
      <c r="A124" s="240" t="s">
        <v>338</v>
      </c>
      <c r="B124" s="234" t="s">
        <v>340</v>
      </c>
      <c r="C124" s="234"/>
      <c r="D124" s="234"/>
      <c r="E124" s="234"/>
      <c r="F124" s="234"/>
      <c r="G124" s="234"/>
      <c r="H124" s="234"/>
      <c r="I124" s="234"/>
      <c r="J124" s="234"/>
    </row>
    <row r="125" spans="1:10" x14ac:dyDescent="0.25">
      <c r="A125" s="240" t="str">
        <f>"; master sergeant"</f>
        <v>; master sergeant</v>
      </c>
      <c r="B125" s="234" t="s">
        <v>340</v>
      </c>
      <c r="C125" s="234"/>
      <c r="D125" s="234"/>
      <c r="E125" s="234"/>
      <c r="F125" s="234"/>
      <c r="G125" s="234"/>
      <c r="H125" s="234"/>
      <c r="I125" s="234"/>
      <c r="J125" s="234"/>
    </row>
    <row r="126" spans="1:10" x14ac:dyDescent="0.25">
      <c r="A126" s="240" t="str">
        <f ca="1">"+SoldierRanks=(  aAbilityTree=( (AbilityName="""&amp;VLOOKUP(INDIRECT("F37"),Abilities,2,FALSE)&amp;""""&amp;IF(VLOOKUP(INDIRECT("F37"),Abilities,3,FALSE)="","",", ApplyToWeaponSlot=eInvSlot_"&amp;VLOOKUP(INDIRECT("F37"),Abilities,3,FALSE))&amp;"), \\"</f>
        <v>+SoldierRanks=(  aAbilityTree=( (AbilityName="ShadowOps_AgainstTheOdds"), \\</v>
      </c>
      <c r="B126" s="234" t="s">
        <v>340</v>
      </c>
      <c r="C126" s="234"/>
      <c r="D126" s="234"/>
      <c r="E126" s="234"/>
      <c r="F126" s="234"/>
      <c r="G126" s="234"/>
      <c r="H126" s="234"/>
      <c r="I126" s="234"/>
      <c r="J126" s="234"/>
    </row>
    <row r="127" spans="1:10" x14ac:dyDescent="0.25">
      <c r="A127" s="240" t="str">
        <f ca="1">IF(INDIRECT("I37")="","\\","(AbilityName="""&amp;VLOOKUP(INDIRECT("I37"),Abilities,2,FALSE)&amp;""""&amp;IF(VLOOKUP(INDIRECT("I37"),Abilities,3,FALSE)="","",", ApplyToWeaponSlot=eInvSlot_"&amp;VLOOKUP(INDIRECT("I37"),Abilities,3,FALSE))&amp;"), \\")</f>
        <v>(AbilityName=" "), \\</v>
      </c>
      <c r="B127" s="234" t="s">
        <v>340</v>
      </c>
      <c r="C127" s="234"/>
      <c r="D127" s="234"/>
      <c r="E127" s="234"/>
      <c r="F127" s="234"/>
      <c r="G127" s="234"/>
      <c r="H127" s="234"/>
      <c r="I127" s="234"/>
      <c r="J127" s="234"/>
    </row>
    <row r="128" spans="1:10" x14ac:dyDescent="0.25">
      <c r="A128" s="240" t="str">
        <f ca="1">IF(INDIRECT("L37")="","\\","(AbilityName="""&amp;VLOOKUP(INDIRECT("L37"),Abilities,2,FALSE)&amp;""""&amp;IF(VLOOKUP(INDIRECT("L37"),Abilities,3,FALSE)="","",", ApplyToWeaponSlot=eInvSlot_"&amp;VLOOKUP(INDIRECT("L37"),Abilities,3,FALSE))&amp;"), \\")</f>
        <v>(AbilityName="AlphaMikeFoxtrot", ApplyToWeaponSlot=eInvSlot_PrimaryWeapon), \\</v>
      </c>
      <c r="B128" s="234" t="s">
        <v>340</v>
      </c>
      <c r="C128" s="234"/>
      <c r="D128" s="234"/>
      <c r="E128" s="234"/>
      <c r="F128" s="234"/>
      <c r="G128" s="234"/>
      <c r="H128" s="234"/>
      <c r="I128" s="234"/>
      <c r="J128" s="234"/>
    </row>
    <row r="129" spans="1:10" x14ac:dyDescent="0.25">
      <c r="A129" s="240" t="s">
        <v>337</v>
      </c>
      <c r="B129" s="234" t="s">
        <v>340</v>
      </c>
      <c r="C129" s="234"/>
      <c r="D129" s="234"/>
      <c r="E129" s="234"/>
      <c r="F129" s="234"/>
      <c r="G129" s="234"/>
      <c r="H129" s="234"/>
      <c r="I129" s="234"/>
      <c r="J129" s="234"/>
    </row>
    <row r="130" spans="1:10" x14ac:dyDescent="0.25">
      <c r="A130" s="240"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(StatType=eStat_HP,StatAmount=0), (StatType=eStat_Hacking,StatAmount=0)),\\</v>
      </c>
      <c r="B130" s="234" t="s">
        <v>340</v>
      </c>
      <c r="C130" s="234"/>
      <c r="D130" s="234"/>
      <c r="E130" s="234"/>
      <c r="F130" s="234"/>
      <c r="G130" s="234"/>
      <c r="H130" s="234"/>
      <c r="I130" s="234"/>
      <c r="J130" s="234"/>
    </row>
    <row r="131" spans="1:10" ht="15.75" thickBot="1" x14ac:dyDescent="0.3">
      <c r="A131" s="241" t="s">
        <v>338</v>
      </c>
      <c r="B131" s="234" t="s">
        <v>340</v>
      </c>
      <c r="C131" s="234"/>
      <c r="D131" s="234"/>
      <c r="E131" s="234"/>
      <c r="F131" s="234"/>
      <c r="G131" s="234"/>
      <c r="H131" s="234"/>
      <c r="I131" s="234"/>
      <c r="J131" s="234"/>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I37:J37"/>
    <mergeCell ref="F17:G17"/>
    <mergeCell ref="I17:J17"/>
    <mergeCell ref="L17:M1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L37:M37"/>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A40:B41"/>
    <mergeCell ref="C40:E41"/>
    <mergeCell ref="A42:B42"/>
    <mergeCell ref="C42:D42"/>
    <mergeCell ref="E42:F42"/>
    <mergeCell ref="F38:H39"/>
    <mergeCell ref="I38:K39"/>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59745"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59746"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59747"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59748"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59749"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59750"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59751"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59752"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59753"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59754"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59755"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59756"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59757"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I13</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90" t="s">
        <v>308</v>
      </c>
      <c r="B1" s="91"/>
      <c r="C1" s="94" t="s">
        <v>1022</v>
      </c>
      <c r="D1" s="95"/>
      <c r="E1" s="95"/>
      <c r="F1" s="98" t="s">
        <v>324</v>
      </c>
      <c r="G1" s="99"/>
      <c r="H1" s="99"/>
      <c r="I1" s="99"/>
      <c r="J1" s="99"/>
      <c r="K1" s="99"/>
      <c r="L1" s="99"/>
      <c r="M1" s="99"/>
      <c r="N1" s="99"/>
      <c r="O1" s="100" t="s">
        <v>325</v>
      </c>
      <c r="P1" s="101"/>
      <c r="Q1" s="101"/>
      <c r="R1" s="101"/>
      <c r="S1" s="101"/>
      <c r="T1" s="101"/>
      <c r="U1" s="102"/>
      <c r="V1" s="196" t="s">
        <v>776</v>
      </c>
      <c r="W1" s="197"/>
      <c r="X1" s="197"/>
      <c r="Y1" s="197"/>
    </row>
    <row r="2" spans="1:25" ht="15" customHeight="1" thickBot="1" x14ac:dyDescent="0.3">
      <c r="A2" s="92"/>
      <c r="B2" s="93"/>
      <c r="C2" s="96"/>
      <c r="D2" s="97"/>
      <c r="E2" s="97"/>
      <c r="F2" s="98"/>
      <c r="G2" s="99"/>
      <c r="H2" s="99"/>
      <c r="I2" s="99"/>
      <c r="J2" s="99"/>
      <c r="K2" s="99"/>
      <c r="L2" s="99"/>
      <c r="M2" s="99"/>
      <c r="N2" s="99"/>
      <c r="O2" s="103"/>
      <c r="P2" s="104"/>
      <c r="Q2" s="104"/>
      <c r="R2" s="104"/>
      <c r="S2" s="104"/>
      <c r="T2" s="104"/>
      <c r="U2" s="105"/>
      <c r="V2" s="198"/>
      <c r="W2" s="199"/>
      <c r="X2" s="199"/>
      <c r="Y2" s="199"/>
    </row>
    <row r="3" spans="1:25" ht="18" thickBot="1" x14ac:dyDescent="0.35">
      <c r="A3" s="106" t="s">
        <v>309</v>
      </c>
      <c r="B3" s="107"/>
      <c r="C3" s="108" t="str">
        <f>Output!$L$1&amp;SUBSTITUTE(C1," ","")</f>
        <v>LWD_Cowboy</v>
      </c>
      <c r="D3" s="109"/>
      <c r="E3" s="109"/>
      <c r="F3" s="110" t="s">
        <v>12</v>
      </c>
      <c r="G3" s="111"/>
      <c r="H3" s="111"/>
      <c r="I3" s="111"/>
      <c r="J3" s="111"/>
      <c r="K3" s="111"/>
      <c r="L3" s="111"/>
      <c r="M3" s="111"/>
      <c r="N3" s="112"/>
      <c r="O3" s="15"/>
      <c r="P3" s="16" t="s">
        <v>79</v>
      </c>
      <c r="Q3" s="17" t="s">
        <v>326</v>
      </c>
      <c r="R3" s="17" t="s">
        <v>328</v>
      </c>
      <c r="S3" s="17" t="s">
        <v>327</v>
      </c>
      <c r="T3" s="17" t="s">
        <v>330</v>
      </c>
      <c r="U3" s="18" t="s">
        <v>329</v>
      </c>
      <c r="V3" s="200" t="s">
        <v>810</v>
      </c>
      <c r="W3" s="201"/>
      <c r="X3" s="200" t="s">
        <v>811</v>
      </c>
      <c r="Y3" s="201"/>
    </row>
    <row r="4" spans="1:25" ht="18" thickTop="1" x14ac:dyDescent="0.3">
      <c r="A4" s="113" t="s">
        <v>310</v>
      </c>
      <c r="B4" s="114"/>
      <c r="C4" s="115" t="s">
        <v>314</v>
      </c>
      <c r="D4" s="116"/>
      <c r="E4" s="116"/>
      <c r="F4" s="119" t="s">
        <v>1100</v>
      </c>
      <c r="G4" s="120"/>
      <c r="H4" s="4" t="str">
        <f>IFERROR(VLOOKUP(F4,Abilities,4,FALSE),"")</f>
        <v>LW2</v>
      </c>
      <c r="I4" s="121" t="s">
        <v>1086</v>
      </c>
      <c r="J4" s="120"/>
      <c r="K4" s="35" t="str">
        <f>IFERROR(VLOOKUP(I4,Abilities,4,FALSE),"")</f>
        <v>LWD</v>
      </c>
      <c r="L4" s="122" t="s">
        <v>1095</v>
      </c>
      <c r="M4" s="120"/>
      <c r="N4" s="10" t="str">
        <f>IFERROR(VLOOKUP(L4,Abilities,4,FALSE),"")</f>
        <v>LWD</v>
      </c>
      <c r="O4" s="19" t="s">
        <v>12</v>
      </c>
      <c r="P4" s="4">
        <v>3</v>
      </c>
      <c r="Q4" s="20">
        <v>0</v>
      </c>
      <c r="R4" s="20"/>
      <c r="S4" s="4">
        <v>0</v>
      </c>
      <c r="T4" s="4">
        <v>1</v>
      </c>
      <c r="U4" s="10"/>
      <c r="V4" s="192" t="s">
        <v>1152</v>
      </c>
      <c r="W4" s="193"/>
      <c r="X4" s="192" t="s">
        <v>1153</v>
      </c>
      <c r="Y4" s="193"/>
    </row>
    <row r="5" spans="1:25" ht="15" customHeight="1" x14ac:dyDescent="0.25">
      <c r="A5" s="6"/>
      <c r="B5" s="5" t="b">
        <v>0</v>
      </c>
      <c r="C5" s="117"/>
      <c r="D5" s="118"/>
      <c r="E5" s="118"/>
      <c r="F5" s="123" t="str">
        <f>IFERROR(VLOOKUP(F4,Abilities,7,FALSE),"")</f>
        <v>Halves officer and AWC training times</v>
      </c>
      <c r="G5" s="124"/>
      <c r="H5" s="125"/>
      <c r="I5" s="129" t="str">
        <f>IFERROR(VLOOKUP(I4,Abilities,7,FALSE),"")</f>
        <v>Fire your sawed-off shotgun in a cone.</v>
      </c>
      <c r="J5" s="130"/>
      <c r="K5" s="131"/>
      <c r="L5" s="130" t="str">
        <f>IFERROR(VLOOKUP(L4,Abilities,7,FALSE),"")</f>
        <v>Pick one enemy. You suffer no range penalties against them, but range penalties against other enemies are doubled. Lasts until the end of your next turn.</v>
      </c>
      <c r="M5" s="130"/>
      <c r="N5" s="135"/>
      <c r="O5" s="26" t="s">
        <v>456</v>
      </c>
      <c r="P5" s="27">
        <v>3</v>
      </c>
      <c r="Q5" s="28">
        <v>1</v>
      </c>
      <c r="R5" s="28"/>
      <c r="S5" s="27">
        <v>0</v>
      </c>
      <c r="T5" s="27"/>
      <c r="U5" s="29"/>
      <c r="V5" s="190" t="s">
        <v>821</v>
      </c>
      <c r="W5" s="191"/>
      <c r="X5" s="190" t="s">
        <v>1154</v>
      </c>
      <c r="Y5" s="191"/>
    </row>
    <row r="6" spans="1:25" ht="15" customHeight="1" x14ac:dyDescent="0.25">
      <c r="A6" s="6"/>
      <c r="B6" s="5" t="b">
        <v>0</v>
      </c>
      <c r="C6" s="137" t="s">
        <v>315</v>
      </c>
      <c r="D6" s="138"/>
      <c r="E6" s="11">
        <v>0</v>
      </c>
      <c r="F6" s="126"/>
      <c r="G6" s="127"/>
      <c r="H6" s="128"/>
      <c r="I6" s="132"/>
      <c r="J6" s="133"/>
      <c r="K6" s="134"/>
      <c r="L6" s="133"/>
      <c r="M6" s="133"/>
      <c r="N6" s="136"/>
      <c r="O6" s="19" t="s">
        <v>15</v>
      </c>
      <c r="P6" s="4">
        <v>3</v>
      </c>
      <c r="Q6" s="20">
        <v>0</v>
      </c>
      <c r="R6" s="20"/>
      <c r="S6" s="4">
        <v>0</v>
      </c>
      <c r="T6" s="4"/>
      <c r="U6" s="10"/>
      <c r="V6" s="192" t="s">
        <v>1155</v>
      </c>
      <c r="W6" s="193"/>
      <c r="X6" s="192" t="s">
        <v>1156</v>
      </c>
      <c r="Y6" s="193"/>
    </row>
    <row r="7" spans="1:25" ht="15" customHeight="1" x14ac:dyDescent="0.25">
      <c r="A7" s="6"/>
      <c r="B7" s="5" t="b">
        <v>0</v>
      </c>
      <c r="C7" s="137" t="s">
        <v>316</v>
      </c>
      <c r="D7" s="138"/>
      <c r="E7" s="11">
        <v>4</v>
      </c>
      <c r="F7" s="139"/>
      <c r="G7" s="140"/>
      <c r="H7" s="4" t="str">
        <f>IFERROR(VLOOKUP(F7,Abilities,4,FALSE),"")</f>
        <v/>
      </c>
      <c r="I7" s="141"/>
      <c r="J7" s="140"/>
      <c r="K7" s="4" t="str">
        <f>IFERROR(VLOOKUP(I7,Abilities,4,FALSE),"")</f>
        <v/>
      </c>
      <c r="L7" s="142"/>
      <c r="M7" s="140"/>
      <c r="N7" s="10" t="str">
        <f>IFERROR(VLOOKUP(L7,Abilities,4,FALSE),"")</f>
        <v/>
      </c>
      <c r="O7" s="26" t="s">
        <v>21</v>
      </c>
      <c r="P7" s="27">
        <v>3</v>
      </c>
      <c r="Q7" s="28">
        <v>0</v>
      </c>
      <c r="R7" s="28"/>
      <c r="S7" s="27">
        <v>0</v>
      </c>
      <c r="T7" s="27"/>
      <c r="U7" s="29"/>
      <c r="V7" s="190" t="s">
        <v>1157</v>
      </c>
      <c r="W7" s="191"/>
      <c r="X7" s="190" t="s">
        <v>1158</v>
      </c>
      <c r="Y7" s="191"/>
    </row>
    <row r="8" spans="1:25" ht="15" customHeight="1" thickBot="1" x14ac:dyDescent="0.3">
      <c r="A8" s="6"/>
      <c r="B8" s="5" t="b">
        <v>1</v>
      </c>
      <c r="C8" s="137" t="s">
        <v>317</v>
      </c>
      <c r="D8" s="143"/>
      <c r="E8" s="12" t="s">
        <v>1149</v>
      </c>
      <c r="F8" s="144" t="str">
        <f>IFERROR(VLOOKUP(F7,Abilities,7,FALSE),"")</f>
        <v/>
      </c>
      <c r="G8" s="130"/>
      <c r="H8" s="131"/>
      <c r="I8" s="129" t="str">
        <f>IFERROR(VLOOKUP(I7,Abilities,7,FALSE),"")</f>
        <v/>
      </c>
      <c r="J8" s="130"/>
      <c r="K8" s="131"/>
      <c r="L8" s="130" t="str">
        <f>IFERROR(VLOOKUP(L7,Abilities,7,FALSE),"")</f>
        <v/>
      </c>
      <c r="M8" s="130"/>
      <c r="N8" s="135"/>
      <c r="O8" s="21" t="s">
        <v>457</v>
      </c>
      <c r="P8" s="4">
        <v>3</v>
      </c>
      <c r="Q8" s="20">
        <v>1</v>
      </c>
      <c r="R8" s="20"/>
      <c r="S8" s="4">
        <v>0</v>
      </c>
      <c r="T8" s="4"/>
      <c r="U8" s="10"/>
      <c r="V8" s="192" t="s">
        <v>909</v>
      </c>
      <c r="W8" s="193"/>
      <c r="X8" s="192" t="s">
        <v>1159</v>
      </c>
      <c r="Y8" s="193"/>
    </row>
    <row r="9" spans="1:25" ht="15.75" thickBot="1" x14ac:dyDescent="0.3">
      <c r="A9" s="6"/>
      <c r="B9" s="5" t="b">
        <v>0</v>
      </c>
      <c r="C9" s="137" t="s">
        <v>319</v>
      </c>
      <c r="D9" s="143"/>
      <c r="E9" s="12">
        <v>1</v>
      </c>
      <c r="F9" s="145"/>
      <c r="G9" s="133"/>
      <c r="H9" s="134"/>
      <c r="I9" s="146"/>
      <c r="J9" s="147"/>
      <c r="K9" s="148"/>
      <c r="L9" s="133"/>
      <c r="M9" s="133"/>
      <c r="N9" s="136"/>
      <c r="O9" s="26" t="s">
        <v>458</v>
      </c>
      <c r="P9" s="27">
        <v>3</v>
      </c>
      <c r="Q9" s="28">
        <v>0</v>
      </c>
      <c r="R9" s="28"/>
      <c r="S9" s="27">
        <v>0</v>
      </c>
      <c r="T9" s="27"/>
      <c r="U9" s="29"/>
      <c r="V9" s="190" t="s">
        <v>781</v>
      </c>
      <c r="W9" s="191"/>
      <c r="X9" s="200" t="s">
        <v>812</v>
      </c>
      <c r="Y9" s="201"/>
    </row>
    <row r="10" spans="1:25" ht="18.75" x14ac:dyDescent="0.3">
      <c r="A10" s="6"/>
      <c r="B10" s="5" t="b">
        <v>0</v>
      </c>
      <c r="C10" s="137" t="s">
        <v>318</v>
      </c>
      <c r="D10" s="143"/>
      <c r="E10" s="12">
        <v>4</v>
      </c>
      <c r="F10" s="157" t="s">
        <v>311</v>
      </c>
      <c r="G10" s="158"/>
      <c r="H10" s="159"/>
      <c r="I10" s="160" t="s">
        <v>349</v>
      </c>
      <c r="J10" s="158"/>
      <c r="K10" s="159"/>
      <c r="L10" s="158" t="s">
        <v>312</v>
      </c>
      <c r="M10" s="158"/>
      <c r="N10" s="161"/>
      <c r="O10" s="36" t="s">
        <v>459</v>
      </c>
      <c r="P10" s="37">
        <v>3</v>
      </c>
      <c r="Q10" s="37">
        <v>0</v>
      </c>
      <c r="R10" s="37"/>
      <c r="S10" s="37">
        <v>0</v>
      </c>
      <c r="T10" s="37"/>
      <c r="U10" s="38"/>
      <c r="V10" s="192" t="s">
        <v>782</v>
      </c>
      <c r="W10" s="193"/>
      <c r="X10" s="192" t="s">
        <v>1160</v>
      </c>
      <c r="Y10" s="193"/>
    </row>
    <row r="11" spans="1:25" ht="15.75" customHeight="1" thickBot="1" x14ac:dyDescent="0.3">
      <c r="A11" s="6"/>
      <c r="B11" s="5" t="b">
        <v>0</v>
      </c>
      <c r="C11" s="137" t="s">
        <v>320</v>
      </c>
      <c r="D11" s="143"/>
      <c r="E11" s="12">
        <v>4</v>
      </c>
      <c r="F11" s="162" t="s">
        <v>1103</v>
      </c>
      <c r="G11" s="163"/>
      <c r="H11" s="164"/>
      <c r="I11" s="165"/>
      <c r="J11" s="163"/>
      <c r="K11" s="164"/>
      <c r="L11" s="163" t="s">
        <v>961</v>
      </c>
      <c r="M11" s="163"/>
      <c r="N11" s="166"/>
      <c r="O11" s="39" t="s">
        <v>460</v>
      </c>
      <c r="P11" s="40">
        <v>3</v>
      </c>
      <c r="Q11" s="41">
        <v>1</v>
      </c>
      <c r="R11" s="41"/>
      <c r="S11" s="40">
        <v>0</v>
      </c>
      <c r="T11" s="40"/>
      <c r="U11" s="42"/>
      <c r="V11" s="190" t="s">
        <v>824</v>
      </c>
      <c r="W11" s="191"/>
      <c r="X11" s="190" t="s">
        <v>1161</v>
      </c>
      <c r="Y11" s="191"/>
    </row>
    <row r="12" spans="1:25" ht="18" customHeight="1" thickBot="1" x14ac:dyDescent="0.35">
      <c r="A12" s="6"/>
      <c r="B12" s="5" t="b">
        <v>0</v>
      </c>
      <c r="C12" s="137" t="s">
        <v>321</v>
      </c>
      <c r="D12" s="143"/>
      <c r="E12" s="12">
        <v>1</v>
      </c>
      <c r="F12" s="169" t="s">
        <v>443</v>
      </c>
      <c r="G12" s="170"/>
      <c r="H12" s="170"/>
      <c r="I12" s="170"/>
      <c r="J12" s="170"/>
      <c r="K12" s="170"/>
      <c r="L12" s="170"/>
      <c r="M12" s="170"/>
      <c r="N12" s="171"/>
      <c r="O12" s="149" t="s">
        <v>813</v>
      </c>
      <c r="P12" s="150"/>
      <c r="Q12" s="150"/>
      <c r="R12" s="150"/>
      <c r="S12" s="150"/>
      <c r="T12" s="150"/>
      <c r="U12" s="151"/>
      <c r="V12" s="192" t="s">
        <v>1162</v>
      </c>
      <c r="W12" s="193"/>
      <c r="X12" s="192" t="s">
        <v>808</v>
      </c>
      <c r="Y12" s="193"/>
    </row>
    <row r="13" spans="1:25" ht="16.5" thickTop="1" thickBot="1" x14ac:dyDescent="0.3">
      <c r="A13" s="6"/>
      <c r="B13" s="5" t="b">
        <v>0</v>
      </c>
      <c r="C13" s="155" t="s">
        <v>322</v>
      </c>
      <c r="D13" s="156"/>
      <c r="E13" s="13" t="s">
        <v>323</v>
      </c>
      <c r="F13" s="119" t="s">
        <v>1023</v>
      </c>
      <c r="G13" s="120"/>
      <c r="H13" s="4" t="str">
        <f>IFERROR(VLOOKUP(F13,Abilities,4,FALSE),"")</f>
        <v>LWD</v>
      </c>
      <c r="I13" s="121" t="s">
        <v>962</v>
      </c>
      <c r="J13" s="120"/>
      <c r="K13" s="35" t="str">
        <f>IFERROR(VLOOKUP(I13,Abilities,4,FALSE),"")</f>
        <v>BLANK</v>
      </c>
      <c r="L13" s="122" t="s">
        <v>953</v>
      </c>
      <c r="M13" s="120"/>
      <c r="N13" s="10" t="str">
        <f>IFERROR(VLOOKUP(L13,Abilities,4,FALSE),"")</f>
        <v>LWD</v>
      </c>
      <c r="O13" s="152"/>
      <c r="P13" s="153"/>
      <c r="Q13" s="153"/>
      <c r="R13" s="153"/>
      <c r="S13" s="153"/>
      <c r="T13" s="153"/>
      <c r="U13" s="154"/>
      <c r="V13" s="190" t="s">
        <v>818</v>
      </c>
      <c r="W13" s="191"/>
      <c r="X13" s="190" t="s">
        <v>809</v>
      </c>
      <c r="Y13" s="191"/>
    </row>
    <row r="14" spans="1:25" ht="15.75" thickBot="1" x14ac:dyDescent="0.3">
      <c r="A14" s="6"/>
      <c r="B14" s="7" t="b">
        <v>1</v>
      </c>
      <c r="F14" s="144" t="str">
        <f>IFERROR(VLOOKUP(F13,Abilities,7,FALSE),"")</f>
        <v>You gain +10 bonus to aim and crit chance with pistols</v>
      </c>
      <c r="G14" s="130"/>
      <c r="H14" s="131"/>
      <c r="I14" s="129" t="str">
        <f>IFERROR(VLOOKUP(I13,Abilities,7,FALSE),"")</f>
        <v xml:space="preserve"> </v>
      </c>
      <c r="J14" s="130"/>
      <c r="K14" s="131"/>
      <c r="L14" s="130" t="str">
        <f>IFERROR(VLOOKUP(L13,Abilities,7,FALSE),"")</f>
        <v>Reload your sawed-off shotgun. Each shell requires a separate action.</v>
      </c>
      <c r="M14" s="130"/>
      <c r="N14" s="135"/>
      <c r="O14" s="22"/>
      <c r="P14" s="23" t="s">
        <v>331</v>
      </c>
      <c r="Q14" s="24" t="s">
        <v>332</v>
      </c>
      <c r="R14" s="24" t="s">
        <v>333</v>
      </c>
      <c r="S14" s="24" t="s">
        <v>334</v>
      </c>
      <c r="T14" s="24" t="s">
        <v>336</v>
      </c>
      <c r="U14" s="25" t="s">
        <v>335</v>
      </c>
      <c r="V14" s="192" t="s">
        <v>1163</v>
      </c>
      <c r="W14" s="193"/>
      <c r="X14" s="194" t="s">
        <v>1164</v>
      </c>
      <c r="Y14" s="195"/>
    </row>
    <row r="15" spans="1:25" ht="15.75" thickBot="1" x14ac:dyDescent="0.3">
      <c r="A15" s="6"/>
      <c r="B15" s="7" t="b">
        <v>0</v>
      </c>
      <c r="F15" s="167"/>
      <c r="G15" s="147"/>
      <c r="H15" s="148"/>
      <c r="I15" s="146"/>
      <c r="J15" s="147"/>
      <c r="K15" s="148"/>
      <c r="L15" s="147"/>
      <c r="M15" s="147"/>
      <c r="N15" s="168"/>
      <c r="O15" s="19" t="s">
        <v>12</v>
      </c>
      <c r="P15" s="4"/>
      <c r="Q15" s="20">
        <v>3</v>
      </c>
      <c r="R15" s="20"/>
      <c r="S15" s="4"/>
      <c r="T15" s="4"/>
      <c r="U15" s="10"/>
      <c r="V15" s="190" t="s">
        <v>823</v>
      </c>
      <c r="W15" s="191"/>
    </row>
    <row r="16" spans="1:25" ht="18" thickBot="1" x14ac:dyDescent="0.35">
      <c r="A16" s="6"/>
      <c r="B16" s="7" t="b">
        <v>0</v>
      </c>
      <c r="F16" s="169" t="s">
        <v>15</v>
      </c>
      <c r="G16" s="170"/>
      <c r="H16" s="170"/>
      <c r="I16" s="170"/>
      <c r="J16" s="170"/>
      <c r="K16" s="170"/>
      <c r="L16" s="170"/>
      <c r="M16" s="170"/>
      <c r="N16" s="171"/>
      <c r="O16" s="26" t="s">
        <v>456</v>
      </c>
      <c r="P16" s="27"/>
      <c r="Q16" s="28">
        <v>3</v>
      </c>
      <c r="R16" s="28"/>
      <c r="S16" s="27"/>
      <c r="T16" s="27"/>
      <c r="U16" s="29"/>
      <c r="V16" s="192" t="s">
        <v>1165</v>
      </c>
      <c r="W16" s="193"/>
    </row>
    <row r="17" spans="1:23" ht="16.5" thickTop="1" thickBot="1" x14ac:dyDescent="0.3">
      <c r="A17" s="8"/>
      <c r="B17" s="9" t="b">
        <v>0</v>
      </c>
      <c r="F17" s="121" t="s">
        <v>962</v>
      </c>
      <c r="G17" s="120"/>
      <c r="H17" s="4" t="str">
        <f>IFERROR(VLOOKUP(F17,Abilities,4,FALSE),"")</f>
        <v>BLANK</v>
      </c>
      <c r="I17" s="121" t="s">
        <v>1096</v>
      </c>
      <c r="J17" s="120"/>
      <c r="K17" s="35" t="str">
        <f>IFERROR(VLOOKUP(I17,Abilities,4,FALSE),"")</f>
        <v>LWD</v>
      </c>
      <c r="L17" s="121" t="s">
        <v>962</v>
      </c>
      <c r="M17" s="120"/>
      <c r="N17" s="10" t="str">
        <f>IFERROR(VLOOKUP(L17,Abilities,4,FALSE),"")</f>
        <v>BLANK</v>
      </c>
      <c r="O17" s="19" t="s">
        <v>15</v>
      </c>
      <c r="P17" s="4"/>
      <c r="Q17" s="20"/>
      <c r="R17" s="20"/>
      <c r="S17" s="4"/>
      <c r="T17" s="4"/>
      <c r="U17" s="10"/>
      <c r="V17" s="190" t="s">
        <v>1166</v>
      </c>
      <c r="W17" s="191"/>
    </row>
    <row r="18" spans="1:23" x14ac:dyDescent="0.25">
      <c r="A18" s="172" t="s">
        <v>344</v>
      </c>
      <c r="B18" s="173"/>
      <c r="F18" s="144" t="str">
        <f>IFERROR(VLOOKUP(F17,Abilities,7,FALSE),"")</f>
        <v xml:space="preserve"> </v>
      </c>
      <c r="G18" s="130"/>
      <c r="H18" s="131"/>
      <c r="I18" s="129" t="str">
        <f>IFERROR(VLOOKUP(I17,Abilities,7,FALSE),"")</f>
        <v>Whenever you take damage, you gain 2 armor until the start of your next turn. This ability stacks with itself.</v>
      </c>
      <c r="J18" s="130"/>
      <c r="K18" s="131"/>
      <c r="L18" s="130" t="str">
        <f>IFERROR(VLOOKUP(L17,Abilities,7,FALSE),"")</f>
        <v xml:space="preserve"> </v>
      </c>
      <c r="M18" s="130"/>
      <c r="N18" s="135"/>
      <c r="O18" s="26" t="s">
        <v>21</v>
      </c>
      <c r="P18" s="27"/>
      <c r="Q18" s="28"/>
      <c r="R18" s="28"/>
      <c r="S18" s="27"/>
      <c r="T18" s="27"/>
      <c r="U18" s="29"/>
      <c r="V18" s="192" t="s">
        <v>788</v>
      </c>
      <c r="W18" s="193"/>
    </row>
    <row r="19" spans="1:23" ht="15.75" thickBot="1" x14ac:dyDescent="0.3">
      <c r="A19" s="174"/>
      <c r="B19" s="175"/>
      <c r="D19" s="3"/>
      <c r="F19" s="167"/>
      <c r="G19" s="147"/>
      <c r="H19" s="148"/>
      <c r="I19" s="146"/>
      <c r="J19" s="147"/>
      <c r="K19" s="148"/>
      <c r="L19" s="147"/>
      <c r="M19" s="147"/>
      <c r="N19" s="168"/>
      <c r="O19" s="21" t="s">
        <v>457</v>
      </c>
      <c r="P19" s="4"/>
      <c r="Q19" s="20"/>
      <c r="R19" s="20"/>
      <c r="S19" s="4"/>
      <c r="T19" s="4"/>
      <c r="U19" s="10"/>
      <c r="V19" s="190" t="s">
        <v>1167</v>
      </c>
      <c r="W19" s="191"/>
    </row>
    <row r="20" spans="1:23" ht="18" thickBot="1" x14ac:dyDescent="0.35">
      <c r="A20" s="176" t="s">
        <v>1104</v>
      </c>
      <c r="B20" s="177"/>
      <c r="C20" s="178"/>
      <c r="D20" s="178"/>
      <c r="E20" s="179"/>
      <c r="F20" s="169" t="s">
        <v>21</v>
      </c>
      <c r="G20" s="170"/>
      <c r="H20" s="170"/>
      <c r="I20" s="170"/>
      <c r="J20" s="170"/>
      <c r="K20" s="170"/>
      <c r="L20" s="170"/>
      <c r="M20" s="170"/>
      <c r="N20" s="171"/>
      <c r="O20" s="26" t="s">
        <v>458</v>
      </c>
      <c r="P20" s="27"/>
      <c r="Q20" s="28"/>
      <c r="R20" s="28"/>
      <c r="S20" s="27"/>
      <c r="T20" s="27"/>
      <c r="U20" s="29"/>
      <c r="V20" s="192" t="s">
        <v>790</v>
      </c>
      <c r="W20" s="193"/>
    </row>
    <row r="21" spans="1:23" ht="15.75" thickTop="1" x14ac:dyDescent="0.25">
      <c r="A21" s="176"/>
      <c r="B21" s="177"/>
      <c r="C21" s="177"/>
      <c r="D21" s="177"/>
      <c r="E21" s="180"/>
      <c r="F21" s="119" t="s">
        <v>1027</v>
      </c>
      <c r="G21" s="120"/>
      <c r="H21" s="4" t="str">
        <f>IFERROR(VLOOKUP(F21,Abilities,4,FALSE),"")</f>
        <v>LWD</v>
      </c>
      <c r="I21" s="121" t="s">
        <v>962</v>
      </c>
      <c r="J21" s="120"/>
      <c r="K21" s="35" t="str">
        <f>IFERROR(VLOOKUP(I21,Abilities,4,FALSE),"")</f>
        <v>BLANK</v>
      </c>
      <c r="L21" s="122" t="s">
        <v>1098</v>
      </c>
      <c r="M21" s="120"/>
      <c r="N21" s="10" t="str">
        <f>IFERROR(VLOOKUP(L21,Abilities,4,FALSE),"")</f>
        <v>LWD</v>
      </c>
      <c r="O21" s="36" t="s">
        <v>459</v>
      </c>
      <c r="P21" s="37"/>
      <c r="Q21" s="37"/>
      <c r="R21" s="37"/>
      <c r="S21" s="37"/>
      <c r="T21" s="37"/>
      <c r="U21" s="38"/>
      <c r="V21" s="190" t="s">
        <v>1168</v>
      </c>
      <c r="W21" s="191"/>
    </row>
    <row r="22" spans="1:23" ht="15.75" thickBot="1" x14ac:dyDescent="0.3">
      <c r="A22" s="181"/>
      <c r="B22" s="182"/>
      <c r="C22" s="182"/>
      <c r="D22" s="182"/>
      <c r="E22" s="183"/>
      <c r="F22" s="144" t="str">
        <f>IFERROR(VLOOKUP(F21,Abilities,7,FALSE),"")</f>
        <v>Your pistol shots never graze.</v>
      </c>
      <c r="G22" s="130"/>
      <c r="H22" s="131"/>
      <c r="I22" s="129" t="str">
        <f>IFERROR(VLOOKUP(I21,Abilities,7,FALSE),"")</f>
        <v xml:space="preserve"> </v>
      </c>
      <c r="J22" s="130"/>
      <c r="K22" s="131"/>
      <c r="L22" s="130" t="str">
        <f>IFERROR(VLOOKUP(L21,Abilities,7,FALSE),"")</f>
        <v>Your sawed-off shotgun has +100 Aim while concealed or flanking.</v>
      </c>
      <c r="M22" s="130"/>
      <c r="N22" s="135"/>
      <c r="O22" s="39" t="s">
        <v>460</v>
      </c>
      <c r="P22" s="40"/>
      <c r="Q22" s="41"/>
      <c r="R22" s="41"/>
      <c r="S22" s="40"/>
      <c r="T22" s="40"/>
      <c r="U22" s="42"/>
      <c r="V22" s="192" t="s">
        <v>1169</v>
      </c>
      <c r="W22" s="193"/>
    </row>
    <row r="23" spans="1:23" ht="15.75" thickBot="1" x14ac:dyDescent="0.3">
      <c r="A23" s="184" t="s">
        <v>352</v>
      </c>
      <c r="B23" s="185"/>
      <c r="C23" s="185"/>
      <c r="D23" s="185"/>
      <c r="E23" s="186"/>
      <c r="F23" s="167"/>
      <c r="G23" s="147"/>
      <c r="H23" s="148"/>
      <c r="I23" s="146"/>
      <c r="J23" s="147"/>
      <c r="K23" s="148"/>
      <c r="L23" s="147"/>
      <c r="M23" s="147"/>
      <c r="N23" s="168"/>
      <c r="O23" s="14"/>
      <c r="P23" s="14"/>
      <c r="Q23" s="3"/>
      <c r="V23" s="190" t="s">
        <v>793</v>
      </c>
      <c r="W23" s="191"/>
    </row>
    <row r="24" spans="1:23" ht="18" thickBot="1" x14ac:dyDescent="0.35">
      <c r="A24" s="187"/>
      <c r="B24" s="188"/>
      <c r="C24" s="188"/>
      <c r="D24" s="188"/>
      <c r="E24" s="189"/>
      <c r="F24" s="169" t="s">
        <v>444</v>
      </c>
      <c r="G24" s="170"/>
      <c r="H24" s="170"/>
      <c r="I24" s="170"/>
      <c r="J24" s="170"/>
      <c r="K24" s="170"/>
      <c r="L24" s="170"/>
      <c r="M24" s="170"/>
      <c r="N24" s="171"/>
      <c r="O24" s="14"/>
      <c r="P24" s="14"/>
      <c r="Q24" s="3"/>
      <c r="V24" s="192" t="s">
        <v>1170</v>
      </c>
      <c r="W24" s="193"/>
    </row>
    <row r="25" spans="1:23" ht="15.75" thickTop="1" x14ac:dyDescent="0.25">
      <c r="A25" s="50"/>
      <c r="B25" s="51"/>
      <c r="C25" s="51"/>
      <c r="D25" s="51"/>
      <c r="E25" s="52"/>
      <c r="F25" s="119" t="s">
        <v>1033</v>
      </c>
      <c r="G25" s="120"/>
      <c r="H25" s="4" t="str">
        <f>IFERROR(VLOOKUP(F25,Abilities,4,FALSE),"")</f>
        <v>LWD</v>
      </c>
      <c r="I25" s="121" t="s">
        <v>962</v>
      </c>
      <c r="J25" s="120"/>
      <c r="K25" s="35" t="str">
        <f>IFERROR(VLOOKUP(I25,Abilities,4,FALSE),"")</f>
        <v>BLANK</v>
      </c>
      <c r="L25" s="122" t="s">
        <v>1030</v>
      </c>
      <c r="M25" s="120"/>
      <c r="N25" s="10" t="str">
        <f>IFERROR(VLOOKUP(L25,Abilities,4,FALSE),"")</f>
        <v>LWD</v>
      </c>
      <c r="O25" s="14"/>
      <c r="P25" s="14"/>
      <c r="Q25" s="3"/>
      <c r="V25" s="190" t="s">
        <v>795</v>
      </c>
      <c r="W25" s="191"/>
    </row>
    <row r="26" spans="1:23" x14ac:dyDescent="0.25">
      <c r="A26" s="50"/>
      <c r="B26" s="51"/>
      <c r="C26" s="51"/>
      <c r="D26" s="51"/>
      <c r="E26" s="52"/>
      <c r="F26" s="144" t="str">
        <f>IFERROR(VLOOKUP(F25,Abilities,7,FALSE),"")</f>
        <v>Getting a critical hit with your pistol disables your target's weapon.</v>
      </c>
      <c r="G26" s="130"/>
      <c r="H26" s="131"/>
      <c r="I26" s="129" t="str">
        <f>IFERROR(VLOOKUP(I25,Abilities,7,FALSE),"")</f>
        <v xml:space="preserve"> </v>
      </c>
      <c r="J26" s="130"/>
      <c r="K26" s="131"/>
      <c r="L26" s="130" t="str">
        <f>IFERROR(VLOOKUP(L25,Abilities,7,FALSE),"")</f>
        <v>Hitting an enemy with your sawed-off disorients them.</v>
      </c>
      <c r="M26" s="130"/>
      <c r="N26" s="135"/>
      <c r="O26" s="14"/>
      <c r="P26" s="14"/>
      <c r="Q26" s="3"/>
      <c r="V26" s="192" t="s">
        <v>797</v>
      </c>
      <c r="W26" s="193"/>
    </row>
    <row r="27" spans="1:23" ht="15.75" thickBot="1" x14ac:dyDescent="0.3">
      <c r="A27" s="50"/>
      <c r="B27" s="51"/>
      <c r="C27" s="51"/>
      <c r="D27" s="51"/>
      <c r="E27" s="52"/>
      <c r="F27" s="167"/>
      <c r="G27" s="147"/>
      <c r="H27" s="148"/>
      <c r="I27" s="146"/>
      <c r="J27" s="147"/>
      <c r="K27" s="148"/>
      <c r="L27" s="147"/>
      <c r="M27" s="147"/>
      <c r="N27" s="168"/>
      <c r="O27" s="14"/>
      <c r="P27" s="14"/>
      <c r="Q27" s="3"/>
      <c r="V27" s="190" t="s">
        <v>798</v>
      </c>
      <c r="W27" s="191"/>
    </row>
    <row r="28" spans="1:23" ht="18" thickBot="1" x14ac:dyDescent="0.35">
      <c r="A28" s="50"/>
      <c r="B28" s="51"/>
      <c r="C28" s="51"/>
      <c r="D28" s="51"/>
      <c r="E28" s="52"/>
      <c r="F28" s="169" t="s">
        <v>445</v>
      </c>
      <c r="G28" s="170"/>
      <c r="H28" s="170"/>
      <c r="I28" s="170"/>
      <c r="J28" s="170"/>
      <c r="K28" s="170"/>
      <c r="L28" s="170"/>
      <c r="M28" s="170"/>
      <c r="N28" s="171"/>
      <c r="O28" s="14"/>
      <c r="P28" s="14"/>
      <c r="Q28" s="3"/>
      <c r="V28" s="192" t="s">
        <v>1171</v>
      </c>
      <c r="W28" s="193"/>
    </row>
    <row r="29" spans="1:23" ht="15.75" thickTop="1" x14ac:dyDescent="0.25">
      <c r="A29" s="50"/>
      <c r="B29" s="51"/>
      <c r="C29" s="51"/>
      <c r="D29" s="51"/>
      <c r="E29" s="52"/>
      <c r="F29" s="119" t="s">
        <v>1036</v>
      </c>
      <c r="G29" s="120"/>
      <c r="H29" s="4" t="str">
        <f>IFERROR(VLOOKUP(F29,Abilities,4,FALSE),"")</f>
        <v>LWD</v>
      </c>
      <c r="I29" s="121" t="s">
        <v>962</v>
      </c>
      <c r="J29" s="120"/>
      <c r="K29" s="35" t="str">
        <f>IFERROR(VLOOKUP(I29,Abilities,4,FALSE),"")</f>
        <v>BLANK</v>
      </c>
      <c r="L29" s="122" t="s">
        <v>1093</v>
      </c>
      <c r="M29" s="120"/>
      <c r="N29" s="10" t="str">
        <f>IFERROR(VLOOKUP(L29,Abilities,4,FALSE),"")</f>
        <v>LWD</v>
      </c>
      <c r="O29" s="14"/>
      <c r="P29" s="14"/>
      <c r="Q29" s="3"/>
      <c r="V29" s="190" t="s">
        <v>825</v>
      </c>
      <c r="W29" s="191"/>
    </row>
    <row r="30" spans="1:23" x14ac:dyDescent="0.25">
      <c r="A30" s="50"/>
      <c r="B30" s="51"/>
      <c r="C30" s="51"/>
      <c r="D30" s="51"/>
      <c r="E30" s="52"/>
      <c r="F30" s="144" t="str">
        <f>IFERROR(VLOOKUP(F29,Abilities,7,FALSE),"")</f>
        <v>Gain +10 crit chance with your pistol each time you hit with it. Resets on a crit.</v>
      </c>
      <c r="G30" s="130"/>
      <c r="H30" s="131"/>
      <c r="I30" s="129" t="str">
        <f>IFERROR(VLOOKUP(I29,Abilities,7,FALSE),"")</f>
        <v xml:space="preserve"> </v>
      </c>
      <c r="J30" s="130"/>
      <c r="K30" s="131"/>
      <c r="L30" s="130" t="str">
        <f>IFERROR(VLOOKUP(L29,Abilities,7,FALSE),"")</f>
        <v>Massively increased crit chance with your sawed-off shotgun against flanked enemies.</v>
      </c>
      <c r="M30" s="130"/>
      <c r="N30" s="135"/>
      <c r="O30" s="14"/>
      <c r="P30" s="14"/>
      <c r="Q30" s="3"/>
      <c r="V30" s="192" t="s">
        <v>1172</v>
      </c>
      <c r="W30" s="193"/>
    </row>
    <row r="31" spans="1:23" ht="15.75" thickBot="1" x14ac:dyDescent="0.3">
      <c r="A31" s="50"/>
      <c r="B31" s="51"/>
      <c r="C31" s="51"/>
      <c r="D31" s="51"/>
      <c r="E31" s="52"/>
      <c r="F31" s="167"/>
      <c r="G31" s="147"/>
      <c r="H31" s="148"/>
      <c r="I31" s="146"/>
      <c r="J31" s="147"/>
      <c r="K31" s="148"/>
      <c r="L31" s="147"/>
      <c r="M31" s="147"/>
      <c r="N31" s="168"/>
      <c r="O31" s="14"/>
      <c r="P31" s="14"/>
      <c r="Q31" s="3"/>
      <c r="V31" s="190" t="s">
        <v>1173</v>
      </c>
      <c r="W31" s="191"/>
    </row>
    <row r="32" spans="1:23" ht="18" thickBot="1" x14ac:dyDescent="0.35">
      <c r="A32" s="50"/>
      <c r="B32" s="51"/>
      <c r="C32" s="51"/>
      <c r="D32" s="51"/>
      <c r="E32" s="52"/>
      <c r="F32" s="169" t="s">
        <v>446</v>
      </c>
      <c r="G32" s="170"/>
      <c r="H32" s="170"/>
      <c r="I32" s="170"/>
      <c r="J32" s="170"/>
      <c r="K32" s="170"/>
      <c r="L32" s="170"/>
      <c r="M32" s="170"/>
      <c r="N32" s="171"/>
      <c r="O32" s="14"/>
      <c r="P32" s="14"/>
      <c r="Q32" s="3"/>
      <c r="V32" s="192" t="s">
        <v>815</v>
      </c>
      <c r="W32" s="193"/>
    </row>
    <row r="33" spans="1:23" ht="15.75" thickTop="1" x14ac:dyDescent="0.25">
      <c r="A33" s="50"/>
      <c r="B33" s="51"/>
      <c r="C33" s="51"/>
      <c r="D33" s="51"/>
      <c r="E33" s="52"/>
      <c r="F33" s="121" t="s">
        <v>962</v>
      </c>
      <c r="G33" s="120"/>
      <c r="H33" s="4" t="str">
        <f>IFERROR(VLOOKUP(F33,Abilities,4,FALSE),"")</f>
        <v>BLANK</v>
      </c>
      <c r="I33" s="121" t="s">
        <v>1088</v>
      </c>
      <c r="J33" s="120"/>
      <c r="K33" s="35" t="str">
        <f>IFERROR(VLOOKUP(I33,Abilities,4,FALSE),"")</f>
        <v>LWD</v>
      </c>
      <c r="L33" s="121" t="s">
        <v>962</v>
      </c>
      <c r="M33" s="120"/>
      <c r="N33" s="10" t="str">
        <f>IFERROR(VLOOKUP(L33,Abilities,4,FALSE),"")</f>
        <v>BLANK</v>
      </c>
      <c r="O33" s="14"/>
      <c r="P33" s="14"/>
      <c r="Q33" s="3"/>
      <c r="V33" s="190" t="s">
        <v>1174</v>
      </c>
      <c r="W33" s="191"/>
    </row>
    <row r="34" spans="1:23" x14ac:dyDescent="0.25">
      <c r="A34" s="50"/>
      <c r="B34" s="51"/>
      <c r="C34" s="51"/>
      <c r="D34" s="51"/>
      <c r="E34" s="52"/>
      <c r="F34" s="144" t="str">
        <f>IFERROR(VLOOKUP(F33,Abilities,7,FALSE),"")</f>
        <v xml:space="preserve"> </v>
      </c>
      <c r="G34" s="130"/>
      <c r="H34" s="131"/>
      <c r="I34" s="129" t="str">
        <f>IFERROR(VLOOKUP(I33,Abilities,7,FALSE),"")</f>
        <v>You deal +1 damage with your pistol, +2 damage with your sniper rifle, and +3 damage with your sawed-off shotgun.</v>
      </c>
      <c r="J34" s="130"/>
      <c r="K34" s="131"/>
      <c r="L34" s="130" t="str">
        <f>IFERROR(VLOOKUP(L33,Abilities,7,FALSE),"")</f>
        <v xml:space="preserve"> </v>
      </c>
      <c r="M34" s="130"/>
      <c r="N34" s="135"/>
      <c r="O34" s="14"/>
      <c r="P34" s="14"/>
      <c r="Q34" s="3"/>
      <c r="V34" s="192" t="s">
        <v>1175</v>
      </c>
      <c r="W34" s="193"/>
    </row>
    <row r="35" spans="1:23" ht="15.75" thickBot="1" x14ac:dyDescent="0.3">
      <c r="A35" s="50"/>
      <c r="B35" s="51"/>
      <c r="C35" s="51"/>
      <c r="D35" s="51"/>
      <c r="E35" s="52"/>
      <c r="F35" s="167"/>
      <c r="G35" s="147"/>
      <c r="H35" s="148"/>
      <c r="I35" s="146"/>
      <c r="J35" s="147"/>
      <c r="K35" s="148"/>
      <c r="L35" s="147"/>
      <c r="M35" s="147"/>
      <c r="N35" s="168"/>
      <c r="O35" s="14"/>
      <c r="P35" s="14"/>
      <c r="Q35" s="3"/>
      <c r="V35" s="190" t="s">
        <v>1098</v>
      </c>
      <c r="W35" s="191"/>
    </row>
    <row r="36" spans="1:23" ht="18" thickBot="1" x14ac:dyDescent="0.35">
      <c r="A36" s="50"/>
      <c r="B36" s="51"/>
      <c r="C36" s="51"/>
      <c r="D36" s="51"/>
      <c r="E36" s="52"/>
      <c r="F36" s="169" t="s">
        <v>447</v>
      </c>
      <c r="G36" s="170"/>
      <c r="H36" s="170"/>
      <c r="I36" s="170"/>
      <c r="J36" s="170"/>
      <c r="K36" s="170"/>
      <c r="L36" s="170"/>
      <c r="M36" s="170"/>
      <c r="N36" s="171"/>
    </row>
    <row r="37" spans="1:23" ht="15.75" thickTop="1" x14ac:dyDescent="0.25">
      <c r="A37" s="50"/>
      <c r="B37" s="51"/>
      <c r="C37" s="51"/>
      <c r="D37" s="51"/>
      <c r="E37" s="52"/>
      <c r="F37" s="119" t="s">
        <v>1090</v>
      </c>
      <c r="G37" s="120"/>
      <c r="H37" s="4" t="str">
        <f>IFERROR(VLOOKUP(F37,Abilities,4,FALSE),"")</f>
        <v>LWD</v>
      </c>
      <c r="I37" s="121" t="s">
        <v>962</v>
      </c>
      <c r="J37" s="120"/>
      <c r="K37" s="35" t="str">
        <f>IFERROR(VLOOKUP(I37,Abilities,4,FALSE),"")</f>
        <v>BLANK</v>
      </c>
      <c r="L37" s="122" t="s">
        <v>1042</v>
      </c>
      <c r="M37" s="120"/>
      <c r="N37" s="10" t="str">
        <f>IFERROR(VLOOKUP(L37,Abilities,4,FALSE),"")</f>
        <v>LWD</v>
      </c>
    </row>
    <row r="38" spans="1:23" x14ac:dyDescent="0.25">
      <c r="A38" s="50"/>
      <c r="B38" s="51"/>
      <c r="C38" s="51"/>
      <c r="D38" s="51"/>
      <c r="E38" s="52"/>
      <c r="F38" s="144" t="str">
        <f>IFERROR(VLOOKUP(F37,Abilities,7,FALSE),"")</f>
        <v>Once per battle, take six shots with your pistol. Takes two actions.</v>
      </c>
      <c r="G38" s="130"/>
      <c r="H38" s="131"/>
      <c r="I38" s="129" t="str">
        <f>IFERROR(VLOOKUP(I37,Abilities,7,FALSE),"")</f>
        <v xml:space="preserve"> </v>
      </c>
      <c r="J38" s="130"/>
      <c r="K38" s="131"/>
      <c r="L38" s="130" t="str">
        <f>IFERROR(VLOOKUP(L37,Abilities,7,FALSE),"")</f>
        <v>Firing your shotgun doesn't end your turn. The first time you reload or use Spare Shells each round doesn't cost an action.</v>
      </c>
      <c r="M38" s="130"/>
      <c r="N38" s="135"/>
    </row>
    <row r="39" spans="1:23" ht="15.75" thickBot="1" x14ac:dyDescent="0.3">
      <c r="A39" s="53"/>
      <c r="B39" s="54"/>
      <c r="C39" s="54"/>
      <c r="D39" s="54"/>
      <c r="E39" s="55"/>
      <c r="F39" s="167"/>
      <c r="G39" s="147"/>
      <c r="H39" s="148"/>
      <c r="I39" s="146"/>
      <c r="J39" s="147"/>
      <c r="K39" s="148"/>
      <c r="L39" s="147"/>
      <c r="M39" s="147"/>
      <c r="N39" s="168"/>
    </row>
    <row r="40" spans="1:23" ht="15" customHeight="1" x14ac:dyDescent="0.25">
      <c r="A40" s="86" t="s">
        <v>1200</v>
      </c>
      <c r="B40" s="86"/>
      <c r="C40" s="88" t="str">
        <f>SUBSTITUTE(C1," ","")</f>
        <v>Cowboy</v>
      </c>
      <c r="D40" s="88"/>
      <c r="E40" s="88"/>
      <c r="F40" s="238"/>
      <c r="G40" s="238"/>
      <c r="H40" s="237"/>
      <c r="I40" s="237"/>
      <c r="J40" s="237"/>
    </row>
    <row r="41" spans="1:23" ht="15" customHeight="1" thickBot="1" x14ac:dyDescent="0.3">
      <c r="A41" s="87"/>
      <c r="B41" s="87"/>
      <c r="C41" s="89"/>
      <c r="D41" s="89"/>
      <c r="E41" s="89"/>
      <c r="F41" s="239"/>
      <c r="G41" s="239"/>
      <c r="H41" s="237"/>
      <c r="I41" s="237"/>
      <c r="J41" s="237"/>
    </row>
    <row r="42" spans="1:23" ht="16.5" thickBot="1" x14ac:dyDescent="0.3">
      <c r="A42" s="242" t="s">
        <v>339</v>
      </c>
      <c r="B42" s="244"/>
      <c r="C42" s="253" t="s">
        <v>342</v>
      </c>
      <c r="D42" s="247"/>
      <c r="E42" s="251" t="s">
        <v>343</v>
      </c>
      <c r="F42" s="250"/>
      <c r="G42" s="234"/>
      <c r="H42" s="235"/>
      <c r="I42" s="235"/>
      <c r="J42" s="235"/>
    </row>
    <row r="43" spans="1:23" x14ac:dyDescent="0.25">
      <c r="A43" s="243" t="str">
        <f ca="1">"; "&amp;INDIRECT("C1")&amp;" class data"</f>
        <v>; Cowboy class data</v>
      </c>
      <c r="B43" s="234" t="s">
        <v>340</v>
      </c>
      <c r="C43" s="254" t="str">
        <f ca="1">"; "&amp;INDIRECT("C1")&amp;" class loadout"</f>
        <v>; Cowboy class loadout</v>
      </c>
      <c r="D43" s="234" t="s">
        <v>340</v>
      </c>
      <c r="E43" s="252" t="str">
        <f ca="1">"["&amp;INDIRECT("C3")&amp;" X2SoldierClassTemplate]"</f>
        <v>[LWD_Cowboy X2SoldierClassTemplate]</v>
      </c>
      <c r="F43" s="234" t="s">
        <v>340</v>
      </c>
      <c r="G43" s="234"/>
      <c r="H43" s="235"/>
      <c r="I43" s="235"/>
      <c r="J43" s="235"/>
    </row>
    <row r="44" spans="1:23" x14ac:dyDescent="0.25">
      <c r="A44" s="240"/>
      <c r="B44" s="234"/>
      <c r="C44" s="245"/>
      <c r="D44" s="234" t="s">
        <v>340</v>
      </c>
      <c r="E44" s="248" t="str">
        <f ca="1">"+DisplayName="""&amp;INDIRECT("C1")&amp;""""</f>
        <v>+DisplayName="Cowboy"</v>
      </c>
      <c r="F44" s="234" t="s">
        <v>340</v>
      </c>
      <c r="G44" s="234"/>
      <c r="H44" s="235"/>
      <c r="I44" s="235"/>
      <c r="J44" s="235"/>
    </row>
    <row r="45" spans="1:23" x14ac:dyDescent="0.25">
      <c r="A45" s="240" t="str">
        <f>"[XComGame.X2SoldierClass_DefaultClasses]"</f>
        <v>[XComGame.X2SoldierClass_DefaultClasses]</v>
      </c>
      <c r="B45" s="234" t="s">
        <v>340</v>
      </c>
      <c r="C45" s="245" t="s">
        <v>341</v>
      </c>
      <c r="D45" s="234" t="s">
        <v>340</v>
      </c>
      <c r="E45" s="248" t="str">
        <f ca="1">"+ClassSummary="""&amp;INDIRECT("A20")&amp;""""</f>
        <v>+ClassSummary="Versatile soldiers that are always ready for anything, Cowboys carry sniper rifles, pistols, and sawed-off shotguns, and are just as deadly with each of them."</v>
      </c>
      <c r="F45" s="234" t="s">
        <v>340</v>
      </c>
      <c r="G45" s="234"/>
      <c r="H45" s="235"/>
      <c r="I45" s="235"/>
      <c r="J45" s="235"/>
    </row>
    <row r="46" spans="1:23" x14ac:dyDescent="0.25">
      <c r="A46" s="240" t="str">
        <f ca="1">"+SoldierClasses="&amp;INDIRECT("C3")</f>
        <v>+SoldierClasses=LWD_Cowboy</v>
      </c>
      <c r="B46" s="234" t="s">
        <v>340</v>
      </c>
      <c r="C46" s="245"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+Loadouts=(LoadoutName="SquaddieLWD_Cowboy", Items[0]=(Item="SniperRifle_CV"), Items[1]=(Item="SawedOffShotgun_CV"))</v>
      </c>
      <c r="D46" s="234" t="s">
        <v>340</v>
      </c>
      <c r="E46" s="248" t="str">
        <f ca="1">"+LeftAbilityTreeTitle="""&amp;INDIRECT("F11")&amp;""""</f>
        <v>+LeftAbilityTreeTitle="Pistoleer"</v>
      </c>
      <c r="F46" s="234" t="s">
        <v>340</v>
      </c>
      <c r="G46" s="234"/>
      <c r="H46" s="235"/>
      <c r="I46" s="234"/>
      <c r="J46" s="234"/>
    </row>
    <row r="47" spans="1:23" x14ac:dyDescent="0.25">
      <c r="A47" s="240"/>
      <c r="B47" s="234" t="s">
        <v>340</v>
      </c>
      <c r="C47" s="245"/>
      <c r="D47" s="234" t="s">
        <v>340</v>
      </c>
      <c r="E47" s="248" t="str">
        <f ca="1">"+RightAbilityTreeTitle="""&amp;INDIRECT("L11")&amp;""""</f>
        <v>+RightAbilityTreeTitle="Shotgunner"</v>
      </c>
      <c r="F47" s="234" t="s">
        <v>340</v>
      </c>
      <c r="G47" s="234"/>
      <c r="H47" s="235"/>
      <c r="I47" s="234"/>
      <c r="J47" s="234"/>
    </row>
    <row r="48" spans="1:23" x14ac:dyDescent="0.25">
      <c r="A48" s="240" t="str">
        <f ca="1">"["&amp;INDIRECT("C3")&amp;" X2SoldierClassTemplate]"</f>
        <v>[LWD_Cowboy X2SoldierClassTemplate]</v>
      </c>
      <c r="B48" s="234" t="s">
        <v>340</v>
      </c>
      <c r="C48" s="245" t="s">
        <v>351</v>
      </c>
      <c r="D48" s="234" t="s">
        <v>340</v>
      </c>
      <c r="E48" s="248" t="str">
        <f>"; Nicknames"</f>
        <v>; Nicknames</v>
      </c>
      <c r="F48" s="234" t="s">
        <v>340</v>
      </c>
      <c r="G48" s="234"/>
      <c r="H48" s="234"/>
      <c r="I48" s="234"/>
      <c r="J48" s="234"/>
    </row>
    <row r="49" spans="1:10" ht="15.75" thickBot="1" x14ac:dyDescent="0.3">
      <c r="A49" s="240" t="str">
        <f ca="1">"+bMultiplayerOnly="&amp;INDIRECT("E6")</f>
        <v>+bMultiplayerOnly=0</v>
      </c>
      <c r="B49" s="234" t="s">
        <v>340</v>
      </c>
      <c r="C49" s="246" t="str">
        <f ca="1">"+DEBUG_StartingSoldierClasses="""&amp;INDIRECT("C3")&amp;""""</f>
        <v>+DEBUG_StartingSoldierClasses="LWD_Cowboy"</v>
      </c>
      <c r="D49" s="234" t="s">
        <v>340</v>
      </c>
      <c r="E49" s="248" t="str">
        <f ca="1">IF(INDIRECT("V4")&lt;&gt;"","RandomNickNames[0]="""&amp;INDIRECT("V4")&amp;"""","")</f>
        <v>RandomNickNames[0]="Skinny"</v>
      </c>
      <c r="F49" s="234" t="s">
        <v>340</v>
      </c>
      <c r="G49" s="234"/>
      <c r="H49" s="234"/>
      <c r="I49" s="234"/>
      <c r="J49" s="234"/>
    </row>
    <row r="50" spans="1:10" x14ac:dyDescent="0.25">
      <c r="A50" s="240" t="str">
        <f ca="1">"+ClassPoints="&amp;INDIRECT("E7")</f>
        <v>+ClassPoints=4</v>
      </c>
      <c r="B50" s="234" t="s">
        <v>340</v>
      </c>
      <c r="C50" s="234"/>
      <c r="D50" s="234"/>
      <c r="E50" s="248" t="str">
        <f ca="1">IF(INDIRECT("V5")&lt;&gt;"","RandomNickNames[1]="""&amp;INDIRECT("V5")&amp;"""","")</f>
        <v>RandomNickNames[1]="Bargain"</v>
      </c>
      <c r="F50" s="234" t="s">
        <v>340</v>
      </c>
      <c r="G50" s="234"/>
      <c r="H50" s="234"/>
      <c r="I50" s="234"/>
      <c r="J50" s="234"/>
    </row>
    <row r="51" spans="1:10" x14ac:dyDescent="0.25">
      <c r="A51" s="240" t="str">
        <f ca="1">"+IconImage="&amp;""""&amp;INDIRECT("E8")&amp;""""</f>
        <v>+IconImage="img:///UILibrary_LWD.class_Cowboy"</v>
      </c>
      <c r="B51" s="234" t="s">
        <v>340</v>
      </c>
      <c r="C51" s="234"/>
      <c r="D51" s="234"/>
      <c r="E51" s="248" t="str">
        <f ca="1">IF(INDIRECT("V6")&lt;&gt;"","RandomNickNames[2]="""&amp;INDIRECT("V6")&amp;"""","")</f>
        <v>RandomNickNames[2]="Shanghai Kid"</v>
      </c>
      <c r="F51" s="234" t="s">
        <v>340</v>
      </c>
      <c r="G51" s="234"/>
      <c r="H51" s="234"/>
      <c r="I51" s="234"/>
      <c r="J51" s="234"/>
    </row>
    <row r="52" spans="1:10" x14ac:dyDescent="0.25">
      <c r="A52" s="240" t="str">
        <f ca="1">"+NumInForcedDeck="&amp;INDIRECT("E9")</f>
        <v>+NumInForcedDeck=1</v>
      </c>
      <c r="B52" s="234" t="s">
        <v>340</v>
      </c>
      <c r="C52" s="234"/>
      <c r="D52" s="234"/>
      <c r="E52" s="248" t="str">
        <f ca="1">IF(INDIRECT("V7")&lt;&gt;"","RandomNickNames[3]="""&amp;INDIRECT("V7")&amp;"""","")</f>
        <v>RandomNickNames[3]="The Kid"</v>
      </c>
      <c r="F52" s="234" t="s">
        <v>340</v>
      </c>
      <c r="G52" s="234"/>
      <c r="H52" s="234"/>
      <c r="I52" s="234"/>
      <c r="J52" s="234"/>
    </row>
    <row r="53" spans="1:10" x14ac:dyDescent="0.25">
      <c r="A53" s="240" t="str">
        <f ca="1">"+NumInDeck="&amp;INDIRECT("E10")</f>
        <v>+NumInDeck=4</v>
      </c>
      <c r="B53" s="234" t="s">
        <v>340</v>
      </c>
      <c r="C53" s="234"/>
      <c r="D53" s="234"/>
      <c r="E53" s="248" t="str">
        <f ca="1">IF(INDIRECT("V8")&lt;&gt;"","RandomNickNames[4]="""&amp;INDIRECT("V8")&amp;"""","")</f>
        <v>RandomNickNames[4]="Hometown"</v>
      </c>
      <c r="F53" s="234" t="s">
        <v>340</v>
      </c>
      <c r="G53" s="234"/>
      <c r="H53" s="234"/>
      <c r="I53" s="234"/>
      <c r="J53" s="234"/>
    </row>
    <row r="54" spans="1:10" x14ac:dyDescent="0.25">
      <c r="A54" s="240" t="str">
        <f ca="1">"+KillAssistsPerKill="&amp;INDIRECT("E11")</f>
        <v>+KillAssistsPerKill=4</v>
      </c>
      <c r="B54" s="234" t="s">
        <v>340</v>
      </c>
      <c r="C54" s="234"/>
      <c r="D54" s="234"/>
      <c r="E54" s="248" t="str">
        <f ca="1">IF(INDIRECT("V9")&lt;&gt;"","RandomNickNames[5]="""&amp;INDIRECT("V9")&amp;"""","")</f>
        <v>RandomNickNames[5]="Breaker"</v>
      </c>
      <c r="F54" s="234" t="s">
        <v>340</v>
      </c>
      <c r="G54" s="234"/>
      <c r="H54" s="234"/>
      <c r="I54" s="234"/>
      <c r="J54" s="234"/>
    </row>
    <row r="55" spans="1:10" x14ac:dyDescent="0.25">
      <c r="A55" s="240" t="str">
        <f ca="1">"+SquaddieLoadout=Squaddie"&amp;INDIRECT("C3")</f>
        <v>+SquaddieLoadout=SquaddieLWD_Cowboy</v>
      </c>
      <c r="B55" s="234" t="s">
        <v>340</v>
      </c>
      <c r="C55" s="234"/>
      <c r="D55" s="234"/>
      <c r="E55" s="248" t="str">
        <f ca="1">IF(INDIRECT("V10")&lt;&gt;"","RandomNickNames[6]="""&amp;INDIRECT("V10")&amp;"""","")</f>
        <v>RandomNickNames[6]="Broker"</v>
      </c>
      <c r="F55" s="234" t="s">
        <v>340</v>
      </c>
      <c r="G55" s="234"/>
      <c r="H55" s="234"/>
      <c r="I55" s="234"/>
      <c r="J55" s="234"/>
    </row>
    <row r="56" spans="1:10" x14ac:dyDescent="0.25">
      <c r="A56" s="240" t="str">
        <f ca="1">";+bAllowAWCAbilities="&amp;INDIRECT("E12")&amp;" ; Not a thing in LW2"</f>
        <v>;+bAllowAWCAbilities=1 ; Not a thing in LW2</v>
      </c>
      <c r="B56" s="234" t="s">
        <v>340</v>
      </c>
      <c r="C56" s="234"/>
      <c r="D56" s="234"/>
      <c r="E56" s="248" t="str">
        <f ca="1">IF(INDIRECT("V11")&lt;&gt;"","RandomNickNames[7]="""&amp;INDIRECT("V11")&amp;"""","")</f>
        <v>RandomNickNames[7]="Conquest"</v>
      </c>
      <c r="F56" s="234" t="s">
        <v>340</v>
      </c>
      <c r="G56" s="234"/>
      <c r="H56" s="234"/>
      <c r="I56" s="234"/>
      <c r="J56" s="234"/>
    </row>
    <row r="57" spans="1:10" x14ac:dyDescent="0.25">
      <c r="A57" s="240" t="str">
        <f ca="1">IF(INDIRECT("B5")=FALSE,";","")&amp;"+AllowedWeapons=(SlotType=eInvSlot_PrimaryWeapon, WeaponType=""rifle"")"</f>
        <v>;+AllowedWeapons=(SlotType=eInvSlot_PrimaryWeapon, WeaponType="rifle")</v>
      </c>
      <c r="B57" s="234" t="s">
        <v>340</v>
      </c>
      <c r="C57" s="234"/>
      <c r="D57" s="234"/>
      <c r="E57" s="248" t="str">
        <f ca="1">IF(INDIRECT("V12")&lt;&gt;"","RandomNickNames[8]="""&amp;INDIRECT("V12")&amp;"""","")</f>
        <v>RandomNickNames[8]="Snake Oil"</v>
      </c>
      <c r="F57" s="234" t="s">
        <v>340</v>
      </c>
      <c r="G57" s="234"/>
      <c r="H57" s="234"/>
      <c r="I57" s="234"/>
      <c r="J57" s="234"/>
    </row>
    <row r="58" spans="1:10" x14ac:dyDescent="0.25">
      <c r="A58" s="240" t="str">
        <f ca="1">IF(INDIRECT("B6")=FALSE,";","")&amp;"+AllowedWeapons=(SlotType=eInvSlot_PrimaryWeapon, WeaponType=""cannon"")"</f>
        <v>;+AllowedWeapons=(SlotType=eInvSlot_PrimaryWeapon, WeaponType="cannon")</v>
      </c>
      <c r="B58" s="234" t="s">
        <v>340</v>
      </c>
      <c r="C58" s="234"/>
      <c r="D58" s="234"/>
      <c r="E58" s="248" t="str">
        <f ca="1">IF(INDIRECT("V13")&lt;&gt;"","RandomNickNames[9]="""&amp;INDIRECT("V13")&amp;"""","")</f>
        <v>RandomNickNames[9]="Doomtrain"</v>
      </c>
      <c r="F58" s="234" t="s">
        <v>340</v>
      </c>
      <c r="G58" s="234"/>
      <c r="H58" s="234"/>
      <c r="I58" s="234"/>
      <c r="J58" s="234"/>
    </row>
    <row r="59" spans="1:10" x14ac:dyDescent="0.25">
      <c r="A59" s="240" t="str">
        <f ca="1">IF(INDIRECT("B7")=FALSE,";","")&amp;"+AllowedWeapons=(SlotType=eInvSlot_PrimaryWeapon, WeaponType=""shotgun"")"</f>
        <v>;+AllowedWeapons=(SlotType=eInvSlot_PrimaryWeapon, WeaponType="shotgun")</v>
      </c>
      <c r="B59" s="234" t="s">
        <v>340</v>
      </c>
      <c r="C59" s="234"/>
      <c r="D59" s="234"/>
      <c r="E59" s="248" t="str">
        <f ca="1">IF(INDIRECT("V14")&lt;&gt;"","RandomNickNames[10]="""&amp;INDIRECT("V14")&amp;"""","")</f>
        <v>RandomNickNames[10]="Doc Holliday"</v>
      </c>
      <c r="F59" s="234" t="s">
        <v>340</v>
      </c>
      <c r="G59" s="234"/>
      <c r="H59" s="234"/>
      <c r="I59" s="234"/>
      <c r="J59" s="234"/>
    </row>
    <row r="60" spans="1:10" x14ac:dyDescent="0.25">
      <c r="A60" s="240" t="str">
        <f ca="1">IF(INDIRECT("B8")=FALSE,";","")&amp;"+AllowedWeapons=(SlotType=eInvSlot_PrimaryWeapon, WeaponType=""sniper_rifle"")"</f>
        <v>+AllowedWeapons=(SlotType=eInvSlot_PrimaryWeapon, WeaponType="sniper_rifle")</v>
      </c>
      <c r="B60" s="234" t="s">
        <v>340</v>
      </c>
      <c r="C60" s="234"/>
      <c r="D60" s="234"/>
      <c r="E60" s="248" t="str">
        <f ca="1">IF(INDIRECT("V15")&lt;&gt;"","RandomNickNames[11]="""&amp;INDIRECT("V15")&amp;"""","")</f>
        <v>RandomNickNames[11]="Famine"</v>
      </c>
      <c r="F60" s="234" t="s">
        <v>340</v>
      </c>
      <c r="G60" s="234"/>
      <c r="H60" s="234"/>
      <c r="I60" s="234"/>
      <c r="J60" s="234"/>
    </row>
    <row r="61" spans="1:10" x14ac:dyDescent="0.25">
      <c r="A61" s="240" t="str">
        <f ca="1">IF(INDIRECT("B9")=FALSE,";","")&amp;"+AllowedWeapons=(SlotType=eInvSlot_SecondaryWeapon, WeaponType=""gauntlet"")"</f>
        <v>;+AllowedWeapons=(SlotType=eInvSlot_SecondaryWeapon, WeaponType="gauntlet")</v>
      </c>
      <c r="B61" s="234" t="s">
        <v>340</v>
      </c>
      <c r="C61" s="234"/>
      <c r="D61" s="234"/>
      <c r="E61" s="248" t="str">
        <f ca="1">IF(INDIRECT("V16")&lt;&gt;"","RandomNickNames[12]="""&amp;INDIRECT("V16")&amp;"""","")</f>
        <v>RandomNickNames[12]="Sundance"</v>
      </c>
      <c r="F61" s="234" t="s">
        <v>340</v>
      </c>
      <c r="G61" s="234"/>
      <c r="H61" s="234"/>
      <c r="I61" s="234"/>
      <c r="J61" s="234"/>
    </row>
    <row r="62" spans="1:10" x14ac:dyDescent="0.25">
      <c r="A62" s="240" t="str">
        <f ca="1">IF(INDIRECT("B10")=FALSE,";","")&amp;"+AllowedWeapons=(SlotType=eInvSlot_SecondaryWeapon, WeaponType=""combatknife"")"</f>
        <v>;+AllowedWeapons=(SlotType=eInvSlot_SecondaryWeapon, WeaponType="combatknife")</v>
      </c>
      <c r="B62" s="234" t="s">
        <v>340</v>
      </c>
      <c r="C62" s="234"/>
      <c r="D62" s="234"/>
      <c r="E62" s="248" t="str">
        <f ca="1">IF(INDIRECT("V17")&lt;&gt;"","RandomNickNames[13]="""&amp;INDIRECT("V17")&amp;"""","")</f>
        <v>RandomNickNames[13]="Revolver"</v>
      </c>
      <c r="F62" s="234" t="s">
        <v>340</v>
      </c>
      <c r="G62" s="234"/>
      <c r="H62" s="234"/>
      <c r="I62" s="234"/>
      <c r="J62" s="234"/>
    </row>
    <row r="63" spans="1:10" x14ac:dyDescent="0.25">
      <c r="A63" s="240" t="str">
        <f ca="1">IF(INDIRECT("B11")=FALSE,";","")&amp;"+AllowedWeapons=(SlotType=eInvSlot_SecondaryWeapon, WeaponType=""grenade_launcher"")"</f>
        <v>;+AllowedWeapons=(SlotType=eInvSlot_SecondaryWeapon, WeaponType="grenade_launcher")</v>
      </c>
      <c r="B63" s="234" t="s">
        <v>340</v>
      </c>
      <c r="C63" s="234"/>
      <c r="D63" s="234"/>
      <c r="E63" s="248" t="str">
        <f ca="1">IF(INDIRECT("V18")&lt;&gt;"","RandomNickNames[14]="""&amp;INDIRECT("V18")&amp;"""","")</f>
        <v>RandomNickNames[14]="Genius"</v>
      </c>
      <c r="F63" s="234" t="s">
        <v>340</v>
      </c>
      <c r="G63" s="234"/>
      <c r="H63" s="234"/>
      <c r="I63" s="234"/>
      <c r="J63" s="234"/>
    </row>
    <row r="64" spans="1:10" x14ac:dyDescent="0.25">
      <c r="A64" s="240" t="str">
        <f ca="1">IF(INDIRECT("B12")=FALSE,";","")&amp;"+AllowedWeapons=(SlotType=eInvSlot_SecondaryWeapon, WeaponType=""gremlin"")"</f>
        <v>;+AllowedWeapons=(SlotType=eInvSlot_SecondaryWeapon, WeaponType="gremlin")</v>
      </c>
      <c r="B64" s="234" t="s">
        <v>340</v>
      </c>
      <c r="C64" s="234"/>
      <c r="D64" s="234"/>
      <c r="E64" s="248" t="str">
        <f ca="1">IF(INDIRECT("V19")&lt;&gt;"","RandomNickNames[15]="""&amp;INDIRECT("V19")&amp;"""","")</f>
        <v>RandomNickNames[15]="Arkansas"</v>
      </c>
      <c r="F64" s="234" t="s">
        <v>340</v>
      </c>
      <c r="G64" s="234"/>
      <c r="H64" s="234"/>
      <c r="I64" s="234"/>
      <c r="J64" s="234"/>
    </row>
    <row r="65" spans="1:10" x14ac:dyDescent="0.25">
      <c r="A65" s="240" t="str">
        <f ca="1">IF(INDIRECT("B13")=FALSE,";","")&amp;"+AllowedWeapons=(SlotType=eInvSlot_SecondaryWeapon, WeaponType=""sword"")"</f>
        <v>;+AllowedWeapons=(SlotType=eInvSlot_SecondaryWeapon, WeaponType="sword")</v>
      </c>
      <c r="B65" s="234" t="s">
        <v>340</v>
      </c>
      <c r="C65" s="234"/>
      <c r="D65" s="234"/>
      <c r="E65" s="248" t="str">
        <f ca="1">IF(INDIRECT("V20")&lt;&gt;"","RandomNickNames[16]="""&amp;INDIRECT("V20")&amp;"""","")</f>
        <v>RandomNickNames[16]="Jester"</v>
      </c>
      <c r="F65" s="234" t="s">
        <v>340</v>
      </c>
      <c r="G65" s="234"/>
      <c r="H65" s="234"/>
      <c r="I65" s="234"/>
      <c r="J65" s="234"/>
    </row>
    <row r="66" spans="1:10" x14ac:dyDescent="0.25">
      <c r="A66" s="240" t="str">
        <f ca="1">IF(INDIRECT("B14")=FALSE,";","")&amp;"+AllowedWeapons=(SlotType=eInvSlot_SecondaryWeapon, WeaponType=""sawedoffshotgun"")"</f>
        <v>+AllowedWeapons=(SlotType=eInvSlot_SecondaryWeapon, WeaponType="sawedoffshotgun")</v>
      </c>
      <c r="B66" s="234" t="s">
        <v>340</v>
      </c>
      <c r="C66" s="234"/>
      <c r="D66" s="234"/>
      <c r="E66" s="248" t="str">
        <f ca="1">IF(INDIRECT("V21")&lt;&gt;"","RandomNickNames[17]="""&amp;INDIRECT("V21")&amp;"""","")</f>
        <v>RandomNickNames[17]="Bandit"</v>
      </c>
      <c r="F66" s="234" t="s">
        <v>340</v>
      </c>
      <c r="G66" s="234"/>
      <c r="H66" s="234"/>
      <c r="I66" s="234"/>
      <c r="J66" s="234"/>
    </row>
    <row r="67" spans="1:10" x14ac:dyDescent="0.25">
      <c r="A67" s="240" t="str">
        <f ca="1">IF(INDIRECT("B15")=FALSE,";","")&amp;"+AllowedWeapons=(SlotType=eInvSlot_SecondaryWeapon, WeaponType=""arcthrower"")"</f>
        <v>;+AllowedWeapons=(SlotType=eInvSlot_SecondaryWeapon, WeaponType="arcthrower")</v>
      </c>
      <c r="B67" s="234" t="s">
        <v>340</v>
      </c>
      <c r="C67" s="234"/>
      <c r="D67" s="234"/>
      <c r="E67" s="248" t="str">
        <f ca="1">IF(INDIRECT("V22")&lt;&gt;"","RandomNickNames[18]="""&amp;INDIRECT("V22")&amp;"""","")</f>
        <v>RandomNickNames[18]="Pistolero"</v>
      </c>
      <c r="F67" s="234" t="s">
        <v>340</v>
      </c>
      <c r="G67" s="234"/>
      <c r="H67" s="234"/>
      <c r="I67" s="234"/>
      <c r="J67" s="234"/>
    </row>
    <row r="68" spans="1:10" x14ac:dyDescent="0.25">
      <c r="A68" s="240" t="str">
        <f ca="1">IF(INDIRECT("B16")=FALSE,";","")&amp;"+AllowedWeapons=(SlotType=eInvSlot_SecondaryWeapon, WeaponType=""holotargeter"")"</f>
        <v>;+AllowedWeapons=(SlotType=eInvSlot_SecondaryWeapon, WeaponType="holotargeter")</v>
      </c>
      <c r="B68" s="234" t="s">
        <v>340</v>
      </c>
      <c r="C68" s="234"/>
      <c r="D68" s="234"/>
      <c r="E68" s="248" t="str">
        <f ca="1">IF(INDIRECT("V23")&lt;&gt;"","RandomNickNames[19]="""&amp;INDIRECT("V23")&amp;"""","")</f>
        <v>RandomNickNames[19]="Mayday"</v>
      </c>
      <c r="F68" s="234" t="s">
        <v>340</v>
      </c>
      <c r="G68" s="234"/>
      <c r="H68" s="234"/>
      <c r="I68" s="234"/>
      <c r="J68" s="234"/>
    </row>
    <row r="69" spans="1:10" x14ac:dyDescent="0.25">
      <c r="A69" s="240" t="str">
        <f ca="1">IF(INDIRECT("B17")=FALSE,";","")&amp;"+AllowedWeapons=(SlotType=eInvSlot_SecondaryWeapon, WeaponType=""psiamp"")"</f>
        <v>;+AllowedWeapons=(SlotType=eInvSlot_SecondaryWeapon, WeaponType="psiamp")</v>
      </c>
      <c r="B69" s="234" t="s">
        <v>340</v>
      </c>
      <c r="C69" s="234"/>
      <c r="D69" s="234"/>
      <c r="E69" s="248" t="str">
        <f ca="1">IF(INDIRECT("V24")&lt;&gt;"","RandomNickNames[20]="""&amp;INDIRECT("V24")&amp;"""","")</f>
        <v>RandomNickNames[20]="Buffalo"</v>
      </c>
      <c r="F69" s="234" t="s">
        <v>340</v>
      </c>
      <c r="G69" s="234"/>
      <c r="H69" s="234"/>
      <c r="I69" s="234"/>
      <c r="J69" s="234"/>
    </row>
    <row r="70" spans="1:10" x14ac:dyDescent="0.25">
      <c r="A70" s="240" t="str">
        <f ca="1">IF(INDIRECT("B9")=FALSE,";","")&amp;"+AllowedWeapons=(SlotType=eInvSlot_HeavyWeapon, WeaponType=""heavyammo"")"</f>
        <v>;+AllowedWeapons=(SlotType=eInvSlot_HeavyWeapon, WeaponType="heavyammo")</v>
      </c>
      <c r="B70" s="234" t="s">
        <v>340</v>
      </c>
      <c r="C70" s="234"/>
      <c r="D70" s="234"/>
      <c r="E70" s="248" t="str">
        <f ca="1">IF(INDIRECT("V25")&lt;&gt;"","RandomNickNames[21]="""&amp;INDIRECT("V25")&amp;"""","")</f>
        <v>RandomNickNames[21]="Newton"</v>
      </c>
      <c r="F70" s="234" t="s">
        <v>340</v>
      </c>
      <c r="G70" s="234"/>
      <c r="H70" s="234"/>
      <c r="I70" s="234"/>
      <c r="J70" s="234"/>
    </row>
    <row r="71" spans="1:10" x14ac:dyDescent="0.25">
      <c r="A71" s="240" t="str">
        <f ca="1">IF(INDIRECT("B9")=TRUE,";","")&amp;"+AllowedWeapons=(SlotType=eInvSlot_HeavyWeapon, WeaponType=""heavy"")"</f>
        <v>+AllowedWeapons=(SlotType=eInvSlot_HeavyWeapon, WeaponType="heavy")</v>
      </c>
      <c r="B71" s="234" t="s">
        <v>340</v>
      </c>
      <c r="C71" s="234"/>
      <c r="D71" s="234"/>
      <c r="E71" s="248" t="str">
        <f ca="1">IF(INDIRECT("V26")&lt;&gt;"","RandomNickNames[22]="""&amp;INDIRECT("V26")&amp;"""","")</f>
        <v>RandomNickNames[22]="Ragtime"</v>
      </c>
      <c r="F71" s="234" t="s">
        <v>340</v>
      </c>
      <c r="G71" s="234"/>
      <c r="H71" s="234"/>
      <c r="I71" s="234"/>
      <c r="J71" s="234"/>
    </row>
    <row r="72" spans="1:10" x14ac:dyDescent="0.25">
      <c r="A72" s="240" t="str">
        <f ca="1">"+AllowedArmors="&amp;INDIRECT("E13")</f>
        <v>+AllowedArmors=soldier</v>
      </c>
      <c r="B72" s="234" t="s">
        <v>340</v>
      </c>
      <c r="C72" s="234"/>
      <c r="D72" s="234"/>
      <c r="E72" s="248" t="str">
        <f ca="1">IF(INDIRECT("V27")&lt;&gt;"","RandomNickNames[23]="""&amp;INDIRECT("V27")&amp;"""","")</f>
        <v>RandomNickNames[23]="Rascal"</v>
      </c>
      <c r="F72" s="234" t="s">
        <v>340</v>
      </c>
      <c r="G72" s="234"/>
      <c r="H72" s="234"/>
      <c r="I72" s="234"/>
      <c r="J72" s="234"/>
    </row>
    <row r="73" spans="1:10" x14ac:dyDescent="0.25">
      <c r="A73" s="240" t="str">
        <f>"; squaddie"</f>
        <v>; squaddie</v>
      </c>
      <c r="B73" s="234" t="s">
        <v>340</v>
      </c>
      <c r="C73" s="234"/>
      <c r="D73" s="234"/>
      <c r="E73" s="248" t="str">
        <f ca="1">IF(INDIRECT("V28")&lt;&gt;"","RandomNickNames[24]="""&amp;INDIRECT("V28")&amp;"""","")</f>
        <v>RandomNickNames[24]="Rattlesnake"</v>
      </c>
      <c r="F73" s="234" t="s">
        <v>340</v>
      </c>
      <c r="G73" s="234"/>
      <c r="H73" s="234"/>
      <c r="I73" s="234"/>
      <c r="J73" s="234"/>
    </row>
    <row r="74" spans="1:10" x14ac:dyDescent="0.25">
      <c r="A74" s="240" t="str">
        <f ca="1">"+SoldierRanks=(  aAbilityTree=( (AbilityName="""&amp;VLOOKUP(INDIRECT("F4"),Abilities,2,FALSE)&amp;""""&amp;IF(VLOOKUP(INDIRECT("F4"),Abilities,3,FALSE)="","",", ApplyToWeaponSlot=eInvSlot_"&amp;VLOOKUP(INDIRECT("F4"),Abilities,3,FALSE))&amp;"), \\"</f>
        <v>+SoldierRanks=(  aAbilityTree=( (AbilityName="QuickStudy"), \\</v>
      </c>
      <c r="B74" s="234" t="s">
        <v>340</v>
      </c>
      <c r="C74" s="234"/>
      <c r="D74" s="234"/>
      <c r="E74" s="248" t="str">
        <f ca="1">IF(INDIRECT("V29")&lt;&gt;"","RandomNickNames[25]="""&amp;INDIRECT("V29")&amp;"""","")</f>
        <v>RandomNickNames[25]="Revelation"</v>
      </c>
      <c r="F74" s="234" t="s">
        <v>340</v>
      </c>
      <c r="G74" s="234"/>
      <c r="H74" s="234"/>
      <c r="I74" s="234"/>
      <c r="J74" s="234"/>
    </row>
    <row r="75" spans="1:10" x14ac:dyDescent="0.25">
      <c r="A75" s="240" t="str">
        <f ca="1">IF(INDIRECT("I4")="","\\","(AbilityName="""&amp;VLOOKUP(INDIRECT("I4"),Abilities,2,FALSE)&amp;""""&amp;IF(VLOOKUP(INDIRECT("I4"),Abilities,3,FALSE)="","",", ApplyToWeaponSlot=eInvSlot_"&amp;VLOOKUP(INDIRECT("I4"),Abilities,3,FALSE))&amp;"), \\")</f>
        <v>(AbilityName="LWD_CoachGun", ApplyToWeaponSlot=eInvSlot_SecondaryWeapon), \\</v>
      </c>
      <c r="B75" s="234" t="s">
        <v>340</v>
      </c>
      <c r="C75" s="234"/>
      <c r="D75" s="234"/>
      <c r="E75" s="248" t="str">
        <f ca="1">IF(INDIRECT("V30")&lt;&gt;"","RandomNickNames[26]="""&amp;INDIRECT("V30")&amp;"""","")</f>
        <v>RandomNickNames[26]="Huckleberry"</v>
      </c>
      <c r="F75" s="234" t="s">
        <v>340</v>
      </c>
      <c r="G75" s="234"/>
      <c r="H75" s="234"/>
      <c r="I75" s="234"/>
      <c r="J75" s="234"/>
    </row>
    <row r="76" spans="1:10" x14ac:dyDescent="0.25">
      <c r="A76" s="240" t="str">
        <f ca="1">IF(INDIRECT("L4")="","\\","(AbilityName="""&amp;VLOOKUP(INDIRECT("L4"),Abilities,2,FALSE)&amp;""""&amp;IF(VLOOKUP(INDIRECT("L4"),Abilities,3,FALSE)="","",", ApplyToWeaponSlot=eInvSlot_"&amp;VLOOKUP(INDIRECT("L4"),Abilities,3,FALSE))&amp;"), \\")</f>
        <v>(AbilityName="LWD_HighNoon", ApplyToWeaponSlot=eInvSlot_Utility, UtilityCat="pistol"), \\</v>
      </c>
      <c r="B76" s="234" t="s">
        <v>340</v>
      </c>
      <c r="C76" s="234"/>
      <c r="D76" s="234"/>
      <c r="E76" s="248" t="str">
        <f ca="1">IF(INDIRECT("V31")&lt;&gt;"","RandomNickNames[27]="""&amp;INDIRECT("V31")&amp;"""","")</f>
        <v>RandomNickNames[27]="Tequila"</v>
      </c>
      <c r="F76" s="234" t="s">
        <v>340</v>
      </c>
      <c r="G76" s="234"/>
      <c r="H76" s="234"/>
      <c r="I76" s="234"/>
      <c r="J76" s="234"/>
    </row>
    <row r="77" spans="1:10" x14ac:dyDescent="0.25">
      <c r="A77" s="240" t="str">
        <f ca="1">IF(INDIRECT("F7")="","\\","(AbilityName="""&amp;VLOOKUP(INDIRECT("F7"),Abilities,2,FALSE)&amp;""""&amp;IF(VLOOKUP(INDIRECT("F7"),Abilities,3,FALSE)="","",", ApplyToWeaponSlot=eInvSlot_"&amp;VLOOKUP(INDIRECT("F7"),Abilities,3,FALSE))&amp;"), \\")</f>
        <v>\\</v>
      </c>
      <c r="B77" s="234" t="s">
        <v>340</v>
      </c>
      <c r="C77" s="234"/>
      <c r="D77" s="234"/>
      <c r="E77" s="248" t="str">
        <f ca="1">IF(INDIRECT("V32")&lt;&gt;"","RandomNickNames[28]="""&amp;INDIRECT("V32")&amp;"""","")</f>
        <v>RandomNickNames[28]="Undertaker"</v>
      </c>
      <c r="F77" s="234" t="s">
        <v>340</v>
      </c>
      <c r="G77" s="234"/>
      <c r="H77" s="234"/>
      <c r="I77" s="234"/>
      <c r="J77" s="234"/>
    </row>
    <row r="78" spans="1:10" x14ac:dyDescent="0.25">
      <c r="A78" s="240" t="str">
        <f ca="1">IF(INDIRECT("I7")="","\\","(AbilityName="""&amp;VLOOKUP(INDIRECT("I7"),Abilities,2,FALSE)&amp;""""&amp;IF(VLOOKUP(INDIRECT("I7"),Abilities,3,FALSE)="","",", ApplyToWeaponSlot=eInvSlot_"&amp;VLOOKUP(INDIRECT("I7"),Abilities,3,FALSE))&amp;"), \\")</f>
        <v>\\</v>
      </c>
      <c r="B78" s="234" t="s">
        <v>340</v>
      </c>
      <c r="C78" s="234"/>
      <c r="D78" s="234"/>
      <c r="E78" s="248" t="str">
        <f ca="1">IF(INDIRECT("V33")&lt;&gt;"","RandomNickNames[29]="""&amp;INDIRECT("V33")&amp;"""","")</f>
        <v>RandomNickNames[29]="Ringo"</v>
      </c>
      <c r="F78" s="234" t="s">
        <v>340</v>
      </c>
      <c r="G78" s="234"/>
      <c r="H78" s="234"/>
      <c r="I78" s="234"/>
      <c r="J78" s="234"/>
    </row>
    <row r="79" spans="1:10" x14ac:dyDescent="0.25">
      <c r="A79" s="240" t="str">
        <f ca="1">IF(INDIRECT("L7")="","\\","(AbilityName="""&amp;VLOOKUP(INDIRECT("L7"),Abilities,2,FALSE)&amp;""""&amp;IF(VLOOKUP(INDIRECT("L7"),Abilities,3,FALSE)="","",", ApplyToWeaponSlot=eInvSlot_"&amp;VLOOKUP(INDIRECT("L7"),Abilities,3,FALSE))&amp;"), \\")</f>
        <v>\\</v>
      </c>
      <c r="B79" s="234" t="s">
        <v>340</v>
      </c>
      <c r="C79" s="234"/>
      <c r="D79" s="234"/>
      <c r="E79" s="248" t="str">
        <f ca="1">IF(INDIRECT("V34")&lt;&gt;"","RandomNickNames[30]="""&amp;INDIRECT("V34")&amp;"""","")</f>
        <v>RandomNickNames[30]="Eastwood"</v>
      </c>
      <c r="F79" s="234" t="s">
        <v>340</v>
      </c>
      <c r="G79" s="234"/>
      <c r="H79" s="234"/>
      <c r="I79" s="234"/>
      <c r="J79" s="234"/>
    </row>
    <row r="80" spans="1:10" x14ac:dyDescent="0.25">
      <c r="A80" s="240" t="s">
        <v>337</v>
      </c>
      <c r="B80" s="234" t="s">
        <v>340</v>
      </c>
      <c r="C80" s="234"/>
      <c r="D80" s="234"/>
      <c r="E80" s="248" t="str">
        <f ca="1">IF(INDIRECT("V35")&lt;&gt;"","RandomNickNames[31]="""&amp;INDIRECT("V35")&amp;"""","")</f>
        <v>RandomNickNames[31]="Unforgiven"</v>
      </c>
      <c r="F80" s="234" t="s">
        <v>340</v>
      </c>
      <c r="G80" s="234"/>
      <c r="H80" s="234"/>
      <c r="I80" s="234"/>
      <c r="J80" s="234"/>
    </row>
    <row r="81" spans="1:10" x14ac:dyDescent="0.25">
      <c r="A81" s="240"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aStatProgression=((StatType=eStat_Offense,StatAmount=3), (StatType=eStat_HP,StatAmount=0), (StatType=eStat_Hacking,StatAmount=0), (StatType=eStat_CombatSims,StatAmount=1), (StatType=eStat_Will,StatAmount=3)),\\</v>
      </c>
      <c r="B81" s="234" t="s">
        <v>340</v>
      </c>
      <c r="C81" s="234"/>
      <c r="D81" s="234"/>
      <c r="E81" s="248" t="str">
        <f>"; Male Nicknames"</f>
        <v>; Male Nicknames</v>
      </c>
      <c r="F81" s="234" t="s">
        <v>340</v>
      </c>
      <c r="G81" s="234"/>
      <c r="H81" s="234"/>
      <c r="I81" s="234"/>
      <c r="J81" s="234"/>
    </row>
    <row r="82" spans="1:10" x14ac:dyDescent="0.25">
      <c r="A82" s="240" t="s">
        <v>338</v>
      </c>
      <c r="B82" s="234" t="s">
        <v>340</v>
      </c>
      <c r="C82" s="234"/>
      <c r="D82" s="234"/>
      <c r="E82" s="248" t="str">
        <f ca="1">IF(INDIRECT("X4")&lt;&gt;"","RandomNickNames_Male[0]="""&amp;INDIRECT("X4")&amp;"""","")</f>
        <v>RandomNickNames_Male[0]="The Duke"</v>
      </c>
      <c r="F82" s="234" t="s">
        <v>340</v>
      </c>
      <c r="G82" s="234"/>
      <c r="H82" s="234"/>
      <c r="I82" s="234"/>
      <c r="J82" s="234"/>
    </row>
    <row r="83" spans="1:10" x14ac:dyDescent="0.25">
      <c r="A83" s="240" t="str">
        <f>"; lance corporal"</f>
        <v>; lance corporal</v>
      </c>
      <c r="B83" s="234" t="s">
        <v>340</v>
      </c>
      <c r="C83" s="234"/>
      <c r="D83" s="234"/>
      <c r="E83" s="248" t="str">
        <f ca="1">IF(INDIRECT("X5")&lt;&gt;"","RandomNickNames_Male[1]="""&amp;INDIRECT("X5")&amp;"""","")</f>
        <v>RandomNickNames_Male[1]="Black Bart"</v>
      </c>
      <c r="F83" s="234" t="s">
        <v>340</v>
      </c>
      <c r="G83" s="234"/>
      <c r="H83" s="234"/>
      <c r="I83" s="234"/>
      <c r="J83" s="234"/>
    </row>
    <row r="84" spans="1:10" x14ac:dyDescent="0.25">
      <c r="A84" s="240" t="str">
        <f ca="1">"+SoldierRanks=(  aAbilityTree=( (AbilityName="""&amp;VLOOKUP(INDIRECT("F13"),Abilities,2,FALSE)&amp;""""&amp;IF(VLOOKUP(INDIRECT("F13"),Abilities,3,FALSE)="","",", ApplyToWeaponSlot=eInvSlot_"&amp;VLOOKUP(INDIRECT("F13"),Abilities,3,FALSE))&amp;"), \\"</f>
        <v>+SoldierRanks=(  aAbilityTree=( (AbilityName="LWD_Shootist", ApplyToWeaponSlot=eInvSlot_Utility, UtilityCat="pistol"), \\</v>
      </c>
      <c r="B84" s="234" t="s">
        <v>340</v>
      </c>
      <c r="C84" s="234"/>
      <c r="D84" s="234"/>
      <c r="E84" s="248" t="str">
        <f ca="1">IF(INDIRECT("X6")&lt;&gt;"","RandomNickNames_Male[2]="""&amp;INDIRECT("X6")&amp;"""","")</f>
        <v>RandomNickNames_Male[2]="Padre"</v>
      </c>
      <c r="F84" s="234" t="s">
        <v>340</v>
      </c>
      <c r="G84" s="234"/>
      <c r="H84" s="234"/>
      <c r="I84" s="234"/>
      <c r="J84" s="234"/>
    </row>
    <row r="85" spans="1:10" x14ac:dyDescent="0.25">
      <c r="A85" s="240" t="str">
        <f ca="1">IF(INDIRECT("I13")="","\\","(AbilityName="""&amp;VLOOKUP(INDIRECT("I13"),Abilities,2,FALSE)&amp;""""&amp;IF(VLOOKUP(INDIRECT("I13"),Abilities,3,FALSE)="","",", ApplyToWeaponSlot=eInvSlot_"&amp;VLOOKUP(INDIRECT("I13"),Abilities,3,FALSE))&amp;"), \\")</f>
        <v>(AbilityName=" "), \\</v>
      </c>
      <c r="B85" s="234" t="s">
        <v>340</v>
      </c>
      <c r="C85" s="234"/>
      <c r="D85" s="234"/>
      <c r="E85" s="248" t="str">
        <f ca="1">IF(INDIRECT("X7")&lt;&gt;"","RandomNickNames_Male[3]="""&amp;INDIRECT("X7")&amp;"""","")</f>
        <v>RandomNickNames_Male[3]="Butch"</v>
      </c>
      <c r="F85" s="234" t="s">
        <v>340</v>
      </c>
      <c r="G85" s="234"/>
      <c r="H85" s="234"/>
      <c r="I85" s="234"/>
      <c r="J85" s="234"/>
    </row>
    <row r="86" spans="1:10" x14ac:dyDescent="0.25">
      <c r="A86" s="240" t="str">
        <f ca="1">IF(INDIRECT("L13")="","\\","(AbilityName="""&amp;VLOOKUP(INDIRECT("L13"),Abilities,2,FALSE)&amp;""""&amp;IF(VLOOKUP(INDIRECT("L13"),Abilities,3,FALSE)="","",", ApplyToWeaponSlot=eInvSlot_"&amp;VLOOKUP(INDIRECT("L13"),Abilities,3,FALSE))&amp;"), \\")</f>
        <v>(AbilityName="LWD_SpareShells", ApplyToWeaponSlot=eInvSlot_SecondaryWeapon), \\</v>
      </c>
      <c r="B86" s="234" t="s">
        <v>340</v>
      </c>
      <c r="C86" s="234"/>
      <c r="D86" s="234"/>
      <c r="E86" s="248" t="str">
        <f ca="1">IF(INDIRECT("X8")&lt;&gt;"","RandomNickNames_Male[4]="""&amp;INDIRECT("X8")&amp;"""","")</f>
        <v>RandomNickNames_Male[4]="Amigo"</v>
      </c>
      <c r="F86" s="234" t="s">
        <v>340</v>
      </c>
      <c r="G86" s="234"/>
      <c r="H86" s="234"/>
      <c r="I86" s="234"/>
      <c r="J86" s="234"/>
    </row>
    <row r="87" spans="1:10" x14ac:dyDescent="0.25">
      <c r="A87" s="240" t="s">
        <v>337</v>
      </c>
      <c r="B87" s="234" t="s">
        <v>340</v>
      </c>
      <c r="C87" s="234"/>
      <c r="D87" s="234"/>
      <c r="E87" s="248" t="str">
        <f>"; Female Nicknames"</f>
        <v>; Female Nicknames</v>
      </c>
      <c r="F87" s="234" t="s">
        <v>340</v>
      </c>
      <c r="G87" s="234"/>
      <c r="H87" s="234"/>
      <c r="I87" s="234"/>
      <c r="J87" s="234"/>
    </row>
    <row r="88" spans="1:10" x14ac:dyDescent="0.25">
      <c r="A88" s="240"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aStatProgression=((StatType=eStat_Offense,StatAmount=3), (StatType=eStat_HP,StatAmount=1), (StatType=eStat_Hacking,StatAmount=0), (StatType=eStat_Will,StatAmount=3)),\\</v>
      </c>
      <c r="B88" s="234" t="s">
        <v>340</v>
      </c>
      <c r="C88" s="234"/>
      <c r="D88" s="234"/>
      <c r="E88" s="248" t="str">
        <f ca="1">IF(INDIRECT("X10")&lt;&gt;"","RandomNickNames_Female[0]="""&amp;INDIRECT("X10")&amp;"""","")</f>
        <v>RandomNickNames_Female[0]="Belle"</v>
      </c>
      <c r="F88" s="234" t="s">
        <v>340</v>
      </c>
      <c r="G88" s="234"/>
      <c r="H88" s="234"/>
      <c r="I88" s="234"/>
      <c r="J88" s="234"/>
    </row>
    <row r="89" spans="1:10" x14ac:dyDescent="0.25">
      <c r="A89" s="240" t="s">
        <v>338</v>
      </c>
      <c r="B89" s="234" t="s">
        <v>340</v>
      </c>
      <c r="C89" s="234"/>
      <c r="D89" s="234"/>
      <c r="E89" s="248" t="str">
        <f ca="1">IF(INDIRECT("X11")&lt;&gt;"","RandomNickNames_Female[1]="""&amp;INDIRECT("X11")&amp;"""","")</f>
        <v>RandomNickNames_Female[1]="Amiga"</v>
      </c>
      <c r="F89" s="234" t="s">
        <v>340</v>
      </c>
      <c r="G89" s="234"/>
      <c r="H89" s="234"/>
      <c r="I89" s="234"/>
      <c r="J89" s="234"/>
    </row>
    <row r="90" spans="1:10" x14ac:dyDescent="0.25">
      <c r="A90" s="240" t="str">
        <f>"; corporal"</f>
        <v>; corporal</v>
      </c>
      <c r="B90" s="234" t="s">
        <v>340</v>
      </c>
      <c r="C90" s="234"/>
      <c r="D90" s="234"/>
      <c r="E90" s="248" t="str">
        <f ca="1">IF(INDIRECT("X12")&lt;&gt;"","RandomNickNames_Female[2]="""&amp;INDIRECT("X12")&amp;"""","")</f>
        <v>RandomNickNames_Female[2]="Black Widow"</v>
      </c>
      <c r="F90" s="234" t="s">
        <v>340</v>
      </c>
      <c r="G90" s="234"/>
      <c r="H90" s="234"/>
      <c r="I90" s="234"/>
      <c r="J90" s="234"/>
    </row>
    <row r="91" spans="1:10" x14ac:dyDescent="0.25">
      <c r="A91" s="240" t="str">
        <f ca="1">"+SoldierRanks=(  aAbilityTree=( (AbilityName="""&amp;VLOOKUP(INDIRECT("F17"),Abilities,2,FALSE)&amp;""""&amp;IF(VLOOKUP(INDIRECT("F17"),Abilities,3,FALSE)="","",", ApplyToWeaponSlot=eInvSlot_"&amp;VLOOKUP(INDIRECT("F17"),Abilities,3,FALSE))&amp;"), \\"</f>
        <v>+SoldierRanks=(  aAbilityTree=( (AbilityName=" "), \\</v>
      </c>
      <c r="B91" s="234" t="s">
        <v>340</v>
      </c>
      <c r="C91" s="234"/>
      <c r="D91" s="234"/>
      <c r="E91" s="248" t="str">
        <f ca="1">IF(INDIRECT("X13")&lt;&gt;"","RandomNickNames_Female[3]="""&amp;INDIRECT("X13")&amp;"""","")</f>
        <v>RandomNickNames_Female[3]="Duchess"</v>
      </c>
      <c r="F91" s="234" t="s">
        <v>340</v>
      </c>
      <c r="G91" s="234"/>
      <c r="H91" s="234"/>
      <c r="I91" s="234"/>
      <c r="J91" s="234"/>
    </row>
    <row r="92" spans="1:10" ht="15.75" thickBot="1" x14ac:dyDescent="0.3">
      <c r="A92" s="240" t="str">
        <f ca="1">IF(INDIRECT("I17")="","\\","(AbilityName="""&amp;VLOOKUP(INDIRECT("I17"),Abilities,2,FALSE)&amp;""""&amp;IF(VLOOKUP(INDIRECT("I17"),Abilities,3,FALSE)="","",", ApplyToWeaponSlot=eInvSlot_"&amp;VLOOKUP(INDIRECT("I17"),Abilities,3,FALSE))&amp;"), \\")</f>
        <v>(AbilityName="LWD_TrueGrit"), \\</v>
      </c>
      <c r="B92" s="234" t="s">
        <v>340</v>
      </c>
      <c r="C92" s="234"/>
      <c r="D92" s="234"/>
      <c r="E92" s="249" t="str">
        <f ca="1">IF(INDIRECT("X14")&lt;&gt;"","RandomNickNames_Female[4]="""&amp;INDIRECT("X14")&amp;"""","")</f>
        <v>RandomNickNames_Female[4]="Calamity"</v>
      </c>
      <c r="F92" s="234" t="s">
        <v>340</v>
      </c>
      <c r="G92" s="234"/>
      <c r="H92" s="234"/>
      <c r="I92" s="234"/>
      <c r="J92" s="234"/>
    </row>
    <row r="93" spans="1:10" x14ac:dyDescent="0.25">
      <c r="A93" s="240" t="str">
        <f ca="1">IF(INDIRECT("L17")="","\\","(AbilityName="""&amp;VLOOKUP(INDIRECT("L17"),Abilities,2,FALSE)&amp;""""&amp;IF(VLOOKUP(INDIRECT("L17"),Abilities,3,FALSE)="","",", ApplyToWeaponSlot=eInvSlot_"&amp;VLOOKUP(INDIRECT("L17"),Abilities,3,FALSE))&amp;"), \\")</f>
        <v>(AbilityName=" "), \\</v>
      </c>
      <c r="B93" s="234" t="s">
        <v>340</v>
      </c>
      <c r="C93" s="234"/>
      <c r="D93" s="234"/>
      <c r="E93" s="234"/>
      <c r="F93" s="234"/>
      <c r="G93" s="234"/>
      <c r="H93" s="234"/>
      <c r="I93" s="234"/>
      <c r="J93" s="234"/>
    </row>
    <row r="94" spans="1:10" x14ac:dyDescent="0.25">
      <c r="A94" s="240" t="s">
        <v>337</v>
      </c>
      <c r="B94" s="234" t="s">
        <v>340</v>
      </c>
      <c r="C94" s="234"/>
      <c r="D94" s="234"/>
      <c r="E94" s="234"/>
      <c r="F94" s="234"/>
      <c r="G94" s="234"/>
      <c r="H94" s="234"/>
      <c r="I94" s="234"/>
      <c r="J94" s="234"/>
    </row>
    <row r="95" spans="1:10" x14ac:dyDescent="0.25">
      <c r="A95" s="240"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aStatProgression=((StatType=eStat_Offense,StatAmount=3), (StatType=eStat_HP,StatAmount=0), (StatType=eStat_Hacking,StatAmount=0)),\\</v>
      </c>
      <c r="B95" s="234" t="s">
        <v>340</v>
      </c>
      <c r="C95" s="234"/>
      <c r="D95" s="234"/>
      <c r="E95" s="234"/>
      <c r="F95" s="234"/>
      <c r="G95" s="234"/>
      <c r="H95" s="234"/>
      <c r="I95" s="234"/>
      <c r="J95" s="234"/>
    </row>
    <row r="96" spans="1:10" x14ac:dyDescent="0.25">
      <c r="A96" s="240" t="s">
        <v>338</v>
      </c>
      <c r="B96" s="234" t="s">
        <v>340</v>
      </c>
      <c r="C96" s="234"/>
      <c r="D96" s="234"/>
      <c r="E96" s="234"/>
      <c r="F96" s="234"/>
      <c r="G96" s="234"/>
      <c r="H96" s="234"/>
      <c r="I96" s="234"/>
      <c r="J96" s="234"/>
    </row>
    <row r="97" spans="1:10" x14ac:dyDescent="0.25">
      <c r="A97" s="240" t="str">
        <f>"; sergeant"</f>
        <v>; sergeant</v>
      </c>
      <c r="B97" s="234" t="s">
        <v>340</v>
      </c>
      <c r="C97" s="234"/>
      <c r="D97" s="234"/>
      <c r="E97" s="234"/>
      <c r="F97" s="234"/>
      <c r="G97" s="234"/>
      <c r="H97" s="234"/>
      <c r="I97" s="234"/>
      <c r="J97" s="234"/>
    </row>
    <row r="98" spans="1:10" x14ac:dyDescent="0.25">
      <c r="A98" s="240" t="str">
        <f ca="1">"+SoldierRanks=(  aAbilityTree=( (AbilityName="""&amp;VLOOKUP(INDIRECT("F21"),Abilities,2,FALSE)&amp;""""&amp;IF(VLOOKUP(INDIRECT("F21"),Abilities,3,FALSE)="","",", ApplyToWeaponSlot=eInvSlot_"&amp;VLOOKUP(INDIRECT("F21"),Abilities,3,FALSE))&amp;"), \\"</f>
        <v>+SoldierRanks=(  aAbilityTree=( (AbilityName="LWD_LeadDealer", ApplyToWeaponSlot=eInvSlot_Utility, UtilityCat="pistol"), \\</v>
      </c>
      <c r="B98" s="234" t="s">
        <v>340</v>
      </c>
      <c r="C98" s="234"/>
      <c r="D98" s="234"/>
      <c r="E98" s="234"/>
      <c r="F98" s="234"/>
      <c r="G98" s="234"/>
      <c r="H98" s="234"/>
      <c r="I98" s="234"/>
      <c r="J98" s="234"/>
    </row>
    <row r="99" spans="1:10" x14ac:dyDescent="0.25">
      <c r="A99" s="240" t="str">
        <f ca="1">IF(INDIRECT("I21")="","\\","(AbilityName="""&amp;VLOOKUP(INDIRECT("I21"),Abilities,2,FALSE)&amp;""""&amp;IF(VLOOKUP(INDIRECT("I21"),Abilities,3,FALSE)="","",", ApplyToWeaponSlot=eInvSlot_"&amp;VLOOKUP(INDIRECT("I21"),Abilities,3,FALSE))&amp;"), \\")</f>
        <v>(AbilityName=" "), \\</v>
      </c>
      <c r="B99" s="234" t="s">
        <v>340</v>
      </c>
      <c r="C99" s="234"/>
      <c r="D99" s="234"/>
      <c r="E99" s="234"/>
      <c r="F99" s="234"/>
      <c r="G99" s="234"/>
      <c r="H99" s="234"/>
      <c r="I99" s="234"/>
      <c r="J99" s="234"/>
    </row>
    <row r="100" spans="1:10" x14ac:dyDescent="0.25">
      <c r="A100" s="240" t="str">
        <f ca="1">IF(INDIRECT("L21")="","\\","(AbilityName="""&amp;VLOOKUP(INDIRECT("L21"),Abilities,2,FALSE)&amp;""""&amp;IF(VLOOKUP(INDIRECT("L21"),Abilities,3,FALSE)="","",", ApplyToWeaponSlot=eInvSlot_"&amp;VLOOKUP(INDIRECT("L21"),Abilities,3,FALSE))&amp;"), \\")</f>
        <v>(AbilityName="LWD_Unforgiven", ApplyToWeaponSlot=eInvSlot_SecondaryWeapon), \\</v>
      </c>
      <c r="B100" s="234" t="s">
        <v>340</v>
      </c>
      <c r="C100" s="234"/>
      <c r="D100" s="234"/>
      <c r="E100" s="234"/>
      <c r="F100" s="234"/>
      <c r="G100" s="234"/>
      <c r="H100" s="234"/>
      <c r="I100" s="234"/>
      <c r="J100" s="234"/>
    </row>
    <row r="101" spans="1:10" x14ac:dyDescent="0.25">
      <c r="A101" s="240" t="s">
        <v>337</v>
      </c>
      <c r="B101" s="234" t="s">
        <v>340</v>
      </c>
      <c r="C101" s="234"/>
      <c r="D101" s="234"/>
      <c r="E101" s="234"/>
      <c r="F101" s="234"/>
      <c r="G101" s="234"/>
      <c r="H101" s="234"/>
      <c r="I101" s="234"/>
      <c r="J101" s="234"/>
    </row>
    <row r="102" spans="1:10" x14ac:dyDescent="0.25">
      <c r="A102" s="240"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aStatProgression=((StatType=eStat_Offense,StatAmount=3), (StatType=eStat_HP,StatAmount=0), (StatType=eStat_Hacking,StatAmount=0)),\\</v>
      </c>
      <c r="B102" s="234" t="s">
        <v>340</v>
      </c>
      <c r="C102" s="234"/>
      <c r="D102" s="234"/>
      <c r="E102" s="234"/>
      <c r="F102" s="234"/>
      <c r="G102" s="234"/>
      <c r="H102" s="234"/>
      <c r="I102" s="234"/>
      <c r="J102" s="234"/>
    </row>
    <row r="103" spans="1:10" x14ac:dyDescent="0.25">
      <c r="A103" s="240" t="s">
        <v>338</v>
      </c>
      <c r="B103" s="234" t="s">
        <v>340</v>
      </c>
      <c r="C103" s="234"/>
      <c r="D103" s="234"/>
      <c r="E103" s="234"/>
      <c r="F103" s="234"/>
      <c r="G103" s="234"/>
      <c r="H103" s="234"/>
      <c r="I103" s="234"/>
      <c r="J103" s="234"/>
    </row>
    <row r="104" spans="1:10" x14ac:dyDescent="0.25">
      <c r="A104" s="240" t="str">
        <f>"; staff sergeant"</f>
        <v>; staff sergeant</v>
      </c>
      <c r="B104" s="234" t="s">
        <v>340</v>
      </c>
      <c r="C104" s="234"/>
      <c r="D104" s="234"/>
      <c r="E104" s="234"/>
      <c r="F104" s="234"/>
      <c r="G104" s="234"/>
      <c r="H104" s="234"/>
      <c r="I104" s="234"/>
      <c r="J104" s="234"/>
    </row>
    <row r="105" spans="1:10" x14ac:dyDescent="0.25">
      <c r="A105" s="240" t="str">
        <f ca="1">"+SoldierRanks=(  aAbilityTree=( (AbilityName="""&amp;VLOOKUP(INDIRECT("F25"),Abilities,2,FALSE)&amp;""""&amp;IF(VLOOKUP(INDIRECT("F25"),Abilities,3,FALSE)="","",", ApplyToWeaponSlot=eInvSlot_"&amp;VLOOKUP(INDIRECT("F25"),Abilities,3,FALSE))&amp;"), \\"</f>
        <v>+SoldierRanks=(  aAbilityTree=( (AbilityName="LWD_TrickShot", ApplyToWeaponSlot=eInvSlot_Utility, UtilityCat="pistol"), \\</v>
      </c>
      <c r="B105" s="234" t="s">
        <v>340</v>
      </c>
      <c r="C105" s="234"/>
      <c r="D105" s="234"/>
      <c r="E105" s="234"/>
      <c r="F105" s="234"/>
      <c r="G105" s="234"/>
      <c r="H105" s="234"/>
      <c r="I105" s="234"/>
      <c r="J105" s="234"/>
    </row>
    <row r="106" spans="1:10" x14ac:dyDescent="0.25">
      <c r="A106" s="240" t="str">
        <f ca="1">IF(INDIRECT("I25")="","\\","(AbilityName="""&amp;VLOOKUP(INDIRECT("I25"),Abilities,2,FALSE)&amp;""""&amp;IF(VLOOKUP(INDIRECT("I25"),Abilities,3,FALSE)="","",", ApplyToWeaponSlot=eInvSlot_"&amp;VLOOKUP(INDIRECT("I25"),Abilities,3,FALSE))&amp;"), \\")</f>
        <v>(AbilityName=" "), \\</v>
      </c>
      <c r="B106" s="234" t="s">
        <v>340</v>
      </c>
      <c r="C106" s="234"/>
      <c r="D106" s="234"/>
      <c r="E106" s="234"/>
      <c r="F106" s="234"/>
      <c r="G106" s="234"/>
      <c r="H106" s="234"/>
      <c r="I106" s="234"/>
      <c r="J106" s="234"/>
    </row>
    <row r="107" spans="1:10" x14ac:dyDescent="0.25">
      <c r="A107" s="240" t="str">
        <f ca="1">IF(INDIRECT("L25")="","\\","(AbilityName="""&amp;VLOOKUP(INDIRECT("L25"),Abilities,2,FALSE)&amp;""""&amp;IF(VLOOKUP(INDIRECT("L25"),Abilities,3,FALSE)="","",", ApplyToWeaponSlot=eInvSlot_"&amp;VLOOKUP(INDIRECT("L25"),Abilities,3,FALSE))&amp;"), \\")</f>
        <v>(AbilityName="LWD_StoppingPower", ApplyToWeaponSlot=eInvSlot_SecondaryWeapon), \\</v>
      </c>
      <c r="B107" s="234" t="s">
        <v>340</v>
      </c>
      <c r="C107" s="234"/>
      <c r="D107" s="234"/>
      <c r="E107" s="234"/>
      <c r="F107" s="234"/>
      <c r="G107" s="234"/>
      <c r="H107" s="234"/>
      <c r="I107" s="234"/>
      <c r="J107" s="234"/>
    </row>
    <row r="108" spans="1:10" x14ac:dyDescent="0.25">
      <c r="A108" s="240" t="s">
        <v>337</v>
      </c>
      <c r="B108" s="234" t="s">
        <v>340</v>
      </c>
      <c r="C108" s="234"/>
      <c r="D108" s="234"/>
      <c r="E108" s="234"/>
      <c r="F108" s="234"/>
      <c r="G108" s="234"/>
      <c r="H108" s="234"/>
      <c r="I108" s="234"/>
      <c r="J108" s="234"/>
    </row>
    <row r="109" spans="1:10" x14ac:dyDescent="0.25">
      <c r="A109" s="240"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(StatType=eStat_HP,StatAmount=1), (StatType=eStat_Hacking,StatAmount=0)),\\</v>
      </c>
      <c r="B109" s="234" t="s">
        <v>340</v>
      </c>
      <c r="C109" s="234"/>
      <c r="D109" s="234"/>
      <c r="E109" s="234"/>
      <c r="F109" s="234"/>
      <c r="G109" s="234"/>
      <c r="H109" s="234"/>
      <c r="I109" s="234"/>
      <c r="J109" s="234"/>
    </row>
    <row r="110" spans="1:10" x14ac:dyDescent="0.25">
      <c r="A110" s="240" t="s">
        <v>338</v>
      </c>
      <c r="B110" s="234" t="s">
        <v>340</v>
      </c>
      <c r="C110" s="234"/>
      <c r="D110" s="234"/>
      <c r="E110" s="234"/>
      <c r="F110" s="234"/>
      <c r="G110" s="234"/>
      <c r="H110" s="234"/>
      <c r="I110" s="234"/>
      <c r="J110" s="234"/>
    </row>
    <row r="111" spans="1:10" x14ac:dyDescent="0.25">
      <c r="A111" s="240" t="str">
        <f>"; tech sergeant"</f>
        <v>; tech sergeant</v>
      </c>
      <c r="B111" s="234" t="s">
        <v>340</v>
      </c>
      <c r="C111" s="234"/>
      <c r="D111" s="234"/>
      <c r="E111" s="234"/>
      <c r="F111" s="234"/>
      <c r="G111" s="234"/>
      <c r="H111" s="234"/>
      <c r="I111" s="234"/>
      <c r="J111" s="234"/>
    </row>
    <row r="112" spans="1:10" x14ac:dyDescent="0.25">
      <c r="A112" s="240" t="str">
        <f ca="1">"+SoldierRanks=(  aAbilityTree=( (AbilityName="""&amp;VLOOKUP(INDIRECT("F29"),Abilities,2,FALSE)&amp;""""&amp;IF(VLOOKUP(INDIRECT("F29"),Abilities,3,FALSE)="","",", ApplyToWeaponSlot=eInvSlot_"&amp;VLOOKUP(INDIRECT("F29"),Abilities,3,FALSE))&amp;"), \\"</f>
        <v>+SoldierRanks=(  aAbilityTree=( (AbilityName="LWD_BattleMomentum", ApplyToWeaponSlot=eInvSlot_Utility, UtilityCat="pistol"), \\</v>
      </c>
      <c r="B112" s="234" t="s">
        <v>340</v>
      </c>
      <c r="C112" s="234"/>
      <c r="D112" s="234"/>
      <c r="E112" s="234"/>
      <c r="F112" s="234"/>
      <c r="G112" s="234"/>
      <c r="H112" s="234"/>
      <c r="I112" s="234"/>
      <c r="J112" s="234"/>
    </row>
    <row r="113" spans="1:10" x14ac:dyDescent="0.25">
      <c r="A113" s="240" t="str">
        <f ca="1">IF(INDIRECT("I29")="","\\","(AbilityName="""&amp;VLOOKUP(INDIRECT("I29"),Abilities,2,FALSE)&amp;""""&amp;IF(VLOOKUP(INDIRECT("I29"),Abilities,3,FALSE)="","",", ApplyToWeaponSlot=eInvSlot_"&amp;VLOOKUP(INDIRECT("I29"),Abilities,3,FALSE))&amp;"), \\")</f>
        <v>(AbilityName=" "), \\</v>
      </c>
      <c r="B113" s="234" t="s">
        <v>340</v>
      </c>
      <c r="C113" s="234"/>
      <c r="D113" s="234"/>
      <c r="E113" s="234"/>
      <c r="F113" s="234"/>
      <c r="G113" s="234"/>
      <c r="H113" s="234"/>
      <c r="I113" s="234"/>
      <c r="J113" s="234"/>
    </row>
    <row r="114" spans="1:10" x14ac:dyDescent="0.25">
      <c r="A114" s="240" t="str">
        <f ca="1">IF(INDIRECT("L29")="","\\","(AbilityName="""&amp;VLOOKUP(INDIRECT("L29"),Abilities,2,FALSE)&amp;""""&amp;IF(VLOOKUP(INDIRECT("L29"),Abilities,3,FALSE)="","",", ApplyToWeaponSlot=eInvSlot_"&amp;VLOOKUP(INDIRECT("L29"),Abilities,3,FALSE))&amp;"), \\")</f>
        <v>(AbilityName="LWD_HadItComing", ApplyToWeaponSlot=eInvSlot_SecondaryWeapon), \\</v>
      </c>
      <c r="B114" s="234" t="s">
        <v>340</v>
      </c>
      <c r="C114" s="234"/>
      <c r="D114" s="234"/>
      <c r="E114" s="234"/>
      <c r="F114" s="234"/>
      <c r="G114" s="234"/>
      <c r="H114" s="234"/>
      <c r="I114" s="234"/>
      <c r="J114" s="234"/>
    </row>
    <row r="115" spans="1:10" x14ac:dyDescent="0.25">
      <c r="A115" s="240" t="s">
        <v>337</v>
      </c>
      <c r="B115" s="234" t="s">
        <v>340</v>
      </c>
      <c r="C115" s="234"/>
      <c r="D115" s="234"/>
      <c r="E115" s="234"/>
      <c r="F115" s="234"/>
      <c r="G115" s="234"/>
      <c r="H115" s="234"/>
      <c r="I115" s="234"/>
      <c r="J115" s="234"/>
    </row>
    <row r="116" spans="1:10" x14ac:dyDescent="0.25">
      <c r="A116" s="240"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aStatProgression=((StatType=eStat_Offense,StatAmount=3), (StatType=eStat_HP,StatAmount=0), (StatType=eStat_Hacking,StatAmount=0)),\\</v>
      </c>
      <c r="B116" s="234" t="s">
        <v>340</v>
      </c>
      <c r="C116" s="234"/>
      <c r="D116" s="234"/>
      <c r="E116" s="234"/>
      <c r="F116" s="234"/>
      <c r="G116" s="234"/>
      <c r="H116" s="234"/>
      <c r="I116" s="234"/>
      <c r="J116" s="234"/>
    </row>
    <row r="117" spans="1:10" x14ac:dyDescent="0.25">
      <c r="A117" s="240" t="s">
        <v>338</v>
      </c>
      <c r="B117" s="234" t="s">
        <v>340</v>
      </c>
      <c r="C117" s="234"/>
      <c r="D117" s="234"/>
      <c r="E117" s="234"/>
      <c r="F117" s="234"/>
      <c r="G117" s="234"/>
      <c r="H117" s="234"/>
      <c r="I117" s="234"/>
      <c r="J117" s="234"/>
    </row>
    <row r="118" spans="1:10" x14ac:dyDescent="0.25">
      <c r="A118" s="240" t="str">
        <f>";  gunnery sergeant"</f>
        <v>;  gunnery sergeant</v>
      </c>
      <c r="B118" s="234" t="s">
        <v>340</v>
      </c>
      <c r="C118" s="234"/>
      <c r="D118" s="234"/>
      <c r="E118" s="234"/>
      <c r="F118" s="234"/>
      <c r="G118" s="234"/>
      <c r="H118" s="234"/>
      <c r="I118" s="234"/>
      <c r="J118" s="234"/>
    </row>
    <row r="119" spans="1:10" x14ac:dyDescent="0.25">
      <c r="A119" s="240" t="str">
        <f ca="1">"+SoldierRanks=(  aAbilityTree=( (AbilityName="""&amp;VLOOKUP(INDIRECT("F33"),Abilities,2,FALSE)&amp;""""&amp;IF(VLOOKUP(INDIRECT("F33"),Abilities,3,FALSE)="","",", ApplyToWeaponSlot=eInvSlot_"&amp;VLOOKUP(INDIRECT("F33"),Abilities,3,FALSE))&amp;"), \\"</f>
        <v>+SoldierRanks=(  aAbilityTree=( (AbilityName=" "), \\</v>
      </c>
      <c r="B119" s="234" t="s">
        <v>340</v>
      </c>
      <c r="C119" s="234"/>
      <c r="D119" s="234"/>
      <c r="E119" s="234"/>
      <c r="F119" s="234"/>
      <c r="G119" s="234"/>
      <c r="H119" s="234"/>
      <c r="I119" s="234"/>
      <c r="J119" s="234"/>
    </row>
    <row r="120" spans="1:10" x14ac:dyDescent="0.25">
      <c r="A120" s="240" t="str">
        <f ca="1">IF(INDIRECT("I33")="","\\","(AbilityName="""&amp;VLOOKUP(INDIRECT("I33"),Abilities,2,FALSE)&amp;""""&amp;IF(VLOOKUP(INDIRECT("I33"),Abilities,3,FALSE)="","",", ApplyToWeaponSlot=eInvSlot_"&amp;VLOOKUP(INDIRECT("I33"),Abilities,3,FALSE))&amp;"), \\")</f>
        <v>(AbilityName="LWD_HangEmHigh"), \\</v>
      </c>
      <c r="B120" s="234" t="s">
        <v>340</v>
      </c>
      <c r="C120" s="234"/>
      <c r="D120" s="234"/>
      <c r="E120" s="234"/>
      <c r="F120" s="234"/>
      <c r="G120" s="234"/>
      <c r="H120" s="234"/>
      <c r="I120" s="234"/>
      <c r="J120" s="234"/>
    </row>
    <row r="121" spans="1:10" x14ac:dyDescent="0.25">
      <c r="A121" s="240" t="str">
        <f ca="1">IF(INDIRECT("L33")="","\\","(AbilityName="""&amp;VLOOKUP(INDIRECT("L33"),Abilities,2,FALSE)&amp;""""&amp;IF(VLOOKUP(INDIRECT("L33"),Abilities,3,FALSE)="","",", ApplyToWeaponSlot=eInvSlot_"&amp;VLOOKUP(INDIRECT("L33"),Abilities,3,FALSE))&amp;"), \\")</f>
        <v>(AbilityName=" "), \\</v>
      </c>
      <c r="B121" s="234" t="s">
        <v>340</v>
      </c>
      <c r="C121" s="234"/>
      <c r="D121" s="234"/>
      <c r="E121" s="234"/>
      <c r="F121" s="234"/>
      <c r="G121" s="234"/>
      <c r="H121" s="234"/>
      <c r="I121" s="234"/>
      <c r="J121" s="234"/>
    </row>
    <row r="122" spans="1:10" x14ac:dyDescent="0.25">
      <c r="A122" s="240" t="s">
        <v>337</v>
      </c>
      <c r="B122" s="234" t="s">
        <v>340</v>
      </c>
      <c r="C122" s="234"/>
      <c r="D122" s="234"/>
      <c r="E122" s="234"/>
      <c r="F122" s="234"/>
      <c r="G122" s="234"/>
      <c r="H122" s="234"/>
      <c r="I122" s="234"/>
      <c r="J122" s="234"/>
    </row>
    <row r="123" spans="1:10" x14ac:dyDescent="0.25">
      <c r="A123" s="240"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(StatType=eStat_HP,StatAmount=0), (StatType=eStat_Hacking,StatAmount=0)),\\</v>
      </c>
      <c r="B123" s="234" t="s">
        <v>340</v>
      </c>
      <c r="C123" s="234"/>
      <c r="D123" s="234"/>
      <c r="E123" s="234"/>
      <c r="F123" s="234"/>
      <c r="G123" s="234"/>
      <c r="H123" s="234"/>
      <c r="I123" s="234"/>
      <c r="J123" s="234"/>
    </row>
    <row r="124" spans="1:10" x14ac:dyDescent="0.25">
      <c r="A124" s="240" t="s">
        <v>338</v>
      </c>
      <c r="B124" s="234" t="s">
        <v>340</v>
      </c>
      <c r="C124" s="234"/>
      <c r="D124" s="234"/>
      <c r="E124" s="234"/>
      <c r="F124" s="234"/>
      <c r="G124" s="234"/>
      <c r="H124" s="234"/>
      <c r="I124" s="234"/>
      <c r="J124" s="234"/>
    </row>
    <row r="125" spans="1:10" x14ac:dyDescent="0.25">
      <c r="A125" s="240" t="str">
        <f>"; master sergeant"</f>
        <v>; master sergeant</v>
      </c>
      <c r="B125" s="234" t="s">
        <v>340</v>
      </c>
      <c r="C125" s="234"/>
      <c r="D125" s="234"/>
      <c r="E125" s="234"/>
      <c r="F125" s="234"/>
      <c r="G125" s="234"/>
      <c r="H125" s="234"/>
      <c r="I125" s="234"/>
      <c r="J125" s="234"/>
    </row>
    <row r="126" spans="1:10" x14ac:dyDescent="0.25">
      <c r="A126" s="240" t="str">
        <f ca="1">"+SoldierRanks=(  aAbilityTree=( (AbilityName="""&amp;VLOOKUP(INDIRECT("F37"),Abilities,2,FALSE)&amp;""""&amp;IF(VLOOKUP(INDIRECT("F37"),Abilities,3,FALSE)="","",", ApplyToWeaponSlot=eInvSlot_"&amp;VLOOKUP(INDIRECT("F37"),Abilities,3,FALSE))&amp;"), \\"</f>
        <v>+SoldierRanks=(  aAbilityTree=( (AbilityName="LWD_SixShooter", ApplyToWeaponSlot=eInvSlot_Utility, UtilityCat="pistol"), \\</v>
      </c>
      <c r="B126" s="234" t="s">
        <v>340</v>
      </c>
      <c r="C126" s="234"/>
      <c r="D126" s="234"/>
      <c r="E126" s="234"/>
      <c r="F126" s="234"/>
      <c r="G126" s="234"/>
      <c r="H126" s="234"/>
      <c r="I126" s="234"/>
      <c r="J126" s="234"/>
    </row>
    <row r="127" spans="1:10" x14ac:dyDescent="0.25">
      <c r="A127" s="240" t="str">
        <f ca="1">IF(INDIRECT("I37")="","\\","(AbilityName="""&amp;VLOOKUP(INDIRECT("I37"),Abilities,2,FALSE)&amp;""""&amp;IF(VLOOKUP(INDIRECT("I37"),Abilities,3,FALSE)="","",", ApplyToWeaponSlot=eInvSlot_"&amp;VLOOKUP(INDIRECT("I37"),Abilities,3,FALSE))&amp;"), \\")</f>
        <v>(AbilityName=" "), \\</v>
      </c>
      <c r="B127" s="234" t="s">
        <v>340</v>
      </c>
      <c r="C127" s="234"/>
      <c r="D127" s="234"/>
      <c r="E127" s="234"/>
      <c r="F127" s="234"/>
      <c r="G127" s="234"/>
      <c r="H127" s="234"/>
      <c r="I127" s="234"/>
      <c r="J127" s="234"/>
    </row>
    <row r="128" spans="1:10" x14ac:dyDescent="0.25">
      <c r="A128" s="240" t="str">
        <f ca="1">IF(INDIRECT("L37")="","\\","(AbilityName="""&amp;VLOOKUP(INDIRECT("L37"),Abilities,2,FALSE)&amp;""""&amp;IF(VLOOKUP(INDIRECT("L37"),Abilities,3,FALSE)="","",", ApplyToWeaponSlot=eInvSlot_"&amp;VLOOKUP(INDIRECT("L37"),Abilities,3,FALSE))&amp;"), \\")</f>
        <v>(AbilityName="LWD_QuickHands", ApplyToWeaponSlot=eInvSlot_SecondaryWeapon), \\</v>
      </c>
      <c r="B128" s="234" t="s">
        <v>340</v>
      </c>
      <c r="C128" s="234"/>
      <c r="D128" s="234"/>
      <c r="E128" s="234"/>
      <c r="F128" s="234"/>
      <c r="G128" s="234"/>
      <c r="H128" s="234"/>
      <c r="I128" s="234"/>
      <c r="J128" s="234"/>
    </row>
    <row r="129" spans="1:10" x14ac:dyDescent="0.25">
      <c r="A129" s="240" t="s">
        <v>337</v>
      </c>
      <c r="B129" s="234" t="s">
        <v>340</v>
      </c>
      <c r="C129" s="234"/>
      <c r="D129" s="234"/>
      <c r="E129" s="234"/>
      <c r="F129" s="234"/>
      <c r="G129" s="234"/>
      <c r="H129" s="234"/>
      <c r="I129" s="234"/>
      <c r="J129" s="234"/>
    </row>
    <row r="130" spans="1:10" x14ac:dyDescent="0.25">
      <c r="A130" s="240"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aStatProgression=((StatType=eStat_Offense,StatAmount=3), (StatType=eStat_HP,StatAmount=1), (StatType=eStat_Hacking,StatAmount=0)),\\</v>
      </c>
      <c r="B130" s="234" t="s">
        <v>340</v>
      </c>
      <c r="C130" s="234"/>
      <c r="D130" s="234"/>
      <c r="E130" s="234"/>
      <c r="F130" s="234"/>
      <c r="G130" s="234"/>
      <c r="H130" s="234"/>
      <c r="I130" s="234"/>
      <c r="J130" s="234"/>
    </row>
    <row r="131" spans="1:10" ht="15.75" thickBot="1" x14ac:dyDescent="0.3">
      <c r="A131" s="241" t="s">
        <v>338</v>
      </c>
      <c r="B131" s="234" t="s">
        <v>340</v>
      </c>
      <c r="C131" s="234"/>
      <c r="D131" s="234"/>
      <c r="E131" s="234"/>
      <c r="F131" s="234"/>
      <c r="G131" s="234"/>
      <c r="H131" s="234"/>
      <c r="I131" s="234"/>
      <c r="J131" s="234"/>
    </row>
  </sheetData>
  <mergeCells count="140">
    <mergeCell ref="F37:G37"/>
    <mergeCell ref="I37:J37"/>
    <mergeCell ref="L37:M37"/>
    <mergeCell ref="F38:H39"/>
    <mergeCell ref="I38:K39"/>
    <mergeCell ref="L38:N39"/>
    <mergeCell ref="F34:H35"/>
    <mergeCell ref="I34:K35"/>
    <mergeCell ref="L34:N35"/>
    <mergeCell ref="I30:K31"/>
    <mergeCell ref="L30:N31"/>
    <mergeCell ref="V30:W30"/>
    <mergeCell ref="V31:W31"/>
    <mergeCell ref="V34:W34"/>
    <mergeCell ref="V35:W35"/>
    <mergeCell ref="F36:N36"/>
    <mergeCell ref="F32:N32"/>
    <mergeCell ref="V32:W32"/>
    <mergeCell ref="F33:G33"/>
    <mergeCell ref="I33:J33"/>
    <mergeCell ref="L33:M33"/>
    <mergeCell ref="V33:W33"/>
    <mergeCell ref="F28:N28"/>
    <mergeCell ref="V28:W28"/>
    <mergeCell ref="V22:W22"/>
    <mergeCell ref="A23:E24"/>
    <mergeCell ref="V23:W23"/>
    <mergeCell ref="F24:N24"/>
    <mergeCell ref="V24:W24"/>
    <mergeCell ref="A25:E39"/>
    <mergeCell ref="F25:G25"/>
    <mergeCell ref="I25:J25"/>
    <mergeCell ref="L25:M25"/>
    <mergeCell ref="V25:W25"/>
    <mergeCell ref="A20:E22"/>
    <mergeCell ref="F20:N20"/>
    <mergeCell ref="V20:W20"/>
    <mergeCell ref="F21:G21"/>
    <mergeCell ref="I21:J21"/>
    <mergeCell ref="L21:M21"/>
    <mergeCell ref="V21:W21"/>
    <mergeCell ref="F29:G29"/>
    <mergeCell ref="I29:J29"/>
    <mergeCell ref="L29:M29"/>
    <mergeCell ref="V29:W29"/>
    <mergeCell ref="F30:H31"/>
    <mergeCell ref="I18:K19"/>
    <mergeCell ref="L18:N19"/>
    <mergeCell ref="V18:W18"/>
    <mergeCell ref="V19:W19"/>
    <mergeCell ref="F26:H27"/>
    <mergeCell ref="I26:K27"/>
    <mergeCell ref="L26:N27"/>
    <mergeCell ref="V26:W26"/>
    <mergeCell ref="V27:W27"/>
    <mergeCell ref="V16:W16"/>
    <mergeCell ref="F17:G17"/>
    <mergeCell ref="I17:J17"/>
    <mergeCell ref="L17:M17"/>
    <mergeCell ref="V17:W17"/>
    <mergeCell ref="X13:Y13"/>
    <mergeCell ref="F14:H15"/>
    <mergeCell ref="I14:K15"/>
    <mergeCell ref="L14:N15"/>
    <mergeCell ref="V14:W14"/>
    <mergeCell ref="X14:Y14"/>
    <mergeCell ref="V15:W15"/>
    <mergeCell ref="V11:W11"/>
    <mergeCell ref="X11:Y11"/>
    <mergeCell ref="C10:D10"/>
    <mergeCell ref="F10:H10"/>
    <mergeCell ref="I10:K10"/>
    <mergeCell ref="L10:N10"/>
    <mergeCell ref="V10:W10"/>
    <mergeCell ref="X10:Y10"/>
    <mergeCell ref="C12:D12"/>
    <mergeCell ref="F12:N12"/>
    <mergeCell ref="O12:U13"/>
    <mergeCell ref="V12:W12"/>
    <mergeCell ref="X12:Y12"/>
    <mergeCell ref="C13:D13"/>
    <mergeCell ref="F13:G13"/>
    <mergeCell ref="I13:J13"/>
    <mergeCell ref="L13:M13"/>
    <mergeCell ref="V13:W13"/>
    <mergeCell ref="V7:W7"/>
    <mergeCell ref="X7:Y7"/>
    <mergeCell ref="C8:D8"/>
    <mergeCell ref="F8:H9"/>
    <mergeCell ref="I8:K9"/>
    <mergeCell ref="L8:N9"/>
    <mergeCell ref="V8:W8"/>
    <mergeCell ref="X8:Y8"/>
    <mergeCell ref="C9:D9"/>
    <mergeCell ref="V9:W9"/>
    <mergeCell ref="X9:Y9"/>
    <mergeCell ref="O1:U2"/>
    <mergeCell ref="V1:Y2"/>
    <mergeCell ref="A3:B3"/>
    <mergeCell ref="C3:E3"/>
    <mergeCell ref="F3:N3"/>
    <mergeCell ref="V3:W3"/>
    <mergeCell ref="X3:Y3"/>
    <mergeCell ref="X4:Y4"/>
    <mergeCell ref="F5:H6"/>
    <mergeCell ref="I5:K6"/>
    <mergeCell ref="L5:N6"/>
    <mergeCell ref="V5:W5"/>
    <mergeCell ref="X5:Y5"/>
    <mergeCell ref="A4:B4"/>
    <mergeCell ref="C4:E5"/>
    <mergeCell ref="F4:G4"/>
    <mergeCell ref="I4:J4"/>
    <mergeCell ref="L4:M4"/>
    <mergeCell ref="V4:W4"/>
    <mergeCell ref="C6:D6"/>
    <mergeCell ref="V6:W6"/>
    <mergeCell ref="X6:Y6"/>
    <mergeCell ref="A40:B41"/>
    <mergeCell ref="C40:E41"/>
    <mergeCell ref="A42:B42"/>
    <mergeCell ref="C42:D42"/>
    <mergeCell ref="E42:F42"/>
    <mergeCell ref="A1:B2"/>
    <mergeCell ref="C1:E2"/>
    <mergeCell ref="F1:N2"/>
    <mergeCell ref="C7:D7"/>
    <mergeCell ref="F7:G7"/>
    <mergeCell ref="I7:J7"/>
    <mergeCell ref="L7:M7"/>
    <mergeCell ref="C11:D11"/>
    <mergeCell ref="F11:H11"/>
    <mergeCell ref="I11:K11"/>
    <mergeCell ref="L11:N11"/>
    <mergeCell ref="F16:N16"/>
    <mergeCell ref="F22:H23"/>
    <mergeCell ref="I22:K23"/>
    <mergeCell ref="L22:N23"/>
    <mergeCell ref="A18:B19"/>
    <mergeCell ref="F18:H19"/>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86370"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86371"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86372"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86373"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86374"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86375"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86376"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86377"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86378"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86379"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86380"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86381"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9">
        <x14:dataValidation type="list" allowBlank="1" showInputMessage="1" showErrorMessage="1">
          <x14:formula1>
            <xm:f>Abilities!$A:$A</xm:f>
          </x14:formula1>
          <xm:sqref>I13 L17 F17 I21 I25 I29 L33 F33 I37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F4</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90" t="s">
        <v>308</v>
      </c>
      <c r="B1" s="91"/>
      <c r="C1" s="94" t="s">
        <v>480</v>
      </c>
      <c r="D1" s="95"/>
      <c r="E1" s="95"/>
      <c r="F1" s="98" t="s">
        <v>324</v>
      </c>
      <c r="G1" s="99"/>
      <c r="H1" s="99"/>
      <c r="I1" s="99"/>
      <c r="J1" s="99"/>
      <c r="K1" s="99"/>
      <c r="L1" s="99"/>
      <c r="M1" s="99"/>
      <c r="N1" s="99"/>
      <c r="O1" s="100" t="s">
        <v>325</v>
      </c>
      <c r="P1" s="101"/>
      <c r="Q1" s="101"/>
      <c r="R1" s="101"/>
      <c r="S1" s="101"/>
      <c r="T1" s="101"/>
      <c r="U1" s="102"/>
      <c r="V1" s="196" t="s">
        <v>776</v>
      </c>
      <c r="W1" s="197"/>
      <c r="X1" s="197"/>
      <c r="Y1" s="197"/>
    </row>
    <row r="2" spans="1:25" ht="15" customHeight="1" thickBot="1" x14ac:dyDescent="0.3">
      <c r="A2" s="92"/>
      <c r="B2" s="93"/>
      <c r="C2" s="96"/>
      <c r="D2" s="97"/>
      <c r="E2" s="97"/>
      <c r="F2" s="98"/>
      <c r="G2" s="99"/>
      <c r="H2" s="99"/>
      <c r="I2" s="99"/>
      <c r="J2" s="99"/>
      <c r="K2" s="99"/>
      <c r="L2" s="99"/>
      <c r="M2" s="99"/>
      <c r="N2" s="99"/>
      <c r="O2" s="103"/>
      <c r="P2" s="104"/>
      <c r="Q2" s="104"/>
      <c r="R2" s="104"/>
      <c r="S2" s="104"/>
      <c r="T2" s="104"/>
      <c r="U2" s="105"/>
      <c r="V2" s="198"/>
      <c r="W2" s="199"/>
      <c r="X2" s="199"/>
      <c r="Y2" s="199"/>
    </row>
    <row r="3" spans="1:25" ht="18" thickBot="1" x14ac:dyDescent="0.35">
      <c r="A3" s="106" t="s">
        <v>309</v>
      </c>
      <c r="B3" s="107"/>
      <c r="C3" s="108" t="str">
        <f>Output!$L$1&amp;SUBSTITUTE(C1," ","")</f>
        <v>LWD_Dreadnought</v>
      </c>
      <c r="D3" s="109"/>
      <c r="E3" s="109"/>
      <c r="F3" s="110" t="s">
        <v>12</v>
      </c>
      <c r="G3" s="111"/>
      <c r="H3" s="111"/>
      <c r="I3" s="111"/>
      <c r="J3" s="111"/>
      <c r="K3" s="111"/>
      <c r="L3" s="111"/>
      <c r="M3" s="111"/>
      <c r="N3" s="112"/>
      <c r="O3" s="15"/>
      <c r="P3" s="16" t="s">
        <v>79</v>
      </c>
      <c r="Q3" s="17" t="s">
        <v>326</v>
      </c>
      <c r="R3" s="17" t="s">
        <v>328</v>
      </c>
      <c r="S3" s="17" t="s">
        <v>327</v>
      </c>
      <c r="T3" s="17" t="s">
        <v>330</v>
      </c>
      <c r="U3" s="18" t="s">
        <v>329</v>
      </c>
      <c r="V3" s="200" t="s">
        <v>810</v>
      </c>
      <c r="W3" s="201"/>
      <c r="X3" s="200" t="s">
        <v>811</v>
      </c>
      <c r="Y3" s="201"/>
    </row>
    <row r="4" spans="1:25" ht="18" thickTop="1" x14ac:dyDescent="0.3">
      <c r="A4" s="113" t="s">
        <v>310</v>
      </c>
      <c r="B4" s="114"/>
      <c r="C4" s="115" t="s">
        <v>314</v>
      </c>
      <c r="D4" s="116"/>
      <c r="E4" s="116"/>
      <c r="F4" s="119" t="s">
        <v>433</v>
      </c>
      <c r="G4" s="120"/>
      <c r="H4" s="4" t="str">
        <f>IFERROR(VLOOKUP(F4,Abilities,4,FALSE),"")</f>
        <v>LW2</v>
      </c>
      <c r="I4" s="121"/>
      <c r="J4" s="120"/>
      <c r="K4" s="35" t="str">
        <f>IFERROR(VLOOKUP(I4,Abilities,4,FALSE),"")</f>
        <v/>
      </c>
      <c r="L4" s="122"/>
      <c r="M4" s="120"/>
      <c r="N4" s="10" t="str">
        <f>IFERROR(VLOOKUP(L4,Abilities,4,FALSE),"")</f>
        <v/>
      </c>
      <c r="O4" s="19" t="s">
        <v>12</v>
      </c>
      <c r="P4" s="4">
        <v>2</v>
      </c>
      <c r="Q4" s="20">
        <v>1</v>
      </c>
      <c r="R4" s="20"/>
      <c r="S4" s="4">
        <v>0</v>
      </c>
      <c r="T4" s="4">
        <v>1</v>
      </c>
      <c r="U4" s="10"/>
      <c r="V4" s="192" t="s">
        <v>777</v>
      </c>
      <c r="W4" s="193"/>
      <c r="X4" s="192" t="s">
        <v>801</v>
      </c>
      <c r="Y4" s="193"/>
    </row>
    <row r="5" spans="1:25" ht="15" customHeight="1" x14ac:dyDescent="0.25">
      <c r="A5" s="6"/>
      <c r="B5" s="5" t="b">
        <v>0</v>
      </c>
      <c r="C5" s="117"/>
      <c r="D5" s="118"/>
      <c r="E5" s="118"/>
      <c r="F5" s="123" t="str">
        <f>IFERROR(VLOOKUP(F4,Abilities,7,FALSE),"")</f>
        <v>This soldier is trained to use the XCOM gauntlet, a combination rocket launcher and flamethrower.</v>
      </c>
      <c r="G5" s="124"/>
      <c r="H5" s="125"/>
      <c r="I5" s="129" t="str">
        <f>IFERROR(VLOOKUP(I4,Abilities,7,FALSE),"")</f>
        <v/>
      </c>
      <c r="J5" s="130"/>
      <c r="K5" s="131"/>
      <c r="L5" s="130" t="str">
        <f>IFERROR(VLOOKUP(L4,Abilities,7,FALSE),"")</f>
        <v/>
      </c>
      <c r="M5" s="130"/>
      <c r="N5" s="135"/>
      <c r="O5" s="26" t="s">
        <v>456</v>
      </c>
      <c r="P5" s="27">
        <v>2</v>
      </c>
      <c r="Q5" s="28">
        <v>0</v>
      </c>
      <c r="R5" s="28"/>
      <c r="S5" s="27">
        <v>0</v>
      </c>
      <c r="T5" s="27"/>
      <c r="U5" s="29"/>
      <c r="V5" s="190" t="s">
        <v>821</v>
      </c>
      <c r="W5" s="191"/>
      <c r="X5" s="190" t="s">
        <v>802</v>
      </c>
      <c r="Y5" s="191"/>
    </row>
    <row r="6" spans="1:25" ht="15" customHeight="1" x14ac:dyDescent="0.25">
      <c r="A6" s="6"/>
      <c r="B6" s="5" t="b">
        <v>1</v>
      </c>
      <c r="C6" s="137" t="s">
        <v>315</v>
      </c>
      <c r="D6" s="138"/>
      <c r="E6" s="11">
        <v>0</v>
      </c>
      <c r="F6" s="126"/>
      <c r="G6" s="127"/>
      <c r="H6" s="128"/>
      <c r="I6" s="132"/>
      <c r="J6" s="133"/>
      <c r="K6" s="134"/>
      <c r="L6" s="133"/>
      <c r="M6" s="133"/>
      <c r="N6" s="136"/>
      <c r="O6" s="19" t="s">
        <v>15</v>
      </c>
      <c r="P6" s="4">
        <v>2</v>
      </c>
      <c r="Q6" s="20">
        <v>1</v>
      </c>
      <c r="R6" s="20"/>
      <c r="S6" s="4">
        <v>0</v>
      </c>
      <c r="T6" s="4"/>
      <c r="U6" s="10"/>
      <c r="V6" s="190" t="s">
        <v>778</v>
      </c>
      <c r="W6" s="191"/>
      <c r="X6" s="192" t="s">
        <v>803</v>
      </c>
      <c r="Y6" s="193"/>
    </row>
    <row r="7" spans="1:25" ht="15" customHeight="1" x14ac:dyDescent="0.25">
      <c r="A7" s="6"/>
      <c r="B7" s="5" t="b">
        <v>0</v>
      </c>
      <c r="C7" s="137" t="s">
        <v>316</v>
      </c>
      <c r="D7" s="138"/>
      <c r="E7" s="11">
        <v>4</v>
      </c>
      <c r="F7" s="139"/>
      <c r="G7" s="140"/>
      <c r="H7" s="4" t="str">
        <f>IFERROR(VLOOKUP(F7,Abilities,4,FALSE),"")</f>
        <v/>
      </c>
      <c r="I7" s="141"/>
      <c r="J7" s="140"/>
      <c r="K7" s="4" t="str">
        <f>IFERROR(VLOOKUP(I7,Abilities,4,FALSE),"")</f>
        <v/>
      </c>
      <c r="L7" s="142"/>
      <c r="M7" s="140"/>
      <c r="N7" s="10" t="str">
        <f>IFERROR(VLOOKUP(L7,Abilities,4,FALSE),"")</f>
        <v/>
      </c>
      <c r="O7" s="26" t="s">
        <v>21</v>
      </c>
      <c r="P7" s="27">
        <v>2</v>
      </c>
      <c r="Q7" s="28">
        <v>0</v>
      </c>
      <c r="R7" s="28"/>
      <c r="S7" s="27">
        <v>0</v>
      </c>
      <c r="T7" s="27"/>
      <c r="U7" s="29"/>
      <c r="V7" s="192" t="s">
        <v>779</v>
      </c>
      <c r="W7" s="193"/>
      <c r="X7" s="190" t="s">
        <v>804</v>
      </c>
      <c r="Y7" s="191"/>
    </row>
    <row r="8" spans="1:25" ht="15" customHeight="1" thickBot="1" x14ac:dyDescent="0.3">
      <c r="A8" s="6"/>
      <c r="B8" s="5" t="b">
        <v>0</v>
      </c>
      <c r="C8" s="137" t="s">
        <v>317</v>
      </c>
      <c r="D8" s="143"/>
      <c r="E8" s="12" t="s">
        <v>756</v>
      </c>
      <c r="F8" s="144" t="str">
        <f>IFERROR(VLOOKUP(F7,Abilities,7,FALSE),"")</f>
        <v/>
      </c>
      <c r="G8" s="130"/>
      <c r="H8" s="131"/>
      <c r="I8" s="129" t="str">
        <f>IFERROR(VLOOKUP(I7,Abilities,7,FALSE),"")</f>
        <v/>
      </c>
      <c r="J8" s="130"/>
      <c r="K8" s="131"/>
      <c r="L8" s="130" t="str">
        <f>IFERROR(VLOOKUP(L7,Abilities,7,FALSE),"")</f>
        <v/>
      </c>
      <c r="M8" s="130"/>
      <c r="N8" s="135"/>
      <c r="O8" s="21" t="s">
        <v>457</v>
      </c>
      <c r="P8" s="4">
        <v>2</v>
      </c>
      <c r="Q8" s="20">
        <v>1</v>
      </c>
      <c r="R8" s="20"/>
      <c r="S8" s="4">
        <v>0</v>
      </c>
      <c r="T8" s="4"/>
      <c r="U8" s="10"/>
      <c r="V8" s="190" t="s">
        <v>780</v>
      </c>
      <c r="W8" s="191"/>
      <c r="X8" s="192" t="s">
        <v>805</v>
      </c>
      <c r="Y8" s="193"/>
    </row>
    <row r="9" spans="1:25" ht="15.75" thickBot="1" x14ac:dyDescent="0.3">
      <c r="A9" s="6"/>
      <c r="B9" s="5" t="b">
        <v>1</v>
      </c>
      <c r="C9" s="137" t="s">
        <v>319</v>
      </c>
      <c r="D9" s="143"/>
      <c r="E9" s="12">
        <v>1</v>
      </c>
      <c r="F9" s="145"/>
      <c r="G9" s="133"/>
      <c r="H9" s="134"/>
      <c r="I9" s="146"/>
      <c r="J9" s="147"/>
      <c r="K9" s="148"/>
      <c r="L9" s="133"/>
      <c r="M9" s="133"/>
      <c r="N9" s="136"/>
      <c r="O9" s="26" t="s">
        <v>458</v>
      </c>
      <c r="P9" s="27">
        <v>2</v>
      </c>
      <c r="Q9" s="28">
        <v>0</v>
      </c>
      <c r="R9" s="28"/>
      <c r="S9" s="27">
        <v>0</v>
      </c>
      <c r="T9" s="27"/>
      <c r="U9" s="29"/>
      <c r="V9" s="192" t="s">
        <v>781</v>
      </c>
      <c r="W9" s="193"/>
      <c r="X9" s="200" t="s">
        <v>812</v>
      </c>
      <c r="Y9" s="201"/>
    </row>
    <row r="10" spans="1:25" ht="18.75" x14ac:dyDescent="0.3">
      <c r="A10" s="6"/>
      <c r="B10" s="5" t="b">
        <v>0</v>
      </c>
      <c r="C10" s="137" t="s">
        <v>318</v>
      </c>
      <c r="D10" s="143"/>
      <c r="E10" s="12">
        <v>4</v>
      </c>
      <c r="F10" s="157" t="s">
        <v>311</v>
      </c>
      <c r="G10" s="158"/>
      <c r="H10" s="159"/>
      <c r="I10" s="160" t="s">
        <v>349</v>
      </c>
      <c r="J10" s="158"/>
      <c r="K10" s="159"/>
      <c r="L10" s="158" t="s">
        <v>312</v>
      </c>
      <c r="M10" s="158"/>
      <c r="N10" s="161"/>
      <c r="O10" s="36" t="s">
        <v>459</v>
      </c>
      <c r="P10" s="37">
        <v>2</v>
      </c>
      <c r="Q10" s="37">
        <v>1</v>
      </c>
      <c r="R10" s="37"/>
      <c r="S10" s="37">
        <v>0</v>
      </c>
      <c r="T10" s="37"/>
      <c r="U10" s="38"/>
      <c r="V10" s="190" t="s">
        <v>782</v>
      </c>
      <c r="W10" s="191"/>
      <c r="X10" s="192" t="s">
        <v>806</v>
      </c>
      <c r="Y10" s="193"/>
    </row>
    <row r="11" spans="1:25" ht="15.75" customHeight="1" thickBot="1" x14ac:dyDescent="0.3">
      <c r="A11" s="6"/>
      <c r="B11" s="5" t="b">
        <v>0</v>
      </c>
      <c r="C11" s="137" t="s">
        <v>320</v>
      </c>
      <c r="D11" s="143"/>
      <c r="E11" s="12">
        <v>4</v>
      </c>
      <c r="F11" s="162" t="s">
        <v>725</v>
      </c>
      <c r="G11" s="163"/>
      <c r="H11" s="164"/>
      <c r="I11" s="165"/>
      <c r="J11" s="163"/>
      <c r="K11" s="164"/>
      <c r="L11" s="163" t="s">
        <v>724</v>
      </c>
      <c r="M11" s="163"/>
      <c r="N11" s="166"/>
      <c r="O11" s="39" t="s">
        <v>460</v>
      </c>
      <c r="P11" s="40">
        <v>2</v>
      </c>
      <c r="Q11" s="41">
        <v>1</v>
      </c>
      <c r="R11" s="41"/>
      <c r="S11" s="40">
        <v>0</v>
      </c>
      <c r="T11" s="40"/>
      <c r="U11" s="42"/>
      <c r="V11" s="192" t="s">
        <v>824</v>
      </c>
      <c r="W11" s="193"/>
      <c r="X11" s="190" t="s">
        <v>807</v>
      </c>
      <c r="Y11" s="191"/>
    </row>
    <row r="12" spans="1:25" ht="18" customHeight="1" thickBot="1" x14ac:dyDescent="0.35">
      <c r="A12" s="6"/>
      <c r="B12" s="5" t="b">
        <v>0</v>
      </c>
      <c r="C12" s="137" t="s">
        <v>321</v>
      </c>
      <c r="D12" s="143"/>
      <c r="E12" s="12">
        <v>1</v>
      </c>
      <c r="F12" s="169" t="s">
        <v>443</v>
      </c>
      <c r="G12" s="170"/>
      <c r="H12" s="170"/>
      <c r="I12" s="170"/>
      <c r="J12" s="170"/>
      <c r="K12" s="170"/>
      <c r="L12" s="170"/>
      <c r="M12" s="170"/>
      <c r="N12" s="171"/>
      <c r="O12" s="149" t="s">
        <v>813</v>
      </c>
      <c r="P12" s="150"/>
      <c r="Q12" s="150"/>
      <c r="R12" s="150"/>
      <c r="S12" s="150"/>
      <c r="T12" s="150"/>
      <c r="U12" s="151"/>
      <c r="V12" s="192" t="s">
        <v>833</v>
      </c>
      <c r="W12" s="193"/>
      <c r="X12" s="192" t="s">
        <v>808</v>
      </c>
      <c r="Y12" s="193"/>
    </row>
    <row r="13" spans="1:25" ht="16.5" thickTop="1" thickBot="1" x14ac:dyDescent="0.3">
      <c r="A13" s="6"/>
      <c r="B13" s="5" t="b">
        <v>0</v>
      </c>
      <c r="C13" s="155" t="s">
        <v>322</v>
      </c>
      <c r="D13" s="156"/>
      <c r="E13" s="13" t="s">
        <v>323</v>
      </c>
      <c r="F13" s="119" t="s">
        <v>216</v>
      </c>
      <c r="G13" s="120"/>
      <c r="H13" s="4" t="str">
        <f>IFERROR(VLOOKUP(F13,Abilities,4,FALSE),"")</f>
        <v>LW2</v>
      </c>
      <c r="I13" s="121" t="s">
        <v>962</v>
      </c>
      <c r="J13" s="120"/>
      <c r="K13" s="35" t="str">
        <f>IFERROR(VLOOKUP(I13,Abilities,4,FALSE),"")</f>
        <v>BLANK</v>
      </c>
      <c r="L13" s="122" t="s">
        <v>99</v>
      </c>
      <c r="M13" s="120"/>
      <c r="N13" s="10" t="str">
        <f>IFERROR(VLOOKUP(L13,Abilities,4,FALSE),"")</f>
        <v>LW2</v>
      </c>
      <c r="O13" s="152"/>
      <c r="P13" s="153"/>
      <c r="Q13" s="153"/>
      <c r="R13" s="153"/>
      <c r="S13" s="153"/>
      <c r="T13" s="153"/>
      <c r="U13" s="154"/>
      <c r="V13" s="192" t="s">
        <v>818</v>
      </c>
      <c r="W13" s="193"/>
      <c r="X13" s="190" t="s">
        <v>809</v>
      </c>
      <c r="Y13" s="191"/>
    </row>
    <row r="14" spans="1:25" ht="15.75" thickBot="1" x14ac:dyDescent="0.3">
      <c r="A14" s="6"/>
      <c r="B14" s="7" t="b">
        <v>0</v>
      </c>
      <c r="F14" s="144">
        <f>IFERROR(VLOOKUP(F13,Abilities,7,FALSE),"")</f>
        <v>0</v>
      </c>
      <c r="G14" s="130"/>
      <c r="H14" s="131"/>
      <c r="I14" s="129" t="str">
        <f>IFERROR(VLOOKUP(I13,Abilities,7,FALSE),"")</f>
        <v xml:space="preserve"> </v>
      </c>
      <c r="J14" s="130"/>
      <c r="K14" s="131"/>
      <c r="L14" s="130" t="str">
        <f>IFERROR(VLOOKUP(L13,Abilities,7,FALSE),"")</f>
        <v>Fire a barrage that pins down a target, grants reaction fire against it if it moves, restricts the use of many abilities, and imposes a -30 penalty to the target's aim.</v>
      </c>
      <c r="M14" s="130"/>
      <c r="N14" s="135"/>
      <c r="O14" s="22"/>
      <c r="P14" s="23" t="s">
        <v>331</v>
      </c>
      <c r="Q14" s="24" t="s">
        <v>332</v>
      </c>
      <c r="R14" s="24" t="s">
        <v>333</v>
      </c>
      <c r="S14" s="24" t="s">
        <v>334</v>
      </c>
      <c r="T14" s="24" t="s">
        <v>336</v>
      </c>
      <c r="U14" s="25" t="s">
        <v>335</v>
      </c>
      <c r="V14" s="190" t="s">
        <v>834</v>
      </c>
      <c r="W14" s="191"/>
      <c r="X14" s="194" t="s">
        <v>814</v>
      </c>
      <c r="Y14" s="195"/>
    </row>
    <row r="15" spans="1:25" ht="15.75" thickBot="1" x14ac:dyDescent="0.3">
      <c r="A15" s="6"/>
      <c r="B15" s="7" t="b">
        <v>0</v>
      </c>
      <c r="F15" s="167"/>
      <c r="G15" s="147"/>
      <c r="H15" s="148"/>
      <c r="I15" s="146"/>
      <c r="J15" s="147"/>
      <c r="K15" s="148"/>
      <c r="L15" s="147"/>
      <c r="M15" s="147"/>
      <c r="N15" s="168"/>
      <c r="O15" s="19" t="s">
        <v>12</v>
      </c>
      <c r="P15" s="4">
        <v>1</v>
      </c>
      <c r="Q15" s="20">
        <v>4</v>
      </c>
      <c r="R15" s="20"/>
      <c r="S15" s="4"/>
      <c r="T15" s="4"/>
      <c r="U15" s="10"/>
      <c r="V15" s="190" t="s">
        <v>823</v>
      </c>
      <c r="W15" s="191"/>
    </row>
    <row r="16" spans="1:25" ht="18" thickBot="1" x14ac:dyDescent="0.35">
      <c r="A16" s="6"/>
      <c r="B16" s="7" t="b">
        <v>0</v>
      </c>
      <c r="F16" s="169" t="s">
        <v>15</v>
      </c>
      <c r="G16" s="170"/>
      <c r="H16" s="170"/>
      <c r="I16" s="170"/>
      <c r="J16" s="170"/>
      <c r="K16" s="170"/>
      <c r="L16" s="170"/>
      <c r="M16" s="170"/>
      <c r="N16" s="171"/>
      <c r="O16" s="26" t="s">
        <v>456</v>
      </c>
      <c r="P16" s="27">
        <v>1</v>
      </c>
      <c r="Q16" s="28">
        <v>4</v>
      </c>
      <c r="R16" s="28"/>
      <c r="S16" s="27"/>
      <c r="T16" s="27"/>
      <c r="U16" s="29"/>
      <c r="V16" s="190" t="s">
        <v>786</v>
      </c>
      <c r="W16" s="191"/>
    </row>
    <row r="17" spans="1:23" ht="16.5" thickTop="1" thickBot="1" x14ac:dyDescent="0.3">
      <c r="A17" s="8"/>
      <c r="B17" s="9" t="b">
        <v>0</v>
      </c>
      <c r="F17" s="121" t="s">
        <v>962</v>
      </c>
      <c r="G17" s="120"/>
      <c r="H17" s="4" t="str">
        <f>IFERROR(VLOOKUP(F17,Abilities,4,FALSE),"")</f>
        <v>BLANK</v>
      </c>
      <c r="I17" s="121" t="s">
        <v>596</v>
      </c>
      <c r="J17" s="120"/>
      <c r="K17" s="35" t="str">
        <f>IFERROR(VLOOKUP(I17,Abilities,4,FALSE),"")</f>
        <v>SOLW</v>
      </c>
      <c r="L17" s="121" t="s">
        <v>962</v>
      </c>
      <c r="M17" s="120"/>
      <c r="N17" s="10" t="str">
        <f>IFERROR(VLOOKUP(L17,Abilities,4,FALSE),"")</f>
        <v>BLANK</v>
      </c>
      <c r="O17" s="19" t="s">
        <v>15</v>
      </c>
      <c r="P17" s="4">
        <v>1</v>
      </c>
      <c r="Q17" s="20"/>
      <c r="R17" s="20"/>
      <c r="S17" s="4"/>
      <c r="T17" s="4"/>
      <c r="U17" s="10"/>
      <c r="V17" s="192" t="s">
        <v>787</v>
      </c>
      <c r="W17" s="193"/>
    </row>
    <row r="18" spans="1:23" x14ac:dyDescent="0.25">
      <c r="A18" s="172" t="s">
        <v>344</v>
      </c>
      <c r="B18" s="173"/>
      <c r="F18" s="144" t="str">
        <f>IFERROR(VLOOKUP(F17,Abilities,7,FALSE),"")</f>
        <v xml:space="preserve"> </v>
      </c>
      <c r="G18" s="130"/>
      <c r="H18" s="131"/>
      <c r="I18" s="129" t="str">
        <f>IFERROR(VLOOKUP(I17,Abilities,7,FALSE),"")</f>
        <v>Increases Will by &lt;Ability:Will&gt;, and guarantees that you bleed out instead of die outright once per mission.</v>
      </c>
      <c r="J18" s="130"/>
      <c r="K18" s="131"/>
      <c r="L18" s="130" t="str">
        <f>IFERROR(VLOOKUP(L17,Abilities,7,FALSE),"")</f>
        <v xml:space="preserve"> </v>
      </c>
      <c r="M18" s="130"/>
      <c r="N18" s="135"/>
      <c r="O18" s="26" t="s">
        <v>21</v>
      </c>
      <c r="P18" s="27">
        <v>0</v>
      </c>
      <c r="Q18" s="28"/>
      <c r="R18" s="28"/>
      <c r="S18" s="27"/>
      <c r="T18" s="27"/>
      <c r="U18" s="29"/>
      <c r="V18" s="190" t="s">
        <v>788</v>
      </c>
      <c r="W18" s="191"/>
    </row>
    <row r="19" spans="1:23" ht="15.75" thickBot="1" x14ac:dyDescent="0.3">
      <c r="A19" s="174"/>
      <c r="B19" s="175"/>
      <c r="D19" s="3"/>
      <c r="F19" s="167"/>
      <c r="G19" s="147"/>
      <c r="H19" s="148"/>
      <c r="I19" s="146"/>
      <c r="J19" s="147"/>
      <c r="K19" s="148"/>
      <c r="L19" s="147"/>
      <c r="M19" s="147"/>
      <c r="N19" s="168"/>
      <c r="O19" s="21" t="s">
        <v>457</v>
      </c>
      <c r="P19" s="4">
        <v>1</v>
      </c>
      <c r="Q19" s="20"/>
      <c r="R19" s="20"/>
      <c r="S19" s="4"/>
      <c r="T19" s="4"/>
      <c r="U19" s="10"/>
      <c r="V19" s="192" t="s">
        <v>789</v>
      </c>
      <c r="W19" s="193"/>
    </row>
    <row r="20" spans="1:23" ht="18" thickBot="1" x14ac:dyDescent="0.35">
      <c r="A20" s="176" t="s">
        <v>967</v>
      </c>
      <c r="B20" s="177"/>
      <c r="C20" s="178"/>
      <c r="D20" s="178"/>
      <c r="E20" s="179"/>
      <c r="F20" s="169" t="s">
        <v>21</v>
      </c>
      <c r="G20" s="170"/>
      <c r="H20" s="170"/>
      <c r="I20" s="170"/>
      <c r="J20" s="170"/>
      <c r="K20" s="170"/>
      <c r="L20" s="170"/>
      <c r="M20" s="170"/>
      <c r="N20" s="171"/>
      <c r="O20" s="26" t="s">
        <v>458</v>
      </c>
      <c r="P20" s="27">
        <v>0</v>
      </c>
      <c r="Q20" s="28"/>
      <c r="R20" s="28"/>
      <c r="S20" s="27"/>
      <c r="T20" s="27"/>
      <c r="U20" s="29"/>
      <c r="V20" s="192" t="s">
        <v>790</v>
      </c>
      <c r="W20" s="193"/>
    </row>
    <row r="21" spans="1:23" ht="15.75" thickTop="1" x14ac:dyDescent="0.25">
      <c r="A21" s="176"/>
      <c r="B21" s="177"/>
      <c r="C21" s="177"/>
      <c r="D21" s="177"/>
      <c r="E21" s="180"/>
      <c r="F21" s="119" t="s">
        <v>476</v>
      </c>
      <c r="G21" s="120"/>
      <c r="H21" s="4" t="str">
        <f>IFERROR(VLOOKUP(F21,Abilities,4,FALSE),"")</f>
        <v>SOLW</v>
      </c>
      <c r="I21" s="121" t="s">
        <v>962</v>
      </c>
      <c r="J21" s="120"/>
      <c r="K21" s="35" t="str">
        <f>IFERROR(VLOOKUP(I21,Abilities,4,FALSE),"")</f>
        <v>BLANK</v>
      </c>
      <c r="L21" s="122" t="s">
        <v>95</v>
      </c>
      <c r="M21" s="120"/>
      <c r="N21" s="10" t="str">
        <f>IFERROR(VLOOKUP(L21,Abilities,4,FALSE),"")</f>
        <v>XCOM2</v>
      </c>
      <c r="O21" s="36" t="s">
        <v>459</v>
      </c>
      <c r="P21" s="37">
        <v>1</v>
      </c>
      <c r="Q21" s="37"/>
      <c r="R21" s="37"/>
      <c r="S21" s="37"/>
      <c r="T21" s="37"/>
      <c r="U21" s="38"/>
      <c r="V21" s="190" t="s">
        <v>579</v>
      </c>
      <c r="W21" s="191"/>
    </row>
    <row r="22" spans="1:23" ht="15.75" thickBot="1" x14ac:dyDescent="0.3">
      <c r="A22" s="181"/>
      <c r="B22" s="182"/>
      <c r="C22" s="182"/>
      <c r="D22" s="182"/>
      <c r="E22" s="183"/>
      <c r="F22" s="144" t="str">
        <f>IFERROR(VLOOKUP(F21,Abilities,7,FALSE),"")</f>
        <v>You gain additional Armor points based on your equipped armor.</v>
      </c>
      <c r="G22" s="130"/>
      <c r="H22" s="131"/>
      <c r="I22" s="129" t="str">
        <f>IFERROR(VLOOKUP(I21,Abilities,7,FALSE),"")</f>
        <v xml:space="preserve"> </v>
      </c>
      <c r="J22" s="130"/>
      <c r="K22" s="131"/>
      <c r="L22" s="130" t="str">
        <f>IFERROR(VLOOKUP(L21,Abilities,7,FALSE),"")</f>
        <v>Your cannon attacks shred armor. Higher rank weapons shred more points of armor. The shredding effect applies before damage.</v>
      </c>
      <c r="M22" s="130"/>
      <c r="N22" s="135"/>
      <c r="O22" s="39" t="s">
        <v>460</v>
      </c>
      <c r="P22" s="40">
        <v>0</v>
      </c>
      <c r="Q22" s="41"/>
      <c r="R22" s="41"/>
      <c r="S22" s="40"/>
      <c r="T22" s="40"/>
      <c r="U22" s="42"/>
      <c r="V22" s="192" t="s">
        <v>832</v>
      </c>
      <c r="W22" s="193"/>
    </row>
    <row r="23" spans="1:23" ht="15.75" thickBot="1" x14ac:dyDescent="0.3">
      <c r="A23" s="184" t="s">
        <v>352</v>
      </c>
      <c r="B23" s="185"/>
      <c r="C23" s="185"/>
      <c r="D23" s="185"/>
      <c r="E23" s="186"/>
      <c r="F23" s="167"/>
      <c r="G23" s="147"/>
      <c r="H23" s="148"/>
      <c r="I23" s="146"/>
      <c r="J23" s="147"/>
      <c r="K23" s="148"/>
      <c r="L23" s="147"/>
      <c r="M23" s="147"/>
      <c r="N23" s="168"/>
      <c r="O23" s="14"/>
      <c r="P23" s="14"/>
      <c r="Q23" s="3"/>
      <c r="V23" s="190" t="s">
        <v>793</v>
      </c>
      <c r="W23" s="191"/>
    </row>
    <row r="24" spans="1:23" ht="18" thickBot="1" x14ac:dyDescent="0.35">
      <c r="A24" s="187"/>
      <c r="B24" s="188"/>
      <c r="C24" s="188"/>
      <c r="D24" s="188"/>
      <c r="E24" s="189"/>
      <c r="F24" s="169" t="s">
        <v>444</v>
      </c>
      <c r="G24" s="170"/>
      <c r="H24" s="170"/>
      <c r="I24" s="170"/>
      <c r="J24" s="170"/>
      <c r="K24" s="170"/>
      <c r="L24" s="170"/>
      <c r="M24" s="170"/>
      <c r="N24" s="171"/>
      <c r="O24" s="14"/>
      <c r="P24" s="14"/>
      <c r="Q24" s="3"/>
      <c r="V24" s="192" t="s">
        <v>794</v>
      </c>
      <c r="W24" s="193"/>
    </row>
    <row r="25" spans="1:23" ht="15.75" thickTop="1" x14ac:dyDescent="0.25">
      <c r="A25" s="50"/>
      <c r="B25" s="51"/>
      <c r="C25" s="51"/>
      <c r="D25" s="51"/>
      <c r="E25" s="52"/>
      <c r="F25" s="119" t="s">
        <v>616</v>
      </c>
      <c r="G25" s="120"/>
      <c r="H25" s="4" t="str">
        <f>IFERROR(VLOOKUP(F25,Abilities,4,FALSE),"")</f>
        <v>SOLW</v>
      </c>
      <c r="I25" s="121" t="s">
        <v>962</v>
      </c>
      <c r="J25" s="120"/>
      <c r="K25" s="35" t="str">
        <f>IFERROR(VLOOKUP(I25,Abilities,4,FALSE),"")</f>
        <v>BLANK</v>
      </c>
      <c r="L25" s="122" t="s">
        <v>438</v>
      </c>
      <c r="M25" s="120"/>
      <c r="N25" s="10" t="str">
        <f>IFERROR(VLOOKUP(L25,Abilities,4,FALSE),"")</f>
        <v>LW2</v>
      </c>
      <c r="O25" s="14"/>
      <c r="P25" s="14"/>
      <c r="Q25" s="3"/>
      <c r="V25" s="190" t="s">
        <v>831</v>
      </c>
      <c r="W25" s="191"/>
    </row>
    <row r="26" spans="1:23" x14ac:dyDescent="0.25">
      <c r="A26" s="50"/>
      <c r="B26" s="51"/>
      <c r="C26" s="51"/>
      <c r="D26" s="51"/>
      <c r="E26" s="52"/>
      <c r="F26" s="144" t="str">
        <f>IFERROR(VLOOKUP(F25,Abilities,7,FALSE),"")</f>
        <v>You get an additional &lt;Ability:+Defense/&gt; Defense and &lt;Ability:+Dodge/&gt; Dodge against attacks by the closest visible enemy while not flanked.</v>
      </c>
      <c r="G26" s="130"/>
      <c r="H26" s="131"/>
      <c r="I26" s="129" t="str">
        <f>IFERROR(VLOOKUP(I25,Abilities,7,FALSE),"")</f>
        <v xml:space="preserve"> </v>
      </c>
      <c r="J26" s="130"/>
      <c r="K26" s="131"/>
      <c r="L26" s="130">
        <f>IFERROR(VLOOKUP(L25,Abilities,7,FALSE),"")</f>
        <v>0</v>
      </c>
      <c r="M26" s="130"/>
      <c r="N26" s="135"/>
      <c r="O26" s="14"/>
      <c r="P26" s="14"/>
      <c r="Q26" s="3"/>
      <c r="V26" s="190" t="s">
        <v>797</v>
      </c>
      <c r="W26" s="191"/>
    </row>
    <row r="27" spans="1:23" ht="15.75" thickBot="1" x14ac:dyDescent="0.3">
      <c r="A27" s="50"/>
      <c r="B27" s="51"/>
      <c r="C27" s="51"/>
      <c r="D27" s="51"/>
      <c r="E27" s="52"/>
      <c r="F27" s="167"/>
      <c r="G27" s="147"/>
      <c r="H27" s="148"/>
      <c r="I27" s="146"/>
      <c r="J27" s="147"/>
      <c r="K27" s="148"/>
      <c r="L27" s="147"/>
      <c r="M27" s="147"/>
      <c r="N27" s="168"/>
      <c r="O27" s="14"/>
      <c r="P27" s="14"/>
      <c r="Q27" s="3"/>
      <c r="V27" s="192" t="s">
        <v>798</v>
      </c>
      <c r="W27" s="193"/>
    </row>
    <row r="28" spans="1:23" ht="18" thickBot="1" x14ac:dyDescent="0.35">
      <c r="A28" s="50"/>
      <c r="B28" s="51"/>
      <c r="C28" s="51"/>
      <c r="D28" s="51"/>
      <c r="E28" s="52"/>
      <c r="F28" s="169" t="s">
        <v>445</v>
      </c>
      <c r="G28" s="170"/>
      <c r="H28" s="170"/>
      <c r="I28" s="170"/>
      <c r="J28" s="170"/>
      <c r="K28" s="170"/>
      <c r="L28" s="170"/>
      <c r="M28" s="170"/>
      <c r="N28" s="171"/>
      <c r="O28" s="14"/>
      <c r="P28" s="14"/>
      <c r="Q28" s="3"/>
      <c r="V28" s="190" t="s">
        <v>799</v>
      </c>
      <c r="W28" s="191"/>
    </row>
    <row r="29" spans="1:23" ht="15.75" thickTop="1" x14ac:dyDescent="0.25">
      <c r="A29" s="50"/>
      <c r="B29" s="51"/>
      <c r="C29" s="51"/>
      <c r="D29" s="51"/>
      <c r="E29" s="52"/>
      <c r="F29" s="119" t="s">
        <v>693</v>
      </c>
      <c r="G29" s="120"/>
      <c r="H29" s="4" t="str">
        <f>IFERROR(VLOOKUP(F29,Abilities,4,FALSE),"")</f>
        <v>SOLW</v>
      </c>
      <c r="I29" s="121" t="s">
        <v>962</v>
      </c>
      <c r="J29" s="120"/>
      <c r="K29" s="35" t="str">
        <f>IFERROR(VLOOKUP(I29,Abilities,4,FALSE),"")</f>
        <v>BLANK</v>
      </c>
      <c r="L29" s="122" t="s">
        <v>439</v>
      </c>
      <c r="M29" s="120"/>
      <c r="N29" s="10" t="str">
        <f>IFERROR(VLOOKUP(L29,Abilities,4,FALSE),"")</f>
        <v>LW2</v>
      </c>
      <c r="O29" s="14"/>
      <c r="P29" s="14"/>
      <c r="Q29" s="3"/>
      <c r="V29" s="190" t="s">
        <v>825</v>
      </c>
      <c r="W29" s="191"/>
    </row>
    <row r="30" spans="1:23" x14ac:dyDescent="0.25">
      <c r="A30" s="50"/>
      <c r="B30" s="51"/>
      <c r="C30" s="51"/>
      <c r="D30" s="51"/>
      <c r="E30" s="52"/>
      <c r="F30" s="144" t="str">
        <f>IFERROR(VLOOKUP(F29,Abilities,7,FALSE),"")</f>
        <v>You are immune to multi-target and area attacks.</v>
      </c>
      <c r="G30" s="130"/>
      <c r="H30" s="131"/>
      <c r="I30" s="129" t="str">
        <f>IFERROR(VLOOKUP(I29,Abilities,7,FALSE),"")</f>
        <v xml:space="preserve"> </v>
      </c>
      <c r="J30" s="130"/>
      <c r="K30" s="131"/>
      <c r="L30" s="130">
        <f>IFERROR(VLOOKUP(L29,Abilities,7,FALSE),"")</f>
        <v>0</v>
      </c>
      <c r="M30" s="130"/>
      <c r="N30" s="135"/>
      <c r="O30" s="14"/>
      <c r="P30" s="14"/>
      <c r="Q30" s="3"/>
      <c r="V30" s="190" t="s">
        <v>819</v>
      </c>
      <c r="W30" s="191"/>
    </row>
    <row r="31" spans="1:23" ht="15.75" thickBot="1" x14ac:dyDescent="0.3">
      <c r="A31" s="50"/>
      <c r="B31" s="51"/>
      <c r="C31" s="51"/>
      <c r="D31" s="51"/>
      <c r="E31" s="52"/>
      <c r="F31" s="167"/>
      <c r="G31" s="147"/>
      <c r="H31" s="148"/>
      <c r="I31" s="146"/>
      <c r="J31" s="147"/>
      <c r="K31" s="148"/>
      <c r="L31" s="147"/>
      <c r="M31" s="147"/>
      <c r="N31" s="168"/>
      <c r="O31" s="14"/>
      <c r="P31" s="14"/>
      <c r="Q31" s="3"/>
      <c r="V31" s="192" t="s">
        <v>820</v>
      </c>
      <c r="W31" s="193"/>
    </row>
    <row r="32" spans="1:23" ht="18" thickBot="1" x14ac:dyDescent="0.35">
      <c r="A32" s="50"/>
      <c r="B32" s="51"/>
      <c r="C32" s="51"/>
      <c r="D32" s="51"/>
      <c r="E32" s="52"/>
      <c r="F32" s="169" t="s">
        <v>446</v>
      </c>
      <c r="G32" s="170"/>
      <c r="H32" s="170"/>
      <c r="I32" s="170"/>
      <c r="J32" s="170"/>
      <c r="K32" s="170"/>
      <c r="L32" s="170"/>
      <c r="M32" s="170"/>
      <c r="N32" s="171"/>
      <c r="O32" s="14"/>
      <c r="P32" s="14"/>
      <c r="Q32" s="3"/>
      <c r="V32" s="192" t="s">
        <v>815</v>
      </c>
      <c r="W32" s="193"/>
    </row>
    <row r="33" spans="1:23" ht="15.75" thickTop="1" x14ac:dyDescent="0.25">
      <c r="A33" s="50"/>
      <c r="B33" s="51"/>
      <c r="C33" s="51"/>
      <c r="D33" s="51"/>
      <c r="E33" s="52"/>
      <c r="F33" s="121" t="s">
        <v>962</v>
      </c>
      <c r="G33" s="120"/>
      <c r="H33" s="4" t="str">
        <f>IFERROR(VLOOKUP(F33,Abilities,4,FALSE),"")</f>
        <v>BLANK</v>
      </c>
      <c r="I33" s="121" t="s">
        <v>599</v>
      </c>
      <c r="J33" s="120"/>
      <c r="K33" s="35" t="str">
        <f>IFERROR(VLOOKUP(I33,Abilities,4,FALSE),"")</f>
        <v>SOLW</v>
      </c>
      <c r="L33" s="121" t="s">
        <v>962</v>
      </c>
      <c r="M33" s="120"/>
      <c r="N33" s="10" t="str">
        <f>IFERROR(VLOOKUP(L33,Abilities,4,FALSE),"")</f>
        <v>BLANK</v>
      </c>
      <c r="O33" s="14"/>
      <c r="P33" s="14"/>
      <c r="Q33" s="3"/>
      <c r="V33" s="192" t="s">
        <v>822</v>
      </c>
      <c r="W33" s="193"/>
    </row>
    <row r="34" spans="1:23" x14ac:dyDescent="0.25">
      <c r="A34" s="50"/>
      <c r="B34" s="51"/>
      <c r="C34" s="51"/>
      <c r="D34" s="51"/>
      <c r="E34" s="52"/>
      <c r="F34" s="144" t="str">
        <f>IFERROR(VLOOKUP(F33,Abilities,7,FALSE),"")</f>
        <v xml:space="preserve"> </v>
      </c>
      <c r="G34" s="130"/>
      <c r="H34" s="131"/>
      <c r="I34" s="129" t="str">
        <f>IFERROR(VLOOKUP(I33,Abilities,7,FALSE),"")</f>
        <v>All squad members begin play with an energy shield that will absorb &lt;Ability:Shield/&gt; damage.</v>
      </c>
      <c r="J34" s="130"/>
      <c r="K34" s="131"/>
      <c r="L34" s="130" t="str">
        <f>IFERROR(VLOOKUP(L33,Abilities,7,FALSE),"")</f>
        <v xml:space="preserve"> </v>
      </c>
      <c r="M34" s="130"/>
      <c r="N34" s="135"/>
      <c r="O34" s="14"/>
      <c r="P34" s="14"/>
      <c r="Q34" s="3"/>
      <c r="V34" s="190" t="s">
        <v>816</v>
      </c>
      <c r="W34" s="191"/>
    </row>
    <row r="35" spans="1:23" ht="15.75" thickBot="1" x14ac:dyDescent="0.3">
      <c r="A35" s="50"/>
      <c r="B35" s="51"/>
      <c r="C35" s="51"/>
      <c r="D35" s="51"/>
      <c r="E35" s="52"/>
      <c r="F35" s="167"/>
      <c r="G35" s="147"/>
      <c r="H35" s="148"/>
      <c r="I35" s="146"/>
      <c r="J35" s="147"/>
      <c r="K35" s="148"/>
      <c r="L35" s="147"/>
      <c r="M35" s="147"/>
      <c r="N35" s="168"/>
      <c r="O35" s="14"/>
      <c r="P35" s="14"/>
      <c r="Q35" s="3"/>
      <c r="V35" s="194" t="s">
        <v>476</v>
      </c>
      <c r="W35" s="195"/>
    </row>
    <row r="36" spans="1:23" ht="18" thickBot="1" x14ac:dyDescent="0.35">
      <c r="A36" s="50"/>
      <c r="B36" s="51"/>
      <c r="C36" s="51"/>
      <c r="D36" s="51"/>
      <c r="E36" s="52"/>
      <c r="F36" s="169" t="s">
        <v>447</v>
      </c>
      <c r="G36" s="170"/>
      <c r="H36" s="170"/>
      <c r="I36" s="170"/>
      <c r="J36" s="170"/>
      <c r="K36" s="170"/>
      <c r="L36" s="170"/>
      <c r="M36" s="170"/>
      <c r="N36" s="171"/>
    </row>
    <row r="37" spans="1:23" ht="15.75" thickTop="1" x14ac:dyDescent="0.25">
      <c r="A37" s="50"/>
      <c r="B37" s="51"/>
      <c r="C37" s="51"/>
      <c r="D37" s="51"/>
      <c r="E37" s="52"/>
      <c r="F37" s="119" t="s">
        <v>601</v>
      </c>
      <c r="G37" s="120"/>
      <c r="H37" s="4" t="str">
        <f>IFERROR(VLOOKUP(F37,Abilities,4,FALSE),"")</f>
        <v>SOLW</v>
      </c>
      <c r="I37" s="121" t="s">
        <v>962</v>
      </c>
      <c r="J37" s="120"/>
      <c r="K37" s="35" t="str">
        <f>IFERROR(VLOOKUP(I37,Abilities,4,FALSE),"")</f>
        <v>BLANK</v>
      </c>
      <c r="L37" s="122" t="s">
        <v>113</v>
      </c>
      <c r="M37" s="120"/>
      <c r="N37" s="10" t="str">
        <f>IFERROR(VLOOKUP(L37,Abilities,4,FALSE),"")</f>
        <v>XCOM2</v>
      </c>
    </row>
    <row r="38" spans="1:23" x14ac:dyDescent="0.25">
      <c r="A38" s="50"/>
      <c r="B38" s="51"/>
      <c r="C38" s="51"/>
      <c r="D38" s="51"/>
      <c r="E38" s="52"/>
      <c r="F38" s="144" t="str">
        <f>IFERROR(VLOOKUP(F37,Abilities,7,FALSE),"")</f>
        <v>Puts the Dragoon and all nearby units into stasis for one turn. Units in stasis cannot act and are immune to damage. &lt;Ability:SelfCooldown/&gt; turn cooldown.</v>
      </c>
      <c r="G38" s="130"/>
      <c r="H38" s="131"/>
      <c r="I38" s="129" t="str">
        <f>IFERROR(VLOOKUP(I37,Abilities,7,FALSE),"")</f>
        <v xml:space="preserve"> </v>
      </c>
      <c r="J38" s="130"/>
      <c r="K38" s="131"/>
      <c r="L38" s="130" t="str">
        <f>IFERROR(VLOOKUP(L37,Abilities,7,FALSE),"")</f>
        <v>Using the grenade launcher or a heavy weapon as your first action does not end the turn.</v>
      </c>
      <c r="M38" s="130"/>
      <c r="N38" s="135"/>
    </row>
    <row r="39" spans="1:23" ht="15.75" thickBot="1" x14ac:dyDescent="0.3">
      <c r="A39" s="53"/>
      <c r="B39" s="54"/>
      <c r="C39" s="54"/>
      <c r="D39" s="54"/>
      <c r="E39" s="55"/>
      <c r="F39" s="167"/>
      <c r="G39" s="147"/>
      <c r="H39" s="148"/>
      <c r="I39" s="146"/>
      <c r="J39" s="147"/>
      <c r="K39" s="148"/>
      <c r="L39" s="147"/>
      <c r="M39" s="147"/>
      <c r="N39" s="168"/>
    </row>
    <row r="40" spans="1:23" ht="15" customHeight="1" x14ac:dyDescent="0.25">
      <c r="A40" s="86" t="s">
        <v>1200</v>
      </c>
      <c r="B40" s="86"/>
      <c r="C40" s="88" t="str">
        <f>SUBSTITUTE(C1," ","")</f>
        <v>Dreadnought</v>
      </c>
      <c r="D40" s="88"/>
      <c r="E40" s="88"/>
      <c r="F40" s="238"/>
      <c r="G40" s="238"/>
      <c r="H40" s="237"/>
      <c r="I40" s="237"/>
      <c r="J40" s="237"/>
    </row>
    <row r="41" spans="1:23" ht="15" customHeight="1" thickBot="1" x14ac:dyDescent="0.3">
      <c r="A41" s="87"/>
      <c r="B41" s="87"/>
      <c r="C41" s="89"/>
      <c r="D41" s="89"/>
      <c r="E41" s="89"/>
      <c r="F41" s="239"/>
      <c r="G41" s="239"/>
      <c r="H41" s="237"/>
      <c r="I41" s="237"/>
      <c r="J41" s="237"/>
    </row>
    <row r="42" spans="1:23" ht="16.5" thickBot="1" x14ac:dyDescent="0.3">
      <c r="A42" s="242" t="s">
        <v>339</v>
      </c>
      <c r="B42" s="244"/>
      <c r="C42" s="253" t="s">
        <v>342</v>
      </c>
      <c r="D42" s="247"/>
      <c r="E42" s="251" t="s">
        <v>343</v>
      </c>
      <c r="F42" s="250"/>
      <c r="G42" s="234"/>
      <c r="H42" s="235"/>
      <c r="I42" s="235"/>
      <c r="J42" s="235"/>
    </row>
    <row r="43" spans="1:23" x14ac:dyDescent="0.25">
      <c r="A43" s="243" t="str">
        <f ca="1">"; "&amp;INDIRECT("C1")&amp;" class data"</f>
        <v>; Dreadnought class data</v>
      </c>
      <c r="B43" s="234" t="s">
        <v>340</v>
      </c>
      <c r="C43" s="254" t="str">
        <f ca="1">"; "&amp;INDIRECT("C1")&amp;" class loadout"</f>
        <v>; Dreadnought class loadout</v>
      </c>
      <c r="D43" s="234" t="s">
        <v>340</v>
      </c>
      <c r="E43" s="252" t="str">
        <f ca="1">"["&amp;INDIRECT("C3")&amp;" X2SoldierClassTemplate]"</f>
        <v>[LWD_Dreadnought X2SoldierClassTemplate]</v>
      </c>
      <c r="F43" s="234" t="s">
        <v>340</v>
      </c>
      <c r="G43" s="234"/>
      <c r="H43" s="235"/>
      <c r="I43" s="235"/>
      <c r="J43" s="235"/>
    </row>
    <row r="44" spans="1:23" x14ac:dyDescent="0.25">
      <c r="A44" s="240"/>
      <c r="B44" s="234"/>
      <c r="C44" s="245"/>
      <c r="D44" s="234" t="s">
        <v>340</v>
      </c>
      <c r="E44" s="248" t="str">
        <f ca="1">"+DisplayName="""&amp;INDIRECT("C1")&amp;""""</f>
        <v>+DisplayName="Dreadnought"</v>
      </c>
      <c r="F44" s="234" t="s">
        <v>340</v>
      </c>
      <c r="G44" s="234"/>
      <c r="H44" s="235"/>
      <c r="I44" s="235"/>
      <c r="J44" s="235"/>
    </row>
    <row r="45" spans="1:23" x14ac:dyDescent="0.25">
      <c r="A45" s="240" t="str">
        <f>"[XComGame.X2SoldierClass_DefaultClasses]"</f>
        <v>[XComGame.X2SoldierClass_DefaultClasses]</v>
      </c>
      <c r="B45" s="234" t="s">
        <v>340</v>
      </c>
      <c r="C45" s="245" t="s">
        <v>341</v>
      </c>
      <c r="D45" s="234" t="s">
        <v>340</v>
      </c>
      <c r="E45" s="248" t="str">
        <f ca="1">"+ClassSummary="""&amp;INDIRECT("A20")&amp;""""</f>
        <v>+ClassSummary="The Dreadnought is a human brick wall, who can take everything the enemy can throw at them and then throw it all back. They employ gauntlets for the really tough enemies."</v>
      </c>
      <c r="F45" s="234" t="s">
        <v>340</v>
      </c>
      <c r="G45" s="234"/>
      <c r="H45" s="235"/>
      <c r="I45" s="235"/>
      <c r="J45" s="235"/>
    </row>
    <row r="46" spans="1:23" x14ac:dyDescent="0.25">
      <c r="A46" s="240" t="str">
        <f ca="1">"+SoldierClasses="&amp;INDIRECT("C3")</f>
        <v>+SoldierClasses=LWD_Dreadnought</v>
      </c>
      <c r="B46" s="234" t="s">
        <v>340</v>
      </c>
      <c r="C46" s="245"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+Loadouts=(LoadoutName="SquaddieLWD_Dreadnought", Items[0]=(Item="Cannon_CV"), Items[1]=(Item="LWGauntlet_CV"))</v>
      </c>
      <c r="D46" s="234" t="s">
        <v>340</v>
      </c>
      <c r="E46" s="248" t="str">
        <f ca="1">"+LeftAbilityTreeTitle="""&amp;INDIRECT("F11")&amp;""""</f>
        <v>+LeftAbilityTreeTitle="Immovable"</v>
      </c>
      <c r="F46" s="234" t="s">
        <v>340</v>
      </c>
      <c r="G46" s="234"/>
      <c r="H46" s="235"/>
      <c r="I46" s="234"/>
      <c r="J46" s="234"/>
    </row>
    <row r="47" spans="1:23" x14ac:dyDescent="0.25">
      <c r="A47" s="240"/>
      <c r="B47" s="234" t="s">
        <v>340</v>
      </c>
      <c r="C47" s="245"/>
      <c r="D47" s="234" t="s">
        <v>340</v>
      </c>
      <c r="E47" s="248" t="str">
        <f ca="1">"+RightAbilityTreeTitle="""&amp;INDIRECT("L11")&amp;""""</f>
        <v>+RightAbilityTreeTitle="Unstoppable"</v>
      </c>
      <c r="F47" s="234" t="s">
        <v>340</v>
      </c>
      <c r="G47" s="234"/>
      <c r="H47" s="235"/>
      <c r="I47" s="234"/>
      <c r="J47" s="234"/>
    </row>
    <row r="48" spans="1:23" x14ac:dyDescent="0.25">
      <c r="A48" s="240" t="str">
        <f ca="1">"["&amp;INDIRECT("C3")&amp;" X2SoldierClassTemplate]"</f>
        <v>[LWD_Dreadnought X2SoldierClassTemplate]</v>
      </c>
      <c r="B48" s="234" t="s">
        <v>340</v>
      </c>
      <c r="C48" s="245" t="s">
        <v>351</v>
      </c>
      <c r="D48" s="234" t="s">
        <v>340</v>
      </c>
      <c r="E48" s="248" t="str">
        <f>"; Nicknames"</f>
        <v>; Nicknames</v>
      </c>
      <c r="F48" s="234" t="s">
        <v>340</v>
      </c>
      <c r="G48" s="234"/>
      <c r="H48" s="234"/>
      <c r="I48" s="234"/>
      <c r="J48" s="234"/>
    </row>
    <row r="49" spans="1:10" ht="15.75" thickBot="1" x14ac:dyDescent="0.3">
      <c r="A49" s="240" t="str">
        <f ca="1">"+bMultiplayerOnly="&amp;INDIRECT("E6")</f>
        <v>+bMultiplayerOnly=0</v>
      </c>
      <c r="B49" s="234" t="s">
        <v>340</v>
      </c>
      <c r="C49" s="246" t="str">
        <f ca="1">"+DEBUG_StartingSoldierClasses="""&amp;INDIRECT("C3")&amp;""""</f>
        <v>+DEBUG_StartingSoldierClasses="LWD_Dreadnought"</v>
      </c>
      <c r="D49" s="234" t="s">
        <v>340</v>
      </c>
      <c r="E49" s="248" t="str">
        <f ca="1">IF(INDIRECT("V4")&lt;&gt;"","RandomNickNames[0]="""&amp;INDIRECT("V4")&amp;"""","")</f>
        <v>RandomNickNames[0]="Angel"</v>
      </c>
      <c r="F49" s="234" t="s">
        <v>340</v>
      </c>
      <c r="G49" s="234"/>
      <c r="H49" s="234"/>
      <c r="I49" s="234"/>
      <c r="J49" s="234"/>
    </row>
    <row r="50" spans="1:10" x14ac:dyDescent="0.25">
      <c r="A50" s="240" t="str">
        <f ca="1">"+ClassPoints="&amp;INDIRECT("E7")</f>
        <v>+ClassPoints=4</v>
      </c>
      <c r="B50" s="234" t="s">
        <v>340</v>
      </c>
      <c r="C50" s="234"/>
      <c r="D50" s="234"/>
      <c r="E50" s="248" t="str">
        <f ca="1">IF(INDIRECT("V5")&lt;&gt;"","RandomNickNames[1]="""&amp;INDIRECT("V5")&amp;"""","")</f>
        <v>RandomNickNames[1]="Bargain"</v>
      </c>
      <c r="F50" s="234" t="s">
        <v>340</v>
      </c>
      <c r="G50" s="234"/>
      <c r="H50" s="234"/>
      <c r="I50" s="234"/>
      <c r="J50" s="234"/>
    </row>
    <row r="51" spans="1:10" x14ac:dyDescent="0.25">
      <c r="A51" s="240" t="str">
        <f ca="1">"+IconImage="&amp;""""&amp;INDIRECT("E8")&amp;""""</f>
        <v>+IconImage="img:///UILibrary_LW_PerkPack.Class_Technical"</v>
      </c>
      <c r="B51" s="234" t="s">
        <v>340</v>
      </c>
      <c r="C51" s="234"/>
      <c r="D51" s="234"/>
      <c r="E51" s="248" t="str">
        <f ca="1">IF(INDIRECT("V6")&lt;&gt;"","RandomNickNames[2]="""&amp;INDIRECT("V6")&amp;"""","")</f>
        <v>RandomNickNames[2]="Beta"</v>
      </c>
      <c r="F51" s="234" t="s">
        <v>340</v>
      </c>
      <c r="G51" s="234"/>
      <c r="H51" s="234"/>
      <c r="I51" s="234"/>
      <c r="J51" s="234"/>
    </row>
    <row r="52" spans="1:10" x14ac:dyDescent="0.25">
      <c r="A52" s="240" t="str">
        <f ca="1">"+NumInForcedDeck="&amp;INDIRECT("E9")</f>
        <v>+NumInForcedDeck=1</v>
      </c>
      <c r="B52" s="234" t="s">
        <v>340</v>
      </c>
      <c r="C52" s="234"/>
      <c r="D52" s="234"/>
      <c r="E52" s="248" t="str">
        <f ca="1">IF(INDIRECT("V7")&lt;&gt;"","RandomNickNames[3]="""&amp;INDIRECT("V7")&amp;"""","")</f>
        <v>RandomNickNames[3]="Bishop"</v>
      </c>
      <c r="F52" s="234" t="s">
        <v>340</v>
      </c>
      <c r="G52" s="234"/>
      <c r="H52" s="234"/>
      <c r="I52" s="234"/>
      <c r="J52" s="234"/>
    </row>
    <row r="53" spans="1:10" x14ac:dyDescent="0.25">
      <c r="A53" s="240" t="str">
        <f ca="1">"+NumInDeck="&amp;INDIRECT("E10")</f>
        <v>+NumInDeck=4</v>
      </c>
      <c r="B53" s="234" t="s">
        <v>340</v>
      </c>
      <c r="C53" s="234"/>
      <c r="D53" s="234"/>
      <c r="E53" s="248" t="str">
        <f ca="1">IF(INDIRECT("V8")&lt;&gt;"","RandomNickNames[4]="""&amp;INDIRECT("V8")&amp;"""","")</f>
        <v>RandomNickNames[4]="Bones"</v>
      </c>
      <c r="F53" s="234" t="s">
        <v>340</v>
      </c>
      <c r="G53" s="234"/>
      <c r="H53" s="234"/>
      <c r="I53" s="234"/>
      <c r="J53" s="234"/>
    </row>
    <row r="54" spans="1:10" x14ac:dyDescent="0.25">
      <c r="A54" s="240" t="str">
        <f ca="1">"+KillAssistsPerKill="&amp;INDIRECT("E11")</f>
        <v>+KillAssistsPerKill=4</v>
      </c>
      <c r="B54" s="234" t="s">
        <v>340</v>
      </c>
      <c r="C54" s="234"/>
      <c r="D54" s="234"/>
      <c r="E54" s="248" t="str">
        <f ca="1">IF(INDIRECT("V9")&lt;&gt;"","RandomNickNames[5]="""&amp;INDIRECT("V9")&amp;"""","")</f>
        <v>RandomNickNames[5]="Breaker"</v>
      </c>
      <c r="F54" s="234" t="s">
        <v>340</v>
      </c>
      <c r="G54" s="234"/>
      <c r="H54" s="234"/>
      <c r="I54" s="234"/>
      <c r="J54" s="234"/>
    </row>
    <row r="55" spans="1:10" x14ac:dyDescent="0.25">
      <c r="A55" s="240" t="str">
        <f ca="1">"+SquaddieLoadout=Squaddie"&amp;INDIRECT("C3")</f>
        <v>+SquaddieLoadout=SquaddieLWD_Dreadnought</v>
      </c>
      <c r="B55" s="234" t="s">
        <v>340</v>
      </c>
      <c r="C55" s="234"/>
      <c r="D55" s="234"/>
      <c r="E55" s="248" t="str">
        <f ca="1">IF(INDIRECT("V10")&lt;&gt;"","RandomNickNames[6]="""&amp;INDIRECT("V10")&amp;"""","")</f>
        <v>RandomNickNames[6]="Broker"</v>
      </c>
      <c r="F55" s="234" t="s">
        <v>340</v>
      </c>
      <c r="G55" s="234"/>
      <c r="H55" s="234"/>
      <c r="I55" s="234"/>
      <c r="J55" s="234"/>
    </row>
    <row r="56" spans="1:10" x14ac:dyDescent="0.25">
      <c r="A56" s="240" t="str">
        <f ca="1">";+bAllowAWCAbilities="&amp;INDIRECT("E12")&amp;" ; Not a thing in LW2"</f>
        <v>;+bAllowAWCAbilities=1 ; Not a thing in LW2</v>
      </c>
      <c r="B56" s="234" t="s">
        <v>340</v>
      </c>
      <c r="C56" s="234"/>
      <c r="D56" s="234"/>
      <c r="E56" s="248" t="str">
        <f ca="1">IF(INDIRECT("V11")&lt;&gt;"","RandomNickNames[7]="""&amp;INDIRECT("V11")&amp;"""","")</f>
        <v>RandomNickNames[7]="Conquest"</v>
      </c>
      <c r="F56" s="234" t="s">
        <v>340</v>
      </c>
      <c r="G56" s="234"/>
      <c r="H56" s="234"/>
      <c r="I56" s="234"/>
      <c r="J56" s="234"/>
    </row>
    <row r="57" spans="1:10" x14ac:dyDescent="0.25">
      <c r="A57" s="240" t="str">
        <f ca="1">IF(INDIRECT("B5")=FALSE,";","")&amp;"+AllowedWeapons=(SlotType=eInvSlot_PrimaryWeapon, WeaponType=""rifle"")"</f>
        <v>;+AllowedWeapons=(SlotType=eInvSlot_PrimaryWeapon, WeaponType="rifle")</v>
      </c>
      <c r="B57" s="234" t="s">
        <v>340</v>
      </c>
      <c r="C57" s="234"/>
      <c r="D57" s="234"/>
      <c r="E57" s="248" t="str">
        <f ca="1">IF(INDIRECT("V12")&lt;&gt;"","RandomNickNames[8]="""&amp;INDIRECT("V12")&amp;"""","")</f>
        <v>RandomNickNames[8]="Pride"</v>
      </c>
      <c r="F57" s="234" t="s">
        <v>340</v>
      </c>
      <c r="G57" s="234"/>
      <c r="H57" s="234"/>
      <c r="I57" s="234"/>
      <c r="J57" s="234"/>
    </row>
    <row r="58" spans="1:10" x14ac:dyDescent="0.25">
      <c r="A58" s="240" t="str">
        <f ca="1">IF(INDIRECT("B6")=FALSE,";","")&amp;"+AllowedWeapons=(SlotType=eInvSlot_PrimaryWeapon, WeaponType=""cannon"")"</f>
        <v>+AllowedWeapons=(SlotType=eInvSlot_PrimaryWeapon, WeaponType="cannon")</v>
      </c>
      <c r="B58" s="234" t="s">
        <v>340</v>
      </c>
      <c r="C58" s="234"/>
      <c r="D58" s="234"/>
      <c r="E58" s="248" t="str">
        <f ca="1">IF(INDIRECT("V13")&lt;&gt;"","RandomNickNames[9]="""&amp;INDIRECT("V13")&amp;"""","")</f>
        <v>RandomNickNames[9]="Doomtrain"</v>
      </c>
      <c r="F58" s="234" t="s">
        <v>340</v>
      </c>
      <c r="G58" s="234"/>
      <c r="H58" s="234"/>
      <c r="I58" s="234"/>
      <c r="J58" s="234"/>
    </row>
    <row r="59" spans="1:10" x14ac:dyDescent="0.25">
      <c r="A59" s="240" t="str">
        <f ca="1">IF(INDIRECT("B7")=FALSE,";","")&amp;"+AllowedWeapons=(SlotType=eInvSlot_PrimaryWeapon, WeaponType=""shotgun"")"</f>
        <v>;+AllowedWeapons=(SlotType=eInvSlot_PrimaryWeapon, WeaponType="shotgun")</v>
      </c>
      <c r="B59" s="234" t="s">
        <v>340</v>
      </c>
      <c r="C59" s="234"/>
      <c r="D59" s="234"/>
      <c r="E59" s="248" t="str">
        <f ca="1">IF(INDIRECT("V14")&lt;&gt;"","RandomNickNames[10]="""&amp;INDIRECT("V14")&amp;"""","")</f>
        <v>RandomNickNames[10]="Boomtown"</v>
      </c>
      <c r="F59" s="234" t="s">
        <v>340</v>
      </c>
      <c r="G59" s="234"/>
      <c r="H59" s="234"/>
      <c r="I59" s="234"/>
      <c r="J59" s="234"/>
    </row>
    <row r="60" spans="1:10" x14ac:dyDescent="0.25">
      <c r="A60" s="240" t="str">
        <f ca="1">IF(INDIRECT("B8")=FALSE,";","")&amp;"+AllowedWeapons=(SlotType=eInvSlot_PrimaryWeapon, WeaponType=""sniper_rifle"")"</f>
        <v>;+AllowedWeapons=(SlotType=eInvSlot_PrimaryWeapon, WeaponType="sniper_rifle")</v>
      </c>
      <c r="B60" s="234" t="s">
        <v>340</v>
      </c>
      <c r="C60" s="234"/>
      <c r="D60" s="234"/>
      <c r="E60" s="248" t="str">
        <f ca="1">IF(INDIRECT("V15")&lt;&gt;"","RandomNickNames[11]="""&amp;INDIRECT("V15")&amp;"""","")</f>
        <v>RandomNickNames[11]="Famine"</v>
      </c>
      <c r="F60" s="234" t="s">
        <v>340</v>
      </c>
      <c r="G60" s="234"/>
      <c r="H60" s="234"/>
      <c r="I60" s="234"/>
      <c r="J60" s="234"/>
    </row>
    <row r="61" spans="1:10" x14ac:dyDescent="0.25">
      <c r="A61" s="240" t="str">
        <f ca="1">IF(INDIRECT("B9")=FALSE,";","")&amp;"+AllowedWeapons=(SlotType=eInvSlot_SecondaryWeapon, WeaponType=""gauntlet"")"</f>
        <v>+AllowedWeapons=(SlotType=eInvSlot_SecondaryWeapon, WeaponType="gauntlet")</v>
      </c>
      <c r="B61" s="234" t="s">
        <v>340</v>
      </c>
      <c r="C61" s="234"/>
      <c r="D61" s="234"/>
      <c r="E61" s="248" t="str">
        <f ca="1">IF(INDIRECT("V16")&lt;&gt;"","RandomNickNames[12]="""&amp;INDIRECT("V16")&amp;"""","")</f>
        <v>RandomNickNames[12]="Feedback"</v>
      </c>
      <c r="F61" s="234" t="s">
        <v>340</v>
      </c>
      <c r="G61" s="234"/>
      <c r="H61" s="234"/>
      <c r="I61" s="234"/>
      <c r="J61" s="234"/>
    </row>
    <row r="62" spans="1:10" x14ac:dyDescent="0.25">
      <c r="A62" s="240" t="str">
        <f ca="1">IF(INDIRECT("B10")=FALSE,";","")&amp;"+AllowedWeapons=(SlotType=eInvSlot_SecondaryWeapon, WeaponType=""combatknife"")"</f>
        <v>;+AllowedWeapons=(SlotType=eInvSlot_SecondaryWeapon, WeaponType="combatknife")</v>
      </c>
      <c r="B62" s="234" t="s">
        <v>340</v>
      </c>
      <c r="C62" s="234"/>
      <c r="D62" s="234"/>
      <c r="E62" s="248" t="str">
        <f ca="1">IF(INDIRECT("V17")&lt;&gt;"","RandomNickNames[13]="""&amp;INDIRECT("V17")&amp;"""","")</f>
        <v>RandomNickNames[13]="Firewall"</v>
      </c>
      <c r="F62" s="234" t="s">
        <v>340</v>
      </c>
      <c r="G62" s="234"/>
      <c r="H62" s="234"/>
      <c r="I62" s="234"/>
      <c r="J62" s="234"/>
    </row>
    <row r="63" spans="1:10" x14ac:dyDescent="0.25">
      <c r="A63" s="240" t="str">
        <f ca="1">IF(INDIRECT("B11")=FALSE,";","")&amp;"+AllowedWeapons=(SlotType=eInvSlot_SecondaryWeapon, WeaponType=""grenade_launcher"")"</f>
        <v>;+AllowedWeapons=(SlotType=eInvSlot_SecondaryWeapon, WeaponType="grenade_launcher")</v>
      </c>
      <c r="B63" s="234" t="s">
        <v>340</v>
      </c>
      <c r="C63" s="234"/>
      <c r="D63" s="234"/>
      <c r="E63" s="248" t="str">
        <f ca="1">IF(INDIRECT("V18")&lt;&gt;"","RandomNickNames[14]="""&amp;INDIRECT("V18")&amp;"""","")</f>
        <v>RandomNickNames[14]="Genius"</v>
      </c>
      <c r="F63" s="234" t="s">
        <v>340</v>
      </c>
      <c r="G63" s="234"/>
      <c r="H63" s="234"/>
      <c r="I63" s="234"/>
      <c r="J63" s="234"/>
    </row>
    <row r="64" spans="1:10" x14ac:dyDescent="0.25">
      <c r="A64" s="240" t="str">
        <f ca="1">IF(INDIRECT("B12")=FALSE,";","")&amp;"+AllowedWeapons=(SlotType=eInvSlot_SecondaryWeapon, WeaponType=""gremlin"")"</f>
        <v>;+AllowedWeapons=(SlotType=eInvSlot_SecondaryWeapon, WeaponType="gremlin")</v>
      </c>
      <c r="B64" s="234" t="s">
        <v>340</v>
      </c>
      <c r="C64" s="234"/>
      <c r="D64" s="234"/>
      <c r="E64" s="248" t="str">
        <f ca="1">IF(INDIRECT("V19")&lt;&gt;"","RandomNickNames[15]="""&amp;INDIRECT("V19")&amp;"""","")</f>
        <v>RandomNickNames[15]="Gizmo"</v>
      </c>
      <c r="F64" s="234" t="s">
        <v>340</v>
      </c>
      <c r="G64" s="234"/>
      <c r="H64" s="234"/>
      <c r="I64" s="234"/>
      <c r="J64" s="234"/>
    </row>
    <row r="65" spans="1:10" x14ac:dyDescent="0.25">
      <c r="A65" s="240" t="str">
        <f ca="1">IF(INDIRECT("B13")=FALSE,";","")&amp;"+AllowedWeapons=(SlotType=eInvSlot_SecondaryWeapon, WeaponType=""sword"")"</f>
        <v>;+AllowedWeapons=(SlotType=eInvSlot_SecondaryWeapon, WeaponType="sword")</v>
      </c>
      <c r="B65" s="234" t="s">
        <v>340</v>
      </c>
      <c r="C65" s="234"/>
      <c r="D65" s="234"/>
      <c r="E65" s="248" t="str">
        <f ca="1">IF(INDIRECT("V20")&lt;&gt;"","RandomNickNames[16]="""&amp;INDIRECT("V20")&amp;"""","")</f>
        <v>RandomNickNames[16]="Jester"</v>
      </c>
      <c r="F65" s="234" t="s">
        <v>340</v>
      </c>
      <c r="G65" s="234"/>
      <c r="H65" s="234"/>
      <c r="I65" s="234"/>
      <c r="J65" s="234"/>
    </row>
    <row r="66" spans="1:10" x14ac:dyDescent="0.25">
      <c r="A66" s="240" t="str">
        <f ca="1">IF(INDIRECT("B14")=FALSE,";","")&amp;"+AllowedWeapons=(SlotType=eInvSlot_SecondaryWeapon, WeaponType=""sawedoffshotgun"")"</f>
        <v>;+AllowedWeapons=(SlotType=eInvSlot_SecondaryWeapon, WeaponType="sawedoffshotgun")</v>
      </c>
      <c r="B66" s="234" t="s">
        <v>340</v>
      </c>
      <c r="C66" s="234"/>
      <c r="D66" s="234"/>
      <c r="E66" s="248" t="str">
        <f ca="1">IF(INDIRECT("V21")&lt;&gt;"","RandomNickNames[17]="""&amp;INDIRECT("V21")&amp;"""","")</f>
        <v>RandomNickNames[17]="Juggernaut"</v>
      </c>
      <c r="F66" s="234" t="s">
        <v>340</v>
      </c>
      <c r="G66" s="234"/>
      <c r="H66" s="234"/>
      <c r="I66" s="234"/>
      <c r="J66" s="234"/>
    </row>
    <row r="67" spans="1:10" x14ac:dyDescent="0.25">
      <c r="A67" s="240" t="str">
        <f ca="1">IF(INDIRECT("B15")=FALSE,";","")&amp;"+AllowedWeapons=(SlotType=eInvSlot_SecondaryWeapon, WeaponType=""arcthrower"")"</f>
        <v>;+AllowedWeapons=(SlotType=eInvSlot_SecondaryWeapon, WeaponType="arcthrower")</v>
      </c>
      <c r="B67" s="234" t="s">
        <v>340</v>
      </c>
      <c r="C67" s="234"/>
      <c r="D67" s="234"/>
      <c r="E67" s="248" t="str">
        <f ca="1">IF(INDIRECT("V22")&lt;&gt;"","RandomNickNames[18]="""&amp;INDIRECT("V22")&amp;"""","")</f>
        <v>RandomNickNames[18]="Stonewall"</v>
      </c>
      <c r="F67" s="234" t="s">
        <v>340</v>
      </c>
      <c r="G67" s="234"/>
      <c r="H67" s="234"/>
      <c r="I67" s="234"/>
      <c r="J67" s="234"/>
    </row>
    <row r="68" spans="1:10" x14ac:dyDescent="0.25">
      <c r="A68" s="240" t="str">
        <f ca="1">IF(INDIRECT("B16")=FALSE,";","")&amp;"+AllowedWeapons=(SlotType=eInvSlot_SecondaryWeapon, WeaponType=""holotargeter"")"</f>
        <v>;+AllowedWeapons=(SlotType=eInvSlot_SecondaryWeapon, WeaponType="holotargeter")</v>
      </c>
      <c r="B68" s="234" t="s">
        <v>340</v>
      </c>
      <c r="C68" s="234"/>
      <c r="D68" s="234"/>
      <c r="E68" s="248" t="str">
        <f ca="1">IF(INDIRECT("V23")&lt;&gt;"","RandomNickNames[19]="""&amp;INDIRECT("V23")&amp;"""","")</f>
        <v>RandomNickNames[19]="Mayday"</v>
      </c>
      <c r="F68" s="234" t="s">
        <v>340</v>
      </c>
      <c r="G68" s="234"/>
      <c r="H68" s="234"/>
      <c r="I68" s="234"/>
      <c r="J68" s="234"/>
    </row>
    <row r="69" spans="1:10" x14ac:dyDescent="0.25">
      <c r="A69" s="240" t="str">
        <f ca="1">IF(INDIRECT("B17")=FALSE,";","")&amp;"+AllowedWeapons=(SlotType=eInvSlot_SecondaryWeapon, WeaponType=""psiamp"")"</f>
        <v>;+AllowedWeapons=(SlotType=eInvSlot_SecondaryWeapon, WeaponType="psiamp")</v>
      </c>
      <c r="B69" s="234" t="s">
        <v>340</v>
      </c>
      <c r="C69" s="234"/>
      <c r="D69" s="234"/>
      <c r="E69" s="248" t="str">
        <f ca="1">IF(INDIRECT("V24")&lt;&gt;"","RandomNickNames[20]="""&amp;INDIRECT("V24")&amp;"""","")</f>
        <v>RandomNickNames[20]="Mega"</v>
      </c>
      <c r="F69" s="234" t="s">
        <v>340</v>
      </c>
      <c r="G69" s="234"/>
      <c r="H69" s="234"/>
      <c r="I69" s="234"/>
      <c r="J69" s="234"/>
    </row>
    <row r="70" spans="1:10" x14ac:dyDescent="0.25">
      <c r="A70" s="240" t="str">
        <f ca="1">IF(INDIRECT("B9")=FALSE,";","")&amp;"+AllowedWeapons=(SlotType=eInvSlot_HeavyWeapon, WeaponType=""heavyammo"")"</f>
        <v>+AllowedWeapons=(SlotType=eInvSlot_HeavyWeapon, WeaponType="heavyammo")</v>
      </c>
      <c r="B70" s="234" t="s">
        <v>340</v>
      </c>
      <c r="C70" s="234"/>
      <c r="D70" s="234"/>
      <c r="E70" s="248" t="str">
        <f ca="1">IF(INDIRECT("V25")&lt;&gt;"","RandomNickNames[21]="""&amp;INDIRECT("V25")&amp;"""","")</f>
        <v>RandomNickNames[21]="Brick"</v>
      </c>
      <c r="F70" s="234" t="s">
        <v>340</v>
      </c>
      <c r="G70" s="234"/>
      <c r="H70" s="234"/>
      <c r="I70" s="234"/>
      <c r="J70" s="234"/>
    </row>
    <row r="71" spans="1:10" x14ac:dyDescent="0.25">
      <c r="A71" s="240" t="str">
        <f ca="1">IF(INDIRECT("B9")=TRUE,";","")&amp;"+AllowedWeapons=(SlotType=eInvSlot_HeavyWeapon, WeaponType=""heavy"")"</f>
        <v>;+AllowedWeapons=(SlotType=eInvSlot_HeavyWeapon, WeaponType="heavy")</v>
      </c>
      <c r="B71" s="234" t="s">
        <v>340</v>
      </c>
      <c r="C71" s="234"/>
      <c r="D71" s="234"/>
      <c r="E71" s="248" t="str">
        <f ca="1">IF(INDIRECT("V26")&lt;&gt;"","RandomNickNames[22]="""&amp;INDIRECT("V26")&amp;"""","")</f>
        <v>RandomNickNames[22]="Ragtime"</v>
      </c>
      <c r="F71" s="234" t="s">
        <v>340</v>
      </c>
      <c r="G71" s="234"/>
      <c r="H71" s="234"/>
      <c r="I71" s="234"/>
      <c r="J71" s="234"/>
    </row>
    <row r="72" spans="1:10" x14ac:dyDescent="0.25">
      <c r="A72" s="240" t="str">
        <f ca="1">"+AllowedArmors="&amp;INDIRECT("E13")</f>
        <v>+AllowedArmors=soldier</v>
      </c>
      <c r="B72" s="234" t="s">
        <v>340</v>
      </c>
      <c r="C72" s="234"/>
      <c r="D72" s="234"/>
      <c r="E72" s="248" t="str">
        <f ca="1">IF(INDIRECT("V27")&lt;&gt;"","RandomNickNames[23]="""&amp;INDIRECT("V27")&amp;"""","")</f>
        <v>RandomNickNames[23]="Rascal"</v>
      </c>
      <c r="F72" s="234" t="s">
        <v>340</v>
      </c>
      <c r="G72" s="234"/>
      <c r="H72" s="234"/>
      <c r="I72" s="234"/>
      <c r="J72" s="234"/>
    </row>
    <row r="73" spans="1:10" x14ac:dyDescent="0.25">
      <c r="A73" s="240" t="str">
        <f>"; squaddie"</f>
        <v>; squaddie</v>
      </c>
      <c r="B73" s="234" t="s">
        <v>340</v>
      </c>
      <c r="C73" s="234"/>
      <c r="D73" s="234"/>
      <c r="E73" s="248" t="str">
        <f ca="1">IF(INDIRECT("V28")&lt;&gt;"","RandomNickNames[24]="""&amp;INDIRECT("V28")&amp;"""","")</f>
        <v>RandomNickNames[24]="Rattler"</v>
      </c>
      <c r="F73" s="234" t="s">
        <v>340</v>
      </c>
      <c r="G73" s="234"/>
      <c r="H73" s="234"/>
      <c r="I73" s="234"/>
      <c r="J73" s="234"/>
    </row>
    <row r="74" spans="1:10" x14ac:dyDescent="0.25">
      <c r="A74" s="240" t="str">
        <f ca="1">"+SoldierRanks=(  aAbilityTree=( (AbilityName="""&amp;VLOOKUP(INDIRECT("F4"),Abilities,2,FALSE)&amp;""""&amp;IF(VLOOKUP(INDIRECT("F4"),Abilities,3,FALSE)="","",", ApplyToWeaponSlot=eInvSlot_"&amp;VLOOKUP(INDIRECT("F4"),Abilities,3,FALSE))&amp;"), \\"</f>
        <v>+SoldierRanks=(  aAbilityTree=( (AbilityName="HeavyArmaments", ApplyToWeaponSlot=eInvSlot_Unknown), \\</v>
      </c>
      <c r="B74" s="234" t="s">
        <v>340</v>
      </c>
      <c r="C74" s="234"/>
      <c r="D74" s="234"/>
      <c r="E74" s="248" t="str">
        <f ca="1">IF(INDIRECT("V29")&lt;&gt;"","RandomNickNames[25]="""&amp;INDIRECT("V29")&amp;"""","")</f>
        <v>RandomNickNames[25]="Revelation"</v>
      </c>
      <c r="F74" s="234" t="s">
        <v>340</v>
      </c>
      <c r="G74" s="234"/>
      <c r="H74" s="234"/>
      <c r="I74" s="234"/>
      <c r="J74" s="234"/>
    </row>
    <row r="75" spans="1:10" x14ac:dyDescent="0.25">
      <c r="A75" s="240" t="str">
        <f ca="1">IF(INDIRECT("I4")="","\\","(AbilityName="""&amp;VLOOKUP(INDIRECT("I4"),Abilities,2,FALSE)&amp;""""&amp;IF(VLOOKUP(INDIRECT("I4"),Abilities,3,FALSE)="","",", ApplyToWeaponSlot=eInvSlot_"&amp;VLOOKUP(INDIRECT("I4"),Abilities,3,FALSE))&amp;"), \\")</f>
        <v>\\</v>
      </c>
      <c r="B75" s="234" t="s">
        <v>340</v>
      </c>
      <c r="C75" s="234"/>
      <c r="D75" s="234"/>
      <c r="E75" s="248" t="str">
        <f ca="1">IF(INDIRECT("V30")&lt;&gt;"","RandomNickNames[26]="""&amp;INDIRECT("V30")&amp;"""","")</f>
        <v>RandomNickNames[26]="Skipper"</v>
      </c>
      <c r="F75" s="234" t="s">
        <v>340</v>
      </c>
      <c r="G75" s="234"/>
      <c r="H75" s="234"/>
      <c r="I75" s="234"/>
      <c r="J75" s="234"/>
    </row>
    <row r="76" spans="1:10" x14ac:dyDescent="0.25">
      <c r="A76" s="240" t="str">
        <f ca="1">IF(INDIRECT("L4")="","\\","(AbilityName="""&amp;VLOOKUP(INDIRECT("L4"),Abilities,2,FALSE)&amp;""""&amp;IF(VLOOKUP(INDIRECT("L4"),Abilities,3,FALSE)="","",", ApplyToWeaponSlot=eInvSlot_"&amp;VLOOKUP(INDIRECT("L4"),Abilities,3,FALSE))&amp;"), \\")</f>
        <v>\\</v>
      </c>
      <c r="B76" s="234" t="s">
        <v>340</v>
      </c>
      <c r="C76" s="234"/>
      <c r="D76" s="234"/>
      <c r="E76" s="248" t="str">
        <f ca="1">IF(INDIRECT("V31")&lt;&gt;"","RandomNickNames[27]="""&amp;INDIRECT("V31")&amp;"""","")</f>
        <v>RandomNickNames[27]="Thunder"</v>
      </c>
      <c r="F76" s="234" t="s">
        <v>340</v>
      </c>
      <c r="G76" s="234"/>
      <c r="H76" s="234"/>
      <c r="I76" s="234"/>
      <c r="J76" s="234"/>
    </row>
    <row r="77" spans="1:10" x14ac:dyDescent="0.25">
      <c r="A77" s="240" t="str">
        <f ca="1">IF(INDIRECT("F7")="","\\","(AbilityName="""&amp;VLOOKUP(INDIRECT("F7"),Abilities,2,FALSE)&amp;""""&amp;IF(VLOOKUP(INDIRECT("F7"),Abilities,3,FALSE)="","",", ApplyToWeaponSlot=eInvSlot_"&amp;VLOOKUP(INDIRECT("F7"),Abilities,3,FALSE))&amp;"), \\")</f>
        <v>\\</v>
      </c>
      <c r="B77" s="234" t="s">
        <v>340</v>
      </c>
      <c r="C77" s="234"/>
      <c r="D77" s="234"/>
      <c r="E77" s="248" t="str">
        <f ca="1">IF(INDIRECT("V32")&lt;&gt;"","RandomNickNames[28]="""&amp;INDIRECT("V32")&amp;"""","")</f>
        <v>RandomNickNames[28]="Undertaker"</v>
      </c>
      <c r="F77" s="234" t="s">
        <v>340</v>
      </c>
      <c r="G77" s="234"/>
      <c r="H77" s="234"/>
      <c r="I77" s="234"/>
      <c r="J77" s="234"/>
    </row>
    <row r="78" spans="1:10" x14ac:dyDescent="0.25">
      <c r="A78" s="240" t="str">
        <f ca="1">IF(INDIRECT("I7")="","\\","(AbilityName="""&amp;VLOOKUP(INDIRECT("I7"),Abilities,2,FALSE)&amp;""""&amp;IF(VLOOKUP(INDIRECT("I7"),Abilities,3,FALSE)="","",", ApplyToWeaponSlot=eInvSlot_"&amp;VLOOKUP(INDIRECT("I7"),Abilities,3,FALSE))&amp;"), \\")</f>
        <v>\\</v>
      </c>
      <c r="B78" s="234" t="s">
        <v>340</v>
      </c>
      <c r="C78" s="234"/>
      <c r="D78" s="234"/>
      <c r="E78" s="248" t="str">
        <f ca="1">IF(INDIRECT("V33")&lt;&gt;"","RandomNickNames[29]="""&amp;INDIRECT("V33")&amp;"""","")</f>
        <v>RandomNickNames[29]="War"</v>
      </c>
      <c r="F78" s="234" t="s">
        <v>340</v>
      </c>
      <c r="G78" s="234"/>
      <c r="H78" s="234"/>
      <c r="I78" s="234"/>
      <c r="J78" s="234"/>
    </row>
    <row r="79" spans="1:10" x14ac:dyDescent="0.25">
      <c r="A79" s="240" t="str">
        <f ca="1">IF(INDIRECT("L7")="","\\","(AbilityName="""&amp;VLOOKUP(INDIRECT("L7"),Abilities,2,FALSE)&amp;""""&amp;IF(VLOOKUP(INDIRECT("L7"),Abilities,3,FALSE)="","",", ApplyToWeaponSlot=eInvSlot_"&amp;VLOOKUP(INDIRECT("L7"),Abilities,3,FALSE))&amp;"), \\")</f>
        <v>\\</v>
      </c>
      <c r="B79" s="234" t="s">
        <v>340</v>
      </c>
      <c r="C79" s="234"/>
      <c r="D79" s="234"/>
      <c r="E79" s="248" t="str">
        <f ca="1">IF(INDIRECT("V34")&lt;&gt;"","RandomNickNames[30]="""&amp;INDIRECT("V34")&amp;"""","")</f>
        <v>RandomNickNames[30]="Whoopsie"</v>
      </c>
      <c r="F79" s="234" t="s">
        <v>340</v>
      </c>
      <c r="G79" s="234"/>
      <c r="H79" s="234"/>
      <c r="I79" s="234"/>
      <c r="J79" s="234"/>
    </row>
    <row r="80" spans="1:10" x14ac:dyDescent="0.25">
      <c r="A80" s="240" t="s">
        <v>337</v>
      </c>
      <c r="B80" s="234" t="s">
        <v>340</v>
      </c>
      <c r="C80" s="234"/>
      <c r="D80" s="234"/>
      <c r="E80" s="248" t="str">
        <f ca="1">IF(INDIRECT("V35")&lt;&gt;"","RandomNickNames[31]="""&amp;INDIRECT("V35")&amp;"""","")</f>
        <v>RandomNickNames[31]="Tank"</v>
      </c>
      <c r="F80" s="234" t="s">
        <v>340</v>
      </c>
      <c r="G80" s="234"/>
      <c r="H80" s="234"/>
      <c r="I80" s="234"/>
      <c r="J80" s="234"/>
    </row>
    <row r="81" spans="1:10" x14ac:dyDescent="0.25">
      <c r="A81" s="240"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(StatType=eStat_HP,StatAmount=1), (StatType=eStat_Hacking,StatAmount=0), (StatType=eStat_CombatSims,StatAmount=1), (StatType=eStat_Defense,StatAmount=1), (StatType=eStat_Will,StatAmount=4)),\\</v>
      </c>
      <c r="B81" s="234" t="s">
        <v>340</v>
      </c>
      <c r="C81" s="234"/>
      <c r="D81" s="234"/>
      <c r="E81" s="248" t="str">
        <f>"; Male Nicknames"</f>
        <v>; Male Nicknames</v>
      </c>
      <c r="F81" s="234" t="s">
        <v>340</v>
      </c>
      <c r="G81" s="234"/>
      <c r="H81" s="234"/>
      <c r="I81" s="234"/>
      <c r="J81" s="234"/>
    </row>
    <row r="82" spans="1:10" x14ac:dyDescent="0.25">
      <c r="A82" s="240" t="s">
        <v>338</v>
      </c>
      <c r="B82" s="234" t="s">
        <v>340</v>
      </c>
      <c r="C82" s="234"/>
      <c r="D82" s="234"/>
      <c r="E82" s="248" t="str">
        <f ca="1">IF(INDIRECT("X4")&lt;&gt;"","RandomNickNames_Male[0]="""&amp;INDIRECT("X4")&amp;"""","")</f>
        <v>RandomNickNames_Male[0]="Candyman"</v>
      </c>
      <c r="F82" s="234" t="s">
        <v>340</v>
      </c>
      <c r="G82" s="234"/>
      <c r="H82" s="234"/>
      <c r="I82" s="234"/>
      <c r="J82" s="234"/>
    </row>
    <row r="83" spans="1:10" x14ac:dyDescent="0.25">
      <c r="A83" s="240" t="str">
        <f>"; lance corporal"</f>
        <v>; lance corporal</v>
      </c>
      <c r="B83" s="234" t="s">
        <v>340</v>
      </c>
      <c r="C83" s="234"/>
      <c r="D83" s="234"/>
      <c r="E83" s="248" t="str">
        <f ca="1">IF(INDIRECT("X5")&lt;&gt;"","RandomNickNames_Male[1]="""&amp;INDIRECT("X5")&amp;"""","")</f>
        <v>RandomNickNames_Male[1]="Magic Man"</v>
      </c>
      <c r="F83" s="234" t="s">
        <v>340</v>
      </c>
      <c r="G83" s="234"/>
      <c r="H83" s="234"/>
      <c r="I83" s="234"/>
      <c r="J83" s="234"/>
    </row>
    <row r="84" spans="1:10" x14ac:dyDescent="0.25">
      <c r="A84" s="240" t="str">
        <f ca="1">"+SoldierRanks=(  aAbilityTree=( (AbilityName="""&amp;VLOOKUP(INDIRECT("F13"),Abilities,2,FALSE)&amp;""""&amp;IF(VLOOKUP(INDIRECT("F13"),Abilities,3,FALSE)="","",", ApplyToWeaponSlot=eInvSlot_"&amp;VLOOKUP(INDIRECT("F13"),Abilities,3,FALSE))&amp;"), \\"</f>
        <v>+SoldierRanks=(  aAbilityTree=( (AbilityName="Formidable"), \\</v>
      </c>
      <c r="B84" s="234" t="s">
        <v>340</v>
      </c>
      <c r="C84" s="234"/>
      <c r="D84" s="234"/>
      <c r="E84" s="248" t="str">
        <f ca="1">IF(INDIRECT("X6")&lt;&gt;"","RandomNickNames_Male[2]="""&amp;INDIRECT("X6")&amp;"""","")</f>
        <v>RandomNickNames_Male[2]="Priest"</v>
      </c>
      <c r="F84" s="234" t="s">
        <v>340</v>
      </c>
      <c r="G84" s="234"/>
      <c r="H84" s="234"/>
      <c r="I84" s="234"/>
      <c r="J84" s="234"/>
    </row>
    <row r="85" spans="1:10" x14ac:dyDescent="0.25">
      <c r="A85" s="240" t="str">
        <f ca="1">IF(INDIRECT("I13")="","\\","(AbilityName="""&amp;VLOOKUP(INDIRECT("I13"),Abilities,2,FALSE)&amp;""""&amp;IF(VLOOKUP(INDIRECT("I13"),Abilities,3,FALSE)="","",", ApplyToWeaponSlot=eInvSlot_"&amp;VLOOKUP(INDIRECT("I13"),Abilities,3,FALSE))&amp;"), \\")</f>
        <v>(AbilityName=" "), \\</v>
      </c>
      <c r="B85" s="234" t="s">
        <v>340</v>
      </c>
      <c r="C85" s="234"/>
      <c r="D85" s="234"/>
      <c r="E85" s="248" t="str">
        <f ca="1">IF(INDIRECT("X7")&lt;&gt;"","RandomNickNames_Male[3]="""&amp;INDIRECT("X7")&amp;"""","")</f>
        <v>RandomNickNames_Male[3]="Rainman"</v>
      </c>
      <c r="F85" s="234" t="s">
        <v>340</v>
      </c>
      <c r="G85" s="234"/>
      <c r="H85" s="234"/>
      <c r="I85" s="234"/>
      <c r="J85" s="234"/>
    </row>
    <row r="86" spans="1:10" x14ac:dyDescent="0.25">
      <c r="A86" s="240" t="str">
        <f ca="1">IF(INDIRECT("L13")="","\\","(AbilityName="""&amp;VLOOKUP(INDIRECT("L13"),Abilities,2,FALSE)&amp;""""&amp;IF(VLOOKUP(INDIRECT("L13"),Abilities,3,FALSE)="","",", ApplyToWeaponSlot=eInvSlot_"&amp;VLOOKUP(INDIRECT("L13"),Abilities,3,FALSE))&amp;"), \\")</f>
        <v>(AbilityName="Suppression_LW", ApplyToWeaponSlot=eInvSlot_PrimaryWeapon), \\</v>
      </c>
      <c r="B86" s="234" t="s">
        <v>340</v>
      </c>
      <c r="C86" s="234"/>
      <c r="D86" s="234"/>
      <c r="E86" s="248" t="str">
        <f ca="1">IF(INDIRECT("X8")&lt;&gt;"","RandomNickNames_Male[4]="""&amp;INDIRECT("X8")&amp;"""","")</f>
        <v>RandomNickNames_Male[4]="Rooster"</v>
      </c>
      <c r="F86" s="234" t="s">
        <v>340</v>
      </c>
      <c r="G86" s="234"/>
      <c r="H86" s="234"/>
      <c r="I86" s="234"/>
      <c r="J86" s="234"/>
    </row>
    <row r="87" spans="1:10" x14ac:dyDescent="0.25">
      <c r="A87" s="240" t="s">
        <v>337</v>
      </c>
      <c r="B87" s="234" t="s">
        <v>340</v>
      </c>
      <c r="C87" s="234"/>
      <c r="D87" s="234"/>
      <c r="E87" s="248" t="str">
        <f>"; Female Nicknames"</f>
        <v>; Female Nicknames</v>
      </c>
      <c r="F87" s="234" t="s">
        <v>340</v>
      </c>
      <c r="G87" s="234"/>
      <c r="H87" s="234"/>
      <c r="I87" s="234"/>
      <c r="J87" s="234"/>
    </row>
    <row r="88" spans="1:10" x14ac:dyDescent="0.25">
      <c r="A88" s="240"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(StatType=eStat_HP,StatAmount=0), (StatType=eStat_Hacking,StatAmount=0), (StatType=eStat_Defense,StatAmount=1), (StatType=eStat_Will,StatAmount=4)),\\</v>
      </c>
      <c r="B88" s="234" t="s">
        <v>340</v>
      </c>
      <c r="C88" s="234"/>
      <c r="D88" s="234"/>
      <c r="E88" s="248" t="str">
        <f ca="1">IF(INDIRECT("X10")&lt;&gt;"","RandomNickNames_Female[0]="""&amp;INDIRECT("X10")&amp;"""","")</f>
        <v>RandomNickNames_Female[0]="Priestess"</v>
      </c>
      <c r="F88" s="234" t="s">
        <v>340</v>
      </c>
      <c r="G88" s="234"/>
      <c r="H88" s="234"/>
      <c r="I88" s="234"/>
      <c r="J88" s="234"/>
    </row>
    <row r="89" spans="1:10" x14ac:dyDescent="0.25">
      <c r="A89" s="240" t="s">
        <v>338</v>
      </c>
      <c r="B89" s="234" t="s">
        <v>340</v>
      </c>
      <c r="C89" s="234"/>
      <c r="D89" s="234"/>
      <c r="E89" s="248" t="str">
        <f ca="1">IF(INDIRECT("X11")&lt;&gt;"","RandomNickNames_Female[1]="""&amp;INDIRECT("X11")&amp;"""","")</f>
        <v>RandomNickNames_Female[1]="Wolfmother"</v>
      </c>
      <c r="F89" s="234" t="s">
        <v>340</v>
      </c>
      <c r="G89" s="234"/>
      <c r="H89" s="234"/>
      <c r="I89" s="234"/>
      <c r="J89" s="234"/>
    </row>
    <row r="90" spans="1:10" x14ac:dyDescent="0.25">
      <c r="A90" s="240" t="str">
        <f>"; corporal"</f>
        <v>; corporal</v>
      </c>
      <c r="B90" s="234" t="s">
        <v>340</v>
      </c>
      <c r="C90" s="234"/>
      <c r="D90" s="234"/>
      <c r="E90" s="248" t="str">
        <f ca="1">IF(INDIRECT("X12")&lt;&gt;"","RandomNickNames_Female[2]="""&amp;INDIRECT("X12")&amp;"""","")</f>
        <v>RandomNickNames_Female[2]="Black Widow"</v>
      </c>
      <c r="F90" s="234" t="s">
        <v>340</v>
      </c>
      <c r="G90" s="234"/>
      <c r="H90" s="234"/>
      <c r="I90" s="234"/>
      <c r="J90" s="234"/>
    </row>
    <row r="91" spans="1:10" x14ac:dyDescent="0.25">
      <c r="A91" s="240" t="str">
        <f ca="1">"+SoldierRanks=(  aAbilityTree=( (AbilityName="""&amp;VLOOKUP(INDIRECT("F17"),Abilities,2,FALSE)&amp;""""&amp;IF(VLOOKUP(INDIRECT("F17"),Abilities,3,FALSE)="","",", ApplyToWeaponSlot=eInvSlot_"&amp;VLOOKUP(INDIRECT("F17"),Abilities,3,FALSE))&amp;"), \\"</f>
        <v>+SoldierRanks=(  aAbilityTree=( (AbilityName=" "), \\</v>
      </c>
      <c r="B91" s="234" t="s">
        <v>340</v>
      </c>
      <c r="C91" s="234"/>
      <c r="D91" s="234"/>
      <c r="E91" s="248" t="str">
        <f ca="1">IF(INDIRECT("X13")&lt;&gt;"","RandomNickNames_Female[3]="""&amp;INDIRECT("X13")&amp;"""","")</f>
        <v>RandomNickNames_Female[3]="Duchess"</v>
      </c>
      <c r="F91" s="234" t="s">
        <v>340</v>
      </c>
      <c r="G91" s="234"/>
      <c r="H91" s="234"/>
      <c r="I91" s="234"/>
      <c r="J91" s="234"/>
    </row>
    <row r="92" spans="1:10" ht="15.75" thickBot="1" x14ac:dyDescent="0.3">
      <c r="A92" s="240" t="str">
        <f ca="1">IF(INDIRECT("I17")="","\\","(AbilityName="""&amp;VLOOKUP(INDIRECT("I17"),Abilities,2,FALSE)&amp;""""&amp;IF(VLOOKUP(INDIRECT("I17"),Abilities,3,FALSE)="","",", ApplyToWeaponSlot=eInvSlot_"&amp;VLOOKUP(INDIRECT("I17"),Abilities,3,FALSE))&amp;"), \\")</f>
        <v>(AbilityName="ShadowOps_IronWill"), \\</v>
      </c>
      <c r="B92" s="234" t="s">
        <v>340</v>
      </c>
      <c r="C92" s="234"/>
      <c r="D92" s="234"/>
      <c r="E92" s="249" t="str">
        <f ca="1">IF(INDIRECT("X14")&lt;&gt;"","RandomNickNames_Female[4]="""&amp;INDIRECT("X14")&amp;"""","")</f>
        <v>RandomNickNames_Female[4]="Queen"</v>
      </c>
      <c r="F92" s="234" t="s">
        <v>340</v>
      </c>
      <c r="G92" s="234"/>
      <c r="H92" s="234"/>
      <c r="I92" s="234"/>
      <c r="J92" s="234"/>
    </row>
    <row r="93" spans="1:10" x14ac:dyDescent="0.25">
      <c r="A93" s="240" t="str">
        <f ca="1">IF(INDIRECT("L17")="","\\","(AbilityName="""&amp;VLOOKUP(INDIRECT("L17"),Abilities,2,FALSE)&amp;""""&amp;IF(VLOOKUP(INDIRECT("L17"),Abilities,3,FALSE)="","",", ApplyToWeaponSlot=eInvSlot_"&amp;VLOOKUP(INDIRECT("L17"),Abilities,3,FALSE))&amp;"), \\")</f>
        <v>(AbilityName=" "), \\</v>
      </c>
      <c r="B93" s="234" t="s">
        <v>340</v>
      </c>
      <c r="C93" s="234"/>
      <c r="D93" s="234"/>
      <c r="E93" s="234"/>
      <c r="F93" s="234"/>
      <c r="G93" s="234"/>
      <c r="H93" s="234"/>
      <c r="I93" s="234"/>
      <c r="J93" s="234"/>
    </row>
    <row r="94" spans="1:10" x14ac:dyDescent="0.25">
      <c r="A94" s="240" t="s">
        <v>337</v>
      </c>
      <c r="B94" s="234" t="s">
        <v>340</v>
      </c>
      <c r="C94" s="234"/>
      <c r="D94" s="234"/>
      <c r="E94" s="234"/>
      <c r="F94" s="234"/>
      <c r="G94" s="234"/>
      <c r="H94" s="234"/>
      <c r="I94" s="234"/>
      <c r="J94" s="234"/>
    </row>
    <row r="95" spans="1:10" x14ac:dyDescent="0.25">
      <c r="A95" s="240"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(StatType=eStat_HP,StatAmount=1), (StatType=eStat_Hacking,StatAmount=0), (StatType=eStat_Defense,StatAmount=1)),\\</v>
      </c>
      <c r="B95" s="234" t="s">
        <v>340</v>
      </c>
      <c r="C95" s="234"/>
      <c r="D95" s="234"/>
      <c r="E95" s="234"/>
      <c r="F95" s="234"/>
      <c r="G95" s="234"/>
      <c r="H95" s="234"/>
      <c r="I95" s="234"/>
      <c r="J95" s="234"/>
    </row>
    <row r="96" spans="1:10" x14ac:dyDescent="0.25">
      <c r="A96" s="240" t="s">
        <v>338</v>
      </c>
      <c r="B96" s="234" t="s">
        <v>340</v>
      </c>
      <c r="C96" s="234"/>
      <c r="D96" s="234"/>
      <c r="E96" s="234"/>
      <c r="F96" s="234"/>
      <c r="G96" s="234"/>
      <c r="H96" s="234"/>
      <c r="I96" s="234"/>
      <c r="J96" s="234"/>
    </row>
    <row r="97" spans="1:10" x14ac:dyDescent="0.25">
      <c r="A97" s="240" t="str">
        <f>"; sergeant"</f>
        <v>; sergeant</v>
      </c>
      <c r="B97" s="234" t="s">
        <v>340</v>
      </c>
      <c r="C97" s="234"/>
      <c r="D97" s="234"/>
      <c r="E97" s="234"/>
      <c r="F97" s="234"/>
      <c r="G97" s="234"/>
      <c r="H97" s="234"/>
      <c r="I97" s="234"/>
      <c r="J97" s="234"/>
    </row>
    <row r="98" spans="1:10" x14ac:dyDescent="0.25">
      <c r="A98" s="240" t="str">
        <f ca="1">"+SoldierRanks=(  aAbilityTree=( (AbilityName="""&amp;VLOOKUP(INDIRECT("F21"),Abilities,2,FALSE)&amp;""""&amp;IF(VLOOKUP(INDIRECT("F21"),Abilities,3,FALSE)="","",", ApplyToWeaponSlot=eInvSlot_"&amp;VLOOKUP(INDIRECT("F21"),Abilities,3,FALSE))&amp;"), \\"</f>
        <v>+SoldierRanks=(  aAbilityTree=( (AbilityName="ShadowOps_HeavyArmor"), \\</v>
      </c>
      <c r="B98" s="234" t="s">
        <v>340</v>
      </c>
      <c r="C98" s="234"/>
      <c r="D98" s="234"/>
      <c r="E98" s="234"/>
      <c r="F98" s="234"/>
      <c r="G98" s="234"/>
      <c r="H98" s="234"/>
      <c r="I98" s="234"/>
      <c r="J98" s="234"/>
    </row>
    <row r="99" spans="1:10" x14ac:dyDescent="0.25">
      <c r="A99" s="240" t="str">
        <f ca="1">IF(INDIRECT("I21")="","\\","(AbilityName="""&amp;VLOOKUP(INDIRECT("I21"),Abilities,2,FALSE)&amp;""""&amp;IF(VLOOKUP(INDIRECT("I21"),Abilities,3,FALSE)="","",", ApplyToWeaponSlot=eInvSlot_"&amp;VLOOKUP(INDIRECT("I21"),Abilities,3,FALSE))&amp;"), \\")</f>
        <v>(AbilityName=" "), \\</v>
      </c>
      <c r="B99" s="234" t="s">
        <v>340</v>
      </c>
      <c r="C99" s="234"/>
      <c r="D99" s="234"/>
      <c r="E99" s="234"/>
      <c r="F99" s="234"/>
      <c r="G99" s="234"/>
      <c r="H99" s="234"/>
      <c r="I99" s="234"/>
      <c r="J99" s="234"/>
    </row>
    <row r="100" spans="1:10" x14ac:dyDescent="0.25">
      <c r="A100" s="240" t="str">
        <f ca="1">IF(INDIRECT("L21")="","\\","(AbilityName="""&amp;VLOOKUP(INDIRECT("L21"),Abilities,2,FALSE)&amp;""""&amp;IF(VLOOKUP(INDIRECT("L21"),Abilities,3,FALSE)="","",", ApplyToWeaponSlot=eInvSlot_"&amp;VLOOKUP(INDIRECT("L21"),Abilities,3,FALSE))&amp;"), \\")</f>
        <v>(AbilityName="Shredder", ApplyToWeaponSlot=eInvSlot_PrimaryWeapon), \\</v>
      </c>
      <c r="B100" s="234" t="s">
        <v>340</v>
      </c>
      <c r="C100" s="234"/>
      <c r="D100" s="234"/>
      <c r="E100" s="234"/>
      <c r="F100" s="234"/>
      <c r="G100" s="234"/>
      <c r="H100" s="234"/>
      <c r="I100" s="234"/>
      <c r="J100" s="234"/>
    </row>
    <row r="101" spans="1:10" x14ac:dyDescent="0.25">
      <c r="A101" s="240" t="s">
        <v>337</v>
      </c>
      <c r="B101" s="234" t="s">
        <v>340</v>
      </c>
      <c r="C101" s="234"/>
      <c r="D101" s="234"/>
      <c r="E101" s="234"/>
      <c r="F101" s="234"/>
      <c r="G101" s="234"/>
      <c r="H101" s="234"/>
      <c r="I101" s="234"/>
      <c r="J101" s="234"/>
    </row>
    <row r="102" spans="1:10" x14ac:dyDescent="0.25">
      <c r="A102" s="240"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234" t="s">
        <v>340</v>
      </c>
      <c r="C102" s="234"/>
      <c r="D102" s="234"/>
      <c r="E102" s="234"/>
      <c r="F102" s="234"/>
      <c r="G102" s="234"/>
      <c r="H102" s="234"/>
      <c r="I102" s="234"/>
      <c r="J102" s="234"/>
    </row>
    <row r="103" spans="1:10" x14ac:dyDescent="0.25">
      <c r="A103" s="240" t="s">
        <v>338</v>
      </c>
      <c r="B103" s="234" t="s">
        <v>340</v>
      </c>
      <c r="C103" s="234"/>
      <c r="D103" s="234"/>
      <c r="E103" s="234"/>
      <c r="F103" s="234"/>
      <c r="G103" s="234"/>
      <c r="H103" s="234"/>
      <c r="I103" s="234"/>
      <c r="J103" s="234"/>
    </row>
    <row r="104" spans="1:10" x14ac:dyDescent="0.25">
      <c r="A104" s="240" t="str">
        <f>"; staff sergeant"</f>
        <v>; staff sergeant</v>
      </c>
      <c r="B104" s="234" t="s">
        <v>340</v>
      </c>
      <c r="C104" s="234"/>
      <c r="D104" s="234"/>
      <c r="E104" s="234"/>
      <c r="F104" s="234"/>
      <c r="G104" s="234"/>
      <c r="H104" s="234"/>
      <c r="I104" s="234"/>
      <c r="J104" s="234"/>
    </row>
    <row r="105" spans="1:10" x14ac:dyDescent="0.25">
      <c r="A105" s="240" t="str">
        <f ca="1">"+SoldierRanks=(  aAbilityTree=( (AbilityName="""&amp;VLOOKUP(INDIRECT("F25"),Abilities,2,FALSE)&amp;""""&amp;IF(VLOOKUP(INDIRECT("F25"),Abilities,3,FALSE)="","",", ApplyToWeaponSlot=eInvSlot_"&amp;VLOOKUP(INDIRECT("F25"),Abilities,3,FALSE))&amp;"), \\"</f>
        <v>+SoldierRanks=(  aAbilityTree=( (AbilityName="ShadowOps_FocusedDefense"), \\</v>
      </c>
      <c r="B105" s="234" t="s">
        <v>340</v>
      </c>
      <c r="C105" s="234"/>
      <c r="D105" s="234"/>
      <c r="E105" s="234"/>
      <c r="F105" s="234"/>
      <c r="G105" s="234"/>
      <c r="H105" s="234"/>
      <c r="I105" s="234"/>
      <c r="J105" s="234"/>
    </row>
    <row r="106" spans="1:10" x14ac:dyDescent="0.25">
      <c r="A106" s="240" t="str">
        <f ca="1">IF(INDIRECT("I25")="","\\","(AbilityName="""&amp;VLOOKUP(INDIRECT("I25"),Abilities,2,FALSE)&amp;""""&amp;IF(VLOOKUP(INDIRECT("I25"),Abilities,3,FALSE)="","",", ApplyToWeaponSlot=eInvSlot_"&amp;VLOOKUP(INDIRECT("I25"),Abilities,3,FALSE))&amp;"), \\")</f>
        <v>(AbilityName=" "), \\</v>
      </c>
      <c r="B106" s="234" t="s">
        <v>340</v>
      </c>
      <c r="C106" s="234"/>
      <c r="D106" s="234"/>
      <c r="E106" s="234"/>
      <c r="F106" s="234"/>
      <c r="G106" s="234"/>
      <c r="H106" s="234"/>
      <c r="I106" s="234"/>
      <c r="J106" s="234"/>
    </row>
    <row r="107" spans="1:10" x14ac:dyDescent="0.25">
      <c r="A107" s="240" t="str">
        <f ca="1">IF(INDIRECT("L25")="","\\","(AbilityName="""&amp;VLOOKUP(INDIRECT("L25"),Abilities,2,FALSE)&amp;""""&amp;IF(VLOOKUP(INDIRECT("L25"),Abilities,3,FALSE)="","",", ApplyToWeaponSlot=eInvSlot_"&amp;VLOOKUP(INDIRECT("L25"),Abilities,3,FALSE))&amp;"), \\")</f>
        <v>(AbilityName="PhosphorusPassive", ApplyToWeaponSlot=eInvSlot_SecondaryWeapon), \\</v>
      </c>
      <c r="B107" s="234" t="s">
        <v>340</v>
      </c>
      <c r="C107" s="234"/>
      <c r="D107" s="234"/>
      <c r="E107" s="234"/>
      <c r="F107" s="234"/>
      <c r="G107" s="234"/>
      <c r="H107" s="234"/>
      <c r="I107" s="234"/>
      <c r="J107" s="234"/>
    </row>
    <row r="108" spans="1:10" x14ac:dyDescent="0.25">
      <c r="A108" s="240" t="s">
        <v>337</v>
      </c>
      <c r="B108" s="234" t="s">
        <v>340</v>
      </c>
      <c r="C108" s="234"/>
      <c r="D108" s="234"/>
      <c r="E108" s="234"/>
      <c r="F108" s="234"/>
      <c r="G108" s="234"/>
      <c r="H108" s="234"/>
      <c r="I108" s="234"/>
      <c r="J108" s="234"/>
    </row>
    <row r="109" spans="1:10" x14ac:dyDescent="0.25">
      <c r="A109" s="240"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(StatType=eStat_Hacking,StatAmount=0), (StatType=eStat_Defense,StatAmount=1)),\\</v>
      </c>
      <c r="B109" s="234" t="s">
        <v>340</v>
      </c>
      <c r="C109" s="234"/>
      <c r="D109" s="234"/>
      <c r="E109" s="234"/>
      <c r="F109" s="234"/>
      <c r="G109" s="234"/>
      <c r="H109" s="234"/>
      <c r="I109" s="234"/>
      <c r="J109" s="234"/>
    </row>
    <row r="110" spans="1:10" x14ac:dyDescent="0.25">
      <c r="A110" s="240" t="s">
        <v>338</v>
      </c>
      <c r="B110" s="234" t="s">
        <v>340</v>
      </c>
      <c r="C110" s="234"/>
      <c r="D110" s="234"/>
      <c r="E110" s="234"/>
      <c r="F110" s="234"/>
      <c r="G110" s="234"/>
      <c r="H110" s="234"/>
      <c r="I110" s="234"/>
      <c r="J110" s="234"/>
    </row>
    <row r="111" spans="1:10" x14ac:dyDescent="0.25">
      <c r="A111" s="240" t="str">
        <f>"; tech sergeant"</f>
        <v>; tech sergeant</v>
      </c>
      <c r="B111" s="234" t="s">
        <v>340</v>
      </c>
      <c r="C111" s="234"/>
      <c r="D111" s="234"/>
      <c r="E111" s="234"/>
      <c r="F111" s="234"/>
      <c r="G111" s="234"/>
      <c r="H111" s="234"/>
      <c r="I111" s="234"/>
      <c r="J111" s="234"/>
    </row>
    <row r="112" spans="1:10" x14ac:dyDescent="0.25">
      <c r="A112" s="240" t="str">
        <f ca="1">"+SoldierRanks=(  aAbilityTree=( (AbilityName="""&amp;VLOOKUP(INDIRECT("F29"),Abilities,2,FALSE)&amp;""""&amp;IF(VLOOKUP(INDIRECT("F29"),Abilities,3,FALSE)="","",", ApplyToWeaponSlot=eInvSlot_"&amp;VLOOKUP(INDIRECT("F29"),Abilities,3,FALSE))&amp;"), \\"</f>
        <v>+SoldierRanks=(  aAbilityTree=( (AbilityName="ShadowOps_Evasive"), \\</v>
      </c>
      <c r="B112" s="234" t="s">
        <v>340</v>
      </c>
      <c r="C112" s="234"/>
      <c r="D112" s="234"/>
      <c r="E112" s="234"/>
      <c r="F112" s="234"/>
      <c r="G112" s="234"/>
      <c r="H112" s="234"/>
      <c r="I112" s="234"/>
      <c r="J112" s="234"/>
    </row>
    <row r="113" spans="1:10" x14ac:dyDescent="0.25">
      <c r="A113" s="240" t="str">
        <f ca="1">IF(INDIRECT("I29")="","\\","(AbilityName="""&amp;VLOOKUP(INDIRECT("I29"),Abilities,2,FALSE)&amp;""""&amp;IF(VLOOKUP(INDIRECT("I29"),Abilities,3,FALSE)="","",", ApplyToWeaponSlot=eInvSlot_"&amp;VLOOKUP(INDIRECT("I29"),Abilities,3,FALSE))&amp;"), \\")</f>
        <v>(AbilityName=" "), \\</v>
      </c>
      <c r="B113" s="234" t="s">
        <v>340</v>
      </c>
      <c r="C113" s="234"/>
      <c r="D113" s="234"/>
      <c r="E113" s="234"/>
      <c r="F113" s="234"/>
      <c r="G113" s="234"/>
      <c r="H113" s="234"/>
      <c r="I113" s="234"/>
      <c r="J113" s="234"/>
    </row>
    <row r="114" spans="1:10" x14ac:dyDescent="0.25">
      <c r="A114" s="240" t="str">
        <f ca="1">IF(INDIRECT("L29")="","\\","(AbilityName="""&amp;VLOOKUP(INDIRECT("L29"),Abilities,2,FALSE)&amp;""""&amp;IF(VLOOKUP(INDIRECT("L29"),Abilities,3,FALSE)="","",", ApplyToWeaponSlot=eInvSlot_"&amp;VLOOKUP(INDIRECT("L29"),Abilities,3,FALSE))&amp;"), \\")</f>
        <v>(AbilityName="FireandSteel", ApplyToWeaponSlot=eInvSlot_SecondaryWeapon), \\</v>
      </c>
      <c r="B114" s="234" t="s">
        <v>340</v>
      </c>
      <c r="C114" s="234"/>
      <c r="D114" s="234"/>
      <c r="E114" s="234"/>
      <c r="F114" s="234"/>
      <c r="G114" s="234"/>
      <c r="H114" s="234"/>
      <c r="I114" s="234"/>
      <c r="J114" s="234"/>
    </row>
    <row r="115" spans="1:10" x14ac:dyDescent="0.25">
      <c r="A115" s="240" t="s">
        <v>337</v>
      </c>
      <c r="B115" s="234" t="s">
        <v>340</v>
      </c>
      <c r="C115" s="234"/>
      <c r="D115" s="234"/>
      <c r="E115" s="234"/>
      <c r="F115" s="234"/>
      <c r="G115" s="234"/>
      <c r="H115" s="234"/>
      <c r="I115" s="234"/>
      <c r="J115" s="234"/>
    </row>
    <row r="116" spans="1:10" x14ac:dyDescent="0.25">
      <c r="A116" s="240"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234" t="s">
        <v>340</v>
      </c>
      <c r="C116" s="234"/>
      <c r="D116" s="234"/>
      <c r="E116" s="234"/>
      <c r="F116" s="234"/>
      <c r="G116" s="234"/>
      <c r="H116" s="234"/>
      <c r="I116" s="234"/>
      <c r="J116" s="234"/>
    </row>
    <row r="117" spans="1:10" x14ac:dyDescent="0.25">
      <c r="A117" s="240" t="s">
        <v>338</v>
      </c>
      <c r="B117" s="234" t="s">
        <v>340</v>
      </c>
      <c r="C117" s="234"/>
      <c r="D117" s="234"/>
      <c r="E117" s="234"/>
      <c r="F117" s="234"/>
      <c r="G117" s="234"/>
      <c r="H117" s="234"/>
      <c r="I117" s="234"/>
      <c r="J117" s="234"/>
    </row>
    <row r="118" spans="1:10" x14ac:dyDescent="0.25">
      <c r="A118" s="240" t="str">
        <f>";  gunnery sergeant"</f>
        <v>;  gunnery sergeant</v>
      </c>
      <c r="B118" s="234" t="s">
        <v>340</v>
      </c>
      <c r="C118" s="234"/>
      <c r="D118" s="234"/>
      <c r="E118" s="234"/>
      <c r="F118" s="234"/>
      <c r="G118" s="234"/>
      <c r="H118" s="234"/>
      <c r="I118" s="234"/>
      <c r="J118" s="234"/>
    </row>
    <row r="119" spans="1:10" x14ac:dyDescent="0.25">
      <c r="A119" s="240" t="str">
        <f ca="1">"+SoldierRanks=(  aAbilityTree=( (AbilityName="""&amp;VLOOKUP(INDIRECT("F33"),Abilities,2,FALSE)&amp;""""&amp;IF(VLOOKUP(INDIRECT("F33"),Abilities,3,FALSE)="","",", ApplyToWeaponSlot=eInvSlot_"&amp;VLOOKUP(INDIRECT("F33"),Abilities,3,FALSE))&amp;"), \\"</f>
        <v>+SoldierRanks=(  aAbilityTree=( (AbilityName=" "), \\</v>
      </c>
      <c r="B119" s="234" t="s">
        <v>340</v>
      </c>
      <c r="C119" s="234"/>
      <c r="D119" s="234"/>
      <c r="E119" s="234"/>
      <c r="F119" s="234"/>
      <c r="G119" s="234"/>
      <c r="H119" s="234"/>
      <c r="I119" s="234"/>
      <c r="J119" s="234"/>
    </row>
    <row r="120" spans="1:10" x14ac:dyDescent="0.25">
      <c r="A120" s="240" t="str">
        <f ca="1">IF(INDIRECT("I33")="","\\","(AbilityName="""&amp;VLOOKUP(INDIRECT("I33"),Abilities,2,FALSE)&amp;""""&amp;IF(VLOOKUP(INDIRECT("I33"),Abilities,3,FALSE)="","",", ApplyToWeaponSlot=eInvSlot_"&amp;VLOOKUP(INDIRECT("I33"),Abilities,3,FALSE))&amp;"), \\")</f>
        <v>(AbilityName="ShadowOps_ShieldsUp", ApplyToWeaponSlot=eInvSlot_SecondaryWeapon), \\</v>
      </c>
      <c r="B120" s="234" t="s">
        <v>340</v>
      </c>
      <c r="C120" s="234"/>
      <c r="D120" s="234"/>
      <c r="E120" s="234"/>
      <c r="F120" s="234"/>
      <c r="G120" s="234"/>
      <c r="H120" s="234"/>
      <c r="I120" s="234"/>
      <c r="J120" s="234"/>
    </row>
    <row r="121" spans="1:10" x14ac:dyDescent="0.25">
      <c r="A121" s="240" t="str">
        <f ca="1">IF(INDIRECT("L33")="","\\","(AbilityName="""&amp;VLOOKUP(INDIRECT("L33"),Abilities,2,FALSE)&amp;""""&amp;IF(VLOOKUP(INDIRECT("L33"),Abilities,3,FALSE)="","",", ApplyToWeaponSlot=eInvSlot_"&amp;VLOOKUP(INDIRECT("L33"),Abilities,3,FALSE))&amp;"), \\")</f>
        <v>(AbilityName=" "), \\</v>
      </c>
      <c r="B121" s="234" t="s">
        <v>340</v>
      </c>
      <c r="C121" s="234"/>
      <c r="D121" s="234"/>
      <c r="E121" s="234"/>
      <c r="F121" s="234"/>
      <c r="G121" s="234"/>
      <c r="H121" s="234"/>
      <c r="I121" s="234"/>
      <c r="J121" s="234"/>
    </row>
    <row r="122" spans="1:10" x14ac:dyDescent="0.25">
      <c r="A122" s="240" t="s">
        <v>337</v>
      </c>
      <c r="B122" s="234" t="s">
        <v>340</v>
      </c>
      <c r="C122" s="234"/>
      <c r="D122" s="234"/>
      <c r="E122" s="234"/>
      <c r="F122" s="234"/>
      <c r="G122" s="234"/>
      <c r="H122" s="234"/>
      <c r="I122" s="234"/>
      <c r="J122" s="234"/>
    </row>
    <row r="123" spans="1:10" x14ac:dyDescent="0.25">
      <c r="A123" s="240"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(StatType=eStat_HP,StatAmount=1), (StatType=eStat_Hacking,StatAmount=0), (StatType=eStat_Defense,StatAmount=1)),\\</v>
      </c>
      <c r="B123" s="234" t="s">
        <v>340</v>
      </c>
      <c r="C123" s="234"/>
      <c r="D123" s="234"/>
      <c r="E123" s="234"/>
      <c r="F123" s="234"/>
      <c r="G123" s="234"/>
      <c r="H123" s="234"/>
      <c r="I123" s="234"/>
      <c r="J123" s="234"/>
    </row>
    <row r="124" spans="1:10" x14ac:dyDescent="0.25">
      <c r="A124" s="240" t="s">
        <v>338</v>
      </c>
      <c r="B124" s="234" t="s">
        <v>340</v>
      </c>
      <c r="C124" s="234"/>
      <c r="D124" s="234"/>
      <c r="E124" s="234"/>
      <c r="F124" s="234"/>
      <c r="G124" s="234"/>
      <c r="H124" s="234"/>
      <c r="I124" s="234"/>
      <c r="J124" s="234"/>
    </row>
    <row r="125" spans="1:10" x14ac:dyDescent="0.25">
      <c r="A125" s="240" t="str">
        <f>"; master sergeant"</f>
        <v>; master sergeant</v>
      </c>
      <c r="B125" s="234" t="s">
        <v>340</v>
      </c>
      <c r="C125" s="234"/>
      <c r="D125" s="234"/>
      <c r="E125" s="234"/>
      <c r="F125" s="234"/>
      <c r="G125" s="234"/>
      <c r="H125" s="234"/>
      <c r="I125" s="234"/>
      <c r="J125" s="234"/>
    </row>
    <row r="126" spans="1:10" x14ac:dyDescent="0.25">
      <c r="A126" s="240" t="str">
        <f ca="1">"+SoldierRanks=(  aAbilityTree=( (AbilityName="""&amp;VLOOKUP(INDIRECT("F37"),Abilities,2,FALSE)&amp;""""&amp;IF(VLOOKUP(INDIRECT("F37"),Abilities,3,FALSE)="","",", ApplyToWeaponSlot=eInvSlot_"&amp;VLOOKUP(INDIRECT("F37"),Abilities,3,FALSE))&amp;"), \\"</f>
        <v>+SoldierRanks=(  aAbilityTree=( (AbilityName="ShadowOps_StasisField"), \\</v>
      </c>
      <c r="B126" s="234" t="s">
        <v>340</v>
      </c>
      <c r="C126" s="234"/>
      <c r="D126" s="234"/>
      <c r="E126" s="234"/>
      <c r="F126" s="234"/>
      <c r="G126" s="234"/>
      <c r="H126" s="234"/>
      <c r="I126" s="234"/>
      <c r="J126" s="234"/>
    </row>
    <row r="127" spans="1:10" x14ac:dyDescent="0.25">
      <c r="A127" s="240" t="str">
        <f ca="1">IF(INDIRECT("I37")="","\\","(AbilityName="""&amp;VLOOKUP(INDIRECT("I37"),Abilities,2,FALSE)&amp;""""&amp;IF(VLOOKUP(INDIRECT("I37"),Abilities,3,FALSE)="","",", ApplyToWeaponSlot=eInvSlot_"&amp;VLOOKUP(INDIRECT("I37"),Abilities,3,FALSE))&amp;"), \\")</f>
        <v>(AbilityName=" "), \\</v>
      </c>
      <c r="B127" s="234" t="s">
        <v>340</v>
      </c>
      <c r="C127" s="234"/>
      <c r="D127" s="234"/>
      <c r="E127" s="234"/>
      <c r="F127" s="234"/>
      <c r="G127" s="234"/>
      <c r="H127" s="234"/>
      <c r="I127" s="234"/>
      <c r="J127" s="234"/>
    </row>
    <row r="128" spans="1:10" x14ac:dyDescent="0.25">
      <c r="A128" s="240" t="str">
        <f ca="1">IF(INDIRECT("L37")="","\\","(AbilityName="""&amp;VLOOKUP(INDIRECT("L37"),Abilities,2,FALSE)&amp;""""&amp;IF(VLOOKUP(INDIRECT("L37"),Abilities,3,FALSE)="","",", ApplyToWeaponSlot=eInvSlot_"&amp;VLOOKUP(INDIRECT("L37"),Abilities,3,FALSE))&amp;"), \\")</f>
        <v>(AbilityName="Salvo", ApplyToWeaponSlot=eInvSlot_Unknown), \\</v>
      </c>
      <c r="B128" s="234" t="s">
        <v>340</v>
      </c>
      <c r="C128" s="234"/>
      <c r="D128" s="234"/>
      <c r="E128" s="234"/>
      <c r="F128" s="234"/>
      <c r="G128" s="234"/>
      <c r="H128" s="234"/>
      <c r="I128" s="234"/>
      <c r="J128" s="234"/>
    </row>
    <row r="129" spans="1:10" x14ac:dyDescent="0.25">
      <c r="A129" s="240" t="s">
        <v>337</v>
      </c>
      <c r="B129" s="234" t="s">
        <v>340</v>
      </c>
      <c r="C129" s="234"/>
      <c r="D129" s="234"/>
      <c r="E129" s="234"/>
      <c r="F129" s="234"/>
      <c r="G129" s="234"/>
      <c r="H129" s="234"/>
      <c r="I129" s="234"/>
      <c r="J129" s="234"/>
    </row>
    <row r="130" spans="1:10" x14ac:dyDescent="0.25">
      <c r="A130" s="240"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234" t="s">
        <v>340</v>
      </c>
      <c r="C130" s="234"/>
      <c r="D130" s="234"/>
      <c r="E130" s="234"/>
      <c r="F130" s="234"/>
      <c r="G130" s="234"/>
      <c r="H130" s="234"/>
      <c r="I130" s="234"/>
      <c r="J130" s="234"/>
    </row>
    <row r="131" spans="1:10" ht="15.75" thickBot="1" x14ac:dyDescent="0.3">
      <c r="A131" s="241" t="s">
        <v>338</v>
      </c>
      <c r="B131" s="234" t="s">
        <v>340</v>
      </c>
      <c r="C131" s="234"/>
      <c r="D131" s="234"/>
      <c r="E131" s="234"/>
      <c r="F131" s="234"/>
      <c r="G131" s="234"/>
      <c r="H131" s="234"/>
      <c r="I131" s="234"/>
      <c r="J131" s="234"/>
    </row>
  </sheetData>
  <mergeCells count="140">
    <mergeCell ref="V35:W35"/>
    <mergeCell ref="V28:W28"/>
    <mergeCell ref="V29:W29"/>
    <mergeCell ref="V30:W30"/>
    <mergeCell ref="V31:W31"/>
    <mergeCell ref="V32:W32"/>
    <mergeCell ref="V23:W23"/>
    <mergeCell ref="V24:W24"/>
    <mergeCell ref="V25:W25"/>
    <mergeCell ref="V26:W26"/>
    <mergeCell ref="V27:W27"/>
    <mergeCell ref="V1:Y2"/>
    <mergeCell ref="V3:W3"/>
    <mergeCell ref="X3:Y3"/>
    <mergeCell ref="V4:W4"/>
    <mergeCell ref="X4:Y4"/>
    <mergeCell ref="V11:W11"/>
    <mergeCell ref="X11:Y11"/>
    <mergeCell ref="V12:W12"/>
    <mergeCell ref="X12:Y12"/>
    <mergeCell ref="V8:W8"/>
    <mergeCell ref="X8:Y8"/>
    <mergeCell ref="V9:W9"/>
    <mergeCell ref="X9:Y9"/>
    <mergeCell ref="V10:W10"/>
    <mergeCell ref="X10:Y10"/>
    <mergeCell ref="L33:M33"/>
    <mergeCell ref="F34:H35"/>
    <mergeCell ref="I34:K35"/>
    <mergeCell ref="L34:N35"/>
    <mergeCell ref="V5:W5"/>
    <mergeCell ref="X5:Y5"/>
    <mergeCell ref="V6:W6"/>
    <mergeCell ref="X6:Y6"/>
    <mergeCell ref="V7:W7"/>
    <mergeCell ref="X7:Y7"/>
    <mergeCell ref="V13:W13"/>
    <mergeCell ref="X13:Y13"/>
    <mergeCell ref="V18:W18"/>
    <mergeCell ref="V19:W19"/>
    <mergeCell ref="V20:W20"/>
    <mergeCell ref="V21:W21"/>
    <mergeCell ref="V22:W22"/>
    <mergeCell ref="V14:W14"/>
    <mergeCell ref="X14:Y14"/>
    <mergeCell ref="V15:W15"/>
    <mergeCell ref="V16:W16"/>
    <mergeCell ref="V17:W17"/>
    <mergeCell ref="V33:W33"/>
    <mergeCell ref="V34:W34"/>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F36:N36"/>
    <mergeCell ref="F37:G37"/>
    <mergeCell ref="I37:J37"/>
    <mergeCell ref="L37:M37"/>
    <mergeCell ref="F38:H39"/>
    <mergeCell ref="I38:K39"/>
    <mergeCell ref="L38:N39"/>
    <mergeCell ref="I33:J33"/>
    <mergeCell ref="I17:J17"/>
    <mergeCell ref="L17:M17"/>
    <mergeCell ref="C12:D12"/>
    <mergeCell ref="F12:N12"/>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C10:D10"/>
    <mergeCell ref="F10:H10"/>
    <mergeCell ref="I10:K10"/>
    <mergeCell ref="L10:N10"/>
    <mergeCell ref="C11:D11"/>
    <mergeCell ref="F11:H11"/>
    <mergeCell ref="I11:K11"/>
    <mergeCell ref="L11:N11"/>
    <mergeCell ref="O1:U2"/>
    <mergeCell ref="A3:B3"/>
    <mergeCell ref="C3:E3"/>
    <mergeCell ref="F3:N3"/>
    <mergeCell ref="A4:B4"/>
    <mergeCell ref="C4:E5"/>
    <mergeCell ref="F4:G4"/>
    <mergeCell ref="I4:J4"/>
    <mergeCell ref="L4:M4"/>
    <mergeCell ref="F5:H6"/>
    <mergeCell ref="I5:K6"/>
    <mergeCell ref="L5:N6"/>
    <mergeCell ref="C6:D6"/>
    <mergeCell ref="A40:B41"/>
    <mergeCell ref="C40:E41"/>
    <mergeCell ref="A42:B42"/>
    <mergeCell ref="C42:D42"/>
    <mergeCell ref="E42:F42"/>
    <mergeCell ref="A1:B2"/>
    <mergeCell ref="C1:E2"/>
    <mergeCell ref="F1:N2"/>
    <mergeCell ref="C7:D7"/>
    <mergeCell ref="F7:G7"/>
    <mergeCell ref="I7:J7"/>
    <mergeCell ref="L7:M7"/>
    <mergeCell ref="C8:D8"/>
    <mergeCell ref="F8:H9"/>
    <mergeCell ref="I8:K9"/>
    <mergeCell ref="L8:N9"/>
    <mergeCell ref="C9:D9"/>
    <mergeCell ref="F14:H15"/>
    <mergeCell ref="I14:K15"/>
    <mergeCell ref="L14:N15"/>
    <mergeCell ref="F16:N16"/>
    <mergeCell ref="F17:G1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83969"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83970"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83971"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83972"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83973"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83974"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83975"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83976"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83977"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83978"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83979"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83980"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83981"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90" t="s">
        <v>308</v>
      </c>
      <c r="B1" s="91"/>
      <c r="C1" s="94" t="s">
        <v>728</v>
      </c>
      <c r="D1" s="95"/>
      <c r="E1" s="95"/>
      <c r="F1" s="98" t="s">
        <v>324</v>
      </c>
      <c r="G1" s="99"/>
      <c r="H1" s="99"/>
      <c r="I1" s="99"/>
      <c r="J1" s="99"/>
      <c r="K1" s="99"/>
      <c r="L1" s="99"/>
      <c r="M1" s="99"/>
      <c r="N1" s="99"/>
      <c r="O1" s="100" t="s">
        <v>325</v>
      </c>
      <c r="P1" s="101"/>
      <c r="Q1" s="101"/>
      <c r="R1" s="101"/>
      <c r="S1" s="101"/>
      <c r="T1" s="101"/>
      <c r="U1" s="102"/>
      <c r="V1" s="196" t="s">
        <v>776</v>
      </c>
      <c r="W1" s="197"/>
      <c r="X1" s="197"/>
      <c r="Y1" s="197"/>
    </row>
    <row r="2" spans="1:25" ht="15" customHeight="1" thickBot="1" x14ac:dyDescent="0.3">
      <c r="A2" s="92"/>
      <c r="B2" s="93"/>
      <c r="C2" s="96"/>
      <c r="D2" s="97"/>
      <c r="E2" s="97"/>
      <c r="F2" s="98"/>
      <c r="G2" s="99"/>
      <c r="H2" s="99"/>
      <c r="I2" s="99"/>
      <c r="J2" s="99"/>
      <c r="K2" s="99"/>
      <c r="L2" s="99"/>
      <c r="M2" s="99"/>
      <c r="N2" s="99"/>
      <c r="O2" s="103"/>
      <c r="P2" s="104"/>
      <c r="Q2" s="104"/>
      <c r="R2" s="104"/>
      <c r="S2" s="104"/>
      <c r="T2" s="104"/>
      <c r="U2" s="105"/>
      <c r="V2" s="198"/>
      <c r="W2" s="199"/>
      <c r="X2" s="199"/>
      <c r="Y2" s="199"/>
    </row>
    <row r="3" spans="1:25" ht="18" thickBot="1" x14ac:dyDescent="0.35">
      <c r="A3" s="106" t="s">
        <v>309</v>
      </c>
      <c r="B3" s="107"/>
      <c r="C3" s="108" t="str">
        <f>Output!$L$1&amp;SUBSTITUTE(C1," ","")</f>
        <v>LWD_FieldScientist</v>
      </c>
      <c r="D3" s="109"/>
      <c r="E3" s="109"/>
      <c r="F3" s="110" t="s">
        <v>12</v>
      </c>
      <c r="G3" s="111"/>
      <c r="H3" s="111"/>
      <c r="I3" s="111"/>
      <c r="J3" s="111"/>
      <c r="K3" s="111"/>
      <c r="L3" s="111"/>
      <c r="M3" s="111"/>
      <c r="N3" s="112"/>
      <c r="O3" s="15"/>
      <c r="P3" s="16" t="s">
        <v>79</v>
      </c>
      <c r="Q3" s="17" t="s">
        <v>326</v>
      </c>
      <c r="R3" s="17" t="s">
        <v>328</v>
      </c>
      <c r="S3" s="17" t="s">
        <v>327</v>
      </c>
      <c r="T3" s="17" t="s">
        <v>330</v>
      </c>
      <c r="U3" s="18" t="s">
        <v>329</v>
      </c>
      <c r="V3" s="200" t="s">
        <v>810</v>
      </c>
      <c r="W3" s="201"/>
      <c r="X3" s="200" t="s">
        <v>811</v>
      </c>
      <c r="Y3" s="201"/>
    </row>
    <row r="4" spans="1:25" ht="18" thickTop="1" x14ac:dyDescent="0.3">
      <c r="A4" s="113" t="s">
        <v>310</v>
      </c>
      <c r="B4" s="114"/>
      <c r="C4" s="115" t="s">
        <v>314</v>
      </c>
      <c r="D4" s="116"/>
      <c r="E4" s="116"/>
      <c r="F4" s="119" t="s">
        <v>410</v>
      </c>
      <c r="G4" s="120"/>
      <c r="H4" s="4" t="str">
        <f>IFERROR(VLOOKUP(F4,Abilities,4,FALSE),"")</f>
        <v>LW2</v>
      </c>
      <c r="I4" s="121" t="s">
        <v>1048</v>
      </c>
      <c r="J4" s="120"/>
      <c r="K4" s="35" t="str">
        <f>IFERROR(VLOOKUP(I4,Abilities,4,FALSE),"")</f>
        <v>LWD</v>
      </c>
      <c r="L4" s="122" t="s">
        <v>936</v>
      </c>
      <c r="M4" s="120"/>
      <c r="N4" s="10" t="str">
        <f>IFERROR(VLOOKUP(L4,Abilities,4,FALSE),"")</f>
        <v>LWD</v>
      </c>
      <c r="O4" s="19" t="s">
        <v>12</v>
      </c>
      <c r="P4" s="4">
        <v>2</v>
      </c>
      <c r="Q4" s="20">
        <v>0</v>
      </c>
      <c r="R4" s="20"/>
      <c r="S4" s="4">
        <v>40</v>
      </c>
      <c r="T4" s="4">
        <v>1</v>
      </c>
      <c r="U4" s="10"/>
      <c r="V4" s="192" t="s">
        <v>777</v>
      </c>
      <c r="W4" s="193"/>
      <c r="X4" s="192" t="s">
        <v>801</v>
      </c>
      <c r="Y4" s="193"/>
    </row>
    <row r="5" spans="1:25" ht="15" customHeight="1" x14ac:dyDescent="0.25">
      <c r="A5" s="6"/>
      <c r="B5" s="5" t="b">
        <v>1</v>
      </c>
      <c r="C5" s="117"/>
      <c r="D5" s="118"/>
      <c r="E5" s="118"/>
      <c r="F5" s="123">
        <f>IFERROR(VLOOKUP(F4,Abilities,7,FALSE),"")</f>
        <v>0</v>
      </c>
      <c r="G5" s="124"/>
      <c r="H5" s="125"/>
      <c r="I5" s="129" t="str">
        <f>IFERROR(VLOOKUP(I4,Abilities,7,FALSE),"")</f>
        <v>Disrupt a robotic enemy with your arc thrower.</v>
      </c>
      <c r="J5" s="130"/>
      <c r="K5" s="131"/>
      <c r="L5" s="130" t="str">
        <f>IFERROR(VLOOKUP(L4,Abilities,7,FALSE),"")</f>
        <v>Revive a bleeding out ally.</v>
      </c>
      <c r="M5" s="130"/>
      <c r="N5" s="135"/>
      <c r="O5" s="26" t="s">
        <v>456</v>
      </c>
      <c r="P5" s="27">
        <v>2</v>
      </c>
      <c r="Q5" s="28">
        <v>1</v>
      </c>
      <c r="R5" s="28"/>
      <c r="S5" s="27">
        <v>5</v>
      </c>
      <c r="T5" s="27"/>
      <c r="U5" s="29"/>
      <c r="V5" s="190" t="s">
        <v>821</v>
      </c>
      <c r="W5" s="191"/>
      <c r="X5" s="190" t="s">
        <v>802</v>
      </c>
      <c r="Y5" s="191"/>
    </row>
    <row r="6" spans="1:25" ht="15" customHeight="1" x14ac:dyDescent="0.25">
      <c r="A6" s="6"/>
      <c r="B6" s="5" t="b">
        <v>0</v>
      </c>
      <c r="C6" s="137" t="s">
        <v>315</v>
      </c>
      <c r="D6" s="138"/>
      <c r="E6" s="11">
        <v>0</v>
      </c>
      <c r="F6" s="126"/>
      <c r="G6" s="127"/>
      <c r="H6" s="128"/>
      <c r="I6" s="132"/>
      <c r="J6" s="133"/>
      <c r="K6" s="134"/>
      <c r="L6" s="133"/>
      <c r="M6" s="133"/>
      <c r="N6" s="136"/>
      <c r="O6" s="19" t="s">
        <v>15</v>
      </c>
      <c r="P6" s="4">
        <v>2</v>
      </c>
      <c r="Q6" s="20">
        <v>0</v>
      </c>
      <c r="R6" s="20"/>
      <c r="S6" s="4">
        <v>5</v>
      </c>
      <c r="T6" s="4"/>
      <c r="U6" s="10"/>
      <c r="V6" s="190" t="s">
        <v>778</v>
      </c>
      <c r="W6" s="191"/>
      <c r="X6" s="192" t="s">
        <v>803</v>
      </c>
      <c r="Y6" s="193"/>
    </row>
    <row r="7" spans="1:25" ht="15" customHeight="1" x14ac:dyDescent="0.25">
      <c r="A7" s="6"/>
      <c r="B7" s="5" t="b">
        <v>0</v>
      </c>
      <c r="C7" s="137" t="s">
        <v>316</v>
      </c>
      <c r="D7" s="138"/>
      <c r="E7" s="11">
        <v>4</v>
      </c>
      <c r="F7" s="139"/>
      <c r="G7" s="140"/>
      <c r="H7" s="4" t="str">
        <f>IFERROR(VLOOKUP(F7,Abilities,4,FALSE),"")</f>
        <v/>
      </c>
      <c r="I7" s="141"/>
      <c r="J7" s="140"/>
      <c r="K7" s="4" t="str">
        <f>IFERROR(VLOOKUP(I7,Abilities,4,FALSE),"")</f>
        <v/>
      </c>
      <c r="L7" s="142"/>
      <c r="M7" s="140"/>
      <c r="N7" s="10" t="str">
        <f>IFERROR(VLOOKUP(L7,Abilities,4,FALSE),"")</f>
        <v/>
      </c>
      <c r="O7" s="26" t="s">
        <v>21</v>
      </c>
      <c r="P7" s="27">
        <v>2</v>
      </c>
      <c r="Q7" s="28">
        <v>0</v>
      </c>
      <c r="R7" s="28"/>
      <c r="S7" s="27">
        <v>5</v>
      </c>
      <c r="T7" s="27"/>
      <c r="U7" s="29"/>
      <c r="V7" s="192" t="s">
        <v>779</v>
      </c>
      <c r="W7" s="193"/>
      <c r="X7" s="190" t="s">
        <v>804</v>
      </c>
      <c r="Y7" s="191"/>
    </row>
    <row r="8" spans="1:25" ht="15" customHeight="1" thickBot="1" x14ac:dyDescent="0.3">
      <c r="A8" s="6"/>
      <c r="B8" s="5" t="b">
        <v>0</v>
      </c>
      <c r="C8" s="137" t="s">
        <v>317</v>
      </c>
      <c r="D8" s="143"/>
      <c r="E8" s="12" t="s">
        <v>762</v>
      </c>
      <c r="F8" s="144" t="str">
        <f>IFERROR(VLOOKUP(F7,Abilities,7,FALSE),"")</f>
        <v/>
      </c>
      <c r="G8" s="130"/>
      <c r="H8" s="131"/>
      <c r="I8" s="129" t="str">
        <f>IFERROR(VLOOKUP(I7,Abilities,7,FALSE),"")</f>
        <v/>
      </c>
      <c r="J8" s="130"/>
      <c r="K8" s="131"/>
      <c r="L8" s="130" t="str">
        <f>IFERROR(VLOOKUP(L7,Abilities,7,FALSE),"")</f>
        <v/>
      </c>
      <c r="M8" s="130"/>
      <c r="N8" s="135"/>
      <c r="O8" s="21" t="s">
        <v>457</v>
      </c>
      <c r="P8" s="4">
        <v>2</v>
      </c>
      <c r="Q8" s="20">
        <v>1</v>
      </c>
      <c r="R8" s="20"/>
      <c r="S8" s="4">
        <v>5</v>
      </c>
      <c r="T8" s="4"/>
      <c r="U8" s="10"/>
      <c r="V8" s="190" t="s">
        <v>780</v>
      </c>
      <c r="W8" s="191"/>
      <c r="X8" s="192" t="s">
        <v>805</v>
      </c>
      <c r="Y8" s="193"/>
    </row>
    <row r="9" spans="1:25" ht="15.75" thickBot="1" x14ac:dyDescent="0.3">
      <c r="A9" s="6"/>
      <c r="B9" s="5" t="b">
        <v>0</v>
      </c>
      <c r="C9" s="137" t="s">
        <v>319</v>
      </c>
      <c r="D9" s="143"/>
      <c r="E9" s="12">
        <v>1</v>
      </c>
      <c r="F9" s="145"/>
      <c r="G9" s="133"/>
      <c r="H9" s="134"/>
      <c r="I9" s="146"/>
      <c r="J9" s="147"/>
      <c r="K9" s="148"/>
      <c r="L9" s="133"/>
      <c r="M9" s="133"/>
      <c r="N9" s="136"/>
      <c r="O9" s="26" t="s">
        <v>458</v>
      </c>
      <c r="P9" s="27">
        <v>2</v>
      </c>
      <c r="Q9" s="28">
        <v>0</v>
      </c>
      <c r="R9" s="28"/>
      <c r="S9" s="27">
        <v>5</v>
      </c>
      <c r="T9" s="27"/>
      <c r="U9" s="29"/>
      <c r="V9" s="192" t="s">
        <v>835</v>
      </c>
      <c r="W9" s="193"/>
      <c r="X9" s="200" t="s">
        <v>812</v>
      </c>
      <c r="Y9" s="201"/>
    </row>
    <row r="10" spans="1:25" ht="18.75" x14ac:dyDescent="0.3">
      <c r="A10" s="6"/>
      <c r="B10" s="5" t="b">
        <v>0</v>
      </c>
      <c r="C10" s="137" t="s">
        <v>318</v>
      </c>
      <c r="D10" s="143"/>
      <c r="E10" s="12">
        <v>4</v>
      </c>
      <c r="F10" s="157" t="s">
        <v>311</v>
      </c>
      <c r="G10" s="158"/>
      <c r="H10" s="159"/>
      <c r="I10" s="160" t="s">
        <v>349</v>
      </c>
      <c r="J10" s="158"/>
      <c r="K10" s="159"/>
      <c r="L10" s="158" t="s">
        <v>312</v>
      </c>
      <c r="M10" s="158"/>
      <c r="N10" s="161"/>
      <c r="O10" s="36" t="s">
        <v>459</v>
      </c>
      <c r="P10" s="37">
        <v>2</v>
      </c>
      <c r="Q10" s="37">
        <v>0</v>
      </c>
      <c r="R10" s="37"/>
      <c r="S10" s="37">
        <v>5</v>
      </c>
      <c r="T10" s="37"/>
      <c r="U10" s="38"/>
      <c r="V10" s="190" t="s">
        <v>782</v>
      </c>
      <c r="W10" s="191"/>
      <c r="X10" s="192" t="s">
        <v>806</v>
      </c>
      <c r="Y10" s="193"/>
    </row>
    <row r="11" spans="1:25" ht="15.75" customHeight="1" thickBot="1" x14ac:dyDescent="0.3">
      <c r="A11" s="6"/>
      <c r="B11" s="5" t="b">
        <v>0</v>
      </c>
      <c r="C11" s="137" t="s">
        <v>320</v>
      </c>
      <c r="D11" s="143"/>
      <c r="E11" s="12">
        <v>3</v>
      </c>
      <c r="F11" s="162" t="s">
        <v>723</v>
      </c>
      <c r="G11" s="163"/>
      <c r="H11" s="164"/>
      <c r="I11" s="165"/>
      <c r="J11" s="163"/>
      <c r="K11" s="164"/>
      <c r="L11" s="163" t="s">
        <v>960</v>
      </c>
      <c r="M11" s="163"/>
      <c r="N11" s="166"/>
      <c r="O11" s="39" t="s">
        <v>460</v>
      </c>
      <c r="P11" s="40">
        <v>2</v>
      </c>
      <c r="Q11" s="41">
        <v>1</v>
      </c>
      <c r="R11" s="41"/>
      <c r="S11" s="40">
        <v>5</v>
      </c>
      <c r="T11" s="40"/>
      <c r="U11" s="42"/>
      <c r="V11" s="192" t="s">
        <v>824</v>
      </c>
      <c r="W11" s="193"/>
      <c r="X11" s="190" t="s">
        <v>807</v>
      </c>
      <c r="Y11" s="191"/>
    </row>
    <row r="12" spans="1:25" ht="18" customHeight="1" thickBot="1" x14ac:dyDescent="0.35">
      <c r="A12" s="6"/>
      <c r="B12" s="5" t="b">
        <v>0</v>
      </c>
      <c r="C12" s="137" t="s">
        <v>321</v>
      </c>
      <c r="D12" s="143"/>
      <c r="E12" s="12">
        <v>1</v>
      </c>
      <c r="F12" s="169" t="s">
        <v>443</v>
      </c>
      <c r="G12" s="170"/>
      <c r="H12" s="170"/>
      <c r="I12" s="170"/>
      <c r="J12" s="170"/>
      <c r="K12" s="170"/>
      <c r="L12" s="170"/>
      <c r="M12" s="170"/>
      <c r="N12" s="171"/>
      <c r="O12" s="149" t="s">
        <v>813</v>
      </c>
      <c r="P12" s="150"/>
      <c r="Q12" s="150"/>
      <c r="R12" s="150"/>
      <c r="S12" s="150"/>
      <c r="T12" s="150"/>
      <c r="U12" s="151"/>
      <c r="V12" s="192" t="s">
        <v>783</v>
      </c>
      <c r="W12" s="193"/>
      <c r="X12" s="192" t="s">
        <v>808</v>
      </c>
      <c r="Y12" s="193"/>
    </row>
    <row r="13" spans="1:25" ht="16.5" thickTop="1" thickBot="1" x14ac:dyDescent="0.3">
      <c r="A13" s="6"/>
      <c r="B13" s="5" t="b">
        <v>0</v>
      </c>
      <c r="C13" s="155" t="s">
        <v>322</v>
      </c>
      <c r="D13" s="156"/>
      <c r="E13" s="13" t="s">
        <v>323</v>
      </c>
      <c r="F13" s="119" t="s">
        <v>933</v>
      </c>
      <c r="G13" s="120"/>
      <c r="H13" s="4" t="str">
        <f>IFERROR(VLOOKUP(F13,Abilities,4,FALSE),"")</f>
        <v>LWD</v>
      </c>
      <c r="I13" s="121" t="s">
        <v>962</v>
      </c>
      <c r="J13" s="120"/>
      <c r="K13" s="35" t="str">
        <f>IFERROR(VLOOKUP(I13,Abilities,4,FALSE),"")</f>
        <v>BLANK</v>
      </c>
      <c r="L13" s="122" t="s">
        <v>612</v>
      </c>
      <c r="M13" s="120"/>
      <c r="N13" s="10" t="str">
        <f>IFERROR(VLOOKUP(L13,Abilities,4,FALSE),"")</f>
        <v>SOLW</v>
      </c>
      <c r="O13" s="152"/>
      <c r="P13" s="153"/>
      <c r="Q13" s="153"/>
      <c r="R13" s="153"/>
      <c r="S13" s="153"/>
      <c r="T13" s="153"/>
      <c r="U13" s="154"/>
      <c r="V13" s="192" t="s">
        <v>723</v>
      </c>
      <c r="W13" s="193"/>
      <c r="X13" s="190" t="s">
        <v>809</v>
      </c>
      <c r="Y13" s="191"/>
    </row>
    <row r="14" spans="1:25" ht="15.75" thickBot="1" x14ac:dyDescent="0.3">
      <c r="A14" s="6"/>
      <c r="B14" s="7" t="b">
        <v>0</v>
      </c>
      <c r="F14" s="144" t="str">
        <f>IFERROR(VLOOKUP(F13,Abilities,7,FALSE),"")</f>
        <v>Give an ally an extra movement action.</v>
      </c>
      <c r="G14" s="130"/>
      <c r="H14" s="131"/>
      <c r="I14" s="129" t="str">
        <f>IFERROR(VLOOKUP(I13,Abilities,7,FALSE),"")</f>
        <v xml:space="preserve"> </v>
      </c>
      <c r="J14" s="130"/>
      <c r="K14" s="131"/>
      <c r="L14" s="130" t="str">
        <f>IFERROR(VLOOKUP(L13,Abilities,7,FALSE),"")</f>
        <v>Using a medikit on an injured unit also grants that unit a bonus action point.</v>
      </c>
      <c r="M14" s="130"/>
      <c r="N14" s="135"/>
      <c r="O14" s="22"/>
      <c r="P14" s="23" t="s">
        <v>331</v>
      </c>
      <c r="Q14" s="24" t="s">
        <v>332</v>
      </c>
      <c r="R14" s="24" t="s">
        <v>333</v>
      </c>
      <c r="S14" s="24" t="s">
        <v>334</v>
      </c>
      <c r="T14" s="24" t="s">
        <v>336</v>
      </c>
      <c r="U14" s="25" t="s">
        <v>335</v>
      </c>
      <c r="V14" s="190" t="s">
        <v>784</v>
      </c>
      <c r="W14" s="191"/>
      <c r="X14" s="194" t="s">
        <v>814</v>
      </c>
      <c r="Y14" s="195"/>
    </row>
    <row r="15" spans="1:25" ht="15.75" thickBot="1" x14ac:dyDescent="0.3">
      <c r="A15" s="6"/>
      <c r="B15" s="7" t="b">
        <v>1</v>
      </c>
      <c r="F15" s="167"/>
      <c r="G15" s="147"/>
      <c r="H15" s="148"/>
      <c r="I15" s="146"/>
      <c r="J15" s="147"/>
      <c r="K15" s="148"/>
      <c r="L15" s="147"/>
      <c r="M15" s="147"/>
      <c r="N15" s="168"/>
      <c r="O15" s="19" t="s">
        <v>12</v>
      </c>
      <c r="P15" s="4"/>
      <c r="Q15" s="20">
        <v>4</v>
      </c>
      <c r="R15" s="20"/>
      <c r="S15" s="4"/>
      <c r="T15" s="4"/>
      <c r="U15" s="10"/>
      <c r="V15" s="190" t="s">
        <v>823</v>
      </c>
      <c r="W15" s="191"/>
    </row>
    <row r="16" spans="1:25" ht="18" thickBot="1" x14ac:dyDescent="0.35">
      <c r="A16" s="6"/>
      <c r="B16" s="7" t="b">
        <v>0</v>
      </c>
      <c r="F16" s="169" t="s">
        <v>15</v>
      </c>
      <c r="G16" s="170"/>
      <c r="H16" s="170"/>
      <c r="I16" s="170"/>
      <c r="J16" s="170"/>
      <c r="K16" s="170"/>
      <c r="L16" s="170"/>
      <c r="M16" s="170"/>
      <c r="N16" s="171"/>
      <c r="O16" s="26" t="s">
        <v>456</v>
      </c>
      <c r="P16" s="27"/>
      <c r="Q16" s="28">
        <v>4</v>
      </c>
      <c r="R16" s="28"/>
      <c r="S16" s="27"/>
      <c r="T16" s="27"/>
      <c r="U16" s="29"/>
      <c r="V16" s="190" t="s">
        <v>786</v>
      </c>
      <c r="W16" s="191"/>
    </row>
    <row r="17" spans="1:23" ht="16.5" thickTop="1" thickBot="1" x14ac:dyDescent="0.3">
      <c r="A17" s="8"/>
      <c r="B17" s="9" t="b">
        <v>0</v>
      </c>
      <c r="F17" s="121" t="s">
        <v>962</v>
      </c>
      <c r="G17" s="120"/>
      <c r="H17" s="4" t="str">
        <f>IFERROR(VLOOKUP(F17,Abilities,4,FALSE),"")</f>
        <v>BLANK</v>
      </c>
      <c r="I17" s="121" t="s">
        <v>585</v>
      </c>
      <c r="J17" s="120"/>
      <c r="K17" s="35" t="str">
        <f>IFERROR(VLOOKUP(I17,Abilities,4,FALSE),"")</f>
        <v>SOLW</v>
      </c>
      <c r="L17" s="121" t="s">
        <v>962</v>
      </c>
      <c r="M17" s="120"/>
      <c r="N17" s="10" t="str">
        <f>IFERROR(VLOOKUP(L17,Abilities,4,FALSE),"")</f>
        <v>BLANK</v>
      </c>
      <c r="O17" s="19" t="s">
        <v>15</v>
      </c>
      <c r="P17" s="4"/>
      <c r="Q17" s="20"/>
      <c r="R17" s="20"/>
      <c r="S17" s="4"/>
      <c r="T17" s="4"/>
      <c r="U17" s="10"/>
      <c r="V17" s="192" t="s">
        <v>787</v>
      </c>
      <c r="W17" s="193"/>
    </row>
    <row r="18" spans="1:23" x14ac:dyDescent="0.25">
      <c r="A18" s="172" t="s">
        <v>344</v>
      </c>
      <c r="B18" s="173"/>
      <c r="F18" s="144" t="str">
        <f>IFERROR(VLOOKUP(F17,Abilities,7,FALSE),"")</f>
        <v xml:space="preserve"> </v>
      </c>
      <c r="G18" s="130"/>
      <c r="H18" s="131"/>
      <c r="I18" s="129" t="str">
        <f>IFERROR(VLOOKUP(I17,Abilities,7,FALSE),"")</f>
        <v>You deal &lt;Ability:+CritDamage&gt; damage on critical hits for each enemy of the same type you have killed, to a max of &lt;Ability:+MaxCritDamage&gt;.</v>
      </c>
      <c r="J18" s="130"/>
      <c r="K18" s="131"/>
      <c r="L18" s="130" t="str">
        <f>IFERROR(VLOOKUP(L17,Abilities,7,FALSE),"")</f>
        <v xml:space="preserve"> </v>
      </c>
      <c r="M18" s="130"/>
      <c r="N18" s="135"/>
      <c r="O18" s="26" t="s">
        <v>21</v>
      </c>
      <c r="P18" s="27"/>
      <c r="Q18" s="28"/>
      <c r="R18" s="28"/>
      <c r="S18" s="27"/>
      <c r="T18" s="27"/>
      <c r="U18" s="29"/>
      <c r="V18" s="190" t="s">
        <v>788</v>
      </c>
      <c r="W18" s="191"/>
    </row>
    <row r="19" spans="1:23" ht="15.75" thickBot="1" x14ac:dyDescent="0.3">
      <c r="A19" s="174"/>
      <c r="B19" s="175"/>
      <c r="D19" s="3"/>
      <c r="F19" s="167"/>
      <c r="G19" s="147"/>
      <c r="H19" s="148"/>
      <c r="I19" s="146"/>
      <c r="J19" s="147"/>
      <c r="K19" s="148"/>
      <c r="L19" s="147"/>
      <c r="M19" s="147"/>
      <c r="N19" s="168"/>
      <c r="O19" s="21" t="s">
        <v>457</v>
      </c>
      <c r="P19" s="4"/>
      <c r="Q19" s="20"/>
      <c r="R19" s="20"/>
      <c r="S19" s="4"/>
      <c r="T19" s="4"/>
      <c r="U19" s="10"/>
      <c r="V19" s="192" t="s">
        <v>789</v>
      </c>
      <c r="W19" s="193"/>
    </row>
    <row r="20" spans="1:23" ht="18" thickBot="1" x14ac:dyDescent="0.35">
      <c r="A20" s="176" t="s">
        <v>968</v>
      </c>
      <c r="B20" s="177"/>
      <c r="C20" s="178"/>
      <c r="D20" s="178"/>
      <c r="E20" s="179"/>
      <c r="F20" s="169" t="s">
        <v>21</v>
      </c>
      <c r="G20" s="170"/>
      <c r="H20" s="170"/>
      <c r="I20" s="170"/>
      <c r="J20" s="170"/>
      <c r="K20" s="170"/>
      <c r="L20" s="170"/>
      <c r="M20" s="170"/>
      <c r="N20" s="171"/>
      <c r="O20" s="26" t="s">
        <v>458</v>
      </c>
      <c r="P20" s="27"/>
      <c r="Q20" s="28"/>
      <c r="R20" s="28"/>
      <c r="S20" s="27"/>
      <c r="T20" s="27"/>
      <c r="U20" s="29"/>
      <c r="V20" s="192" t="s">
        <v>796</v>
      </c>
      <c r="W20" s="193"/>
    </row>
    <row r="21" spans="1:23" ht="15.75" thickTop="1" x14ac:dyDescent="0.25">
      <c r="A21" s="176"/>
      <c r="B21" s="177"/>
      <c r="C21" s="177"/>
      <c r="D21" s="177"/>
      <c r="E21" s="180"/>
      <c r="F21" s="119" t="s">
        <v>412</v>
      </c>
      <c r="G21" s="120"/>
      <c r="H21" s="4" t="str">
        <f>IFERROR(VLOOKUP(F21,Abilities,4,FALSE),"")</f>
        <v>LW2</v>
      </c>
      <c r="I21" s="121" t="s">
        <v>962</v>
      </c>
      <c r="J21" s="120"/>
      <c r="K21" s="35" t="str">
        <f>IFERROR(VLOOKUP(I21,Abilities,4,FALSE),"")</f>
        <v>BLANK</v>
      </c>
      <c r="L21" s="122" t="s">
        <v>140</v>
      </c>
      <c r="M21" s="120"/>
      <c r="N21" s="10" t="str">
        <f>IFERROR(VLOOKUP(L21,Abilities,4,FALSE),"")</f>
        <v>XCOM2</v>
      </c>
      <c r="O21" s="36" t="s">
        <v>459</v>
      </c>
      <c r="P21" s="37"/>
      <c r="Q21" s="37"/>
      <c r="R21" s="37"/>
      <c r="S21" s="37"/>
      <c r="T21" s="37"/>
      <c r="U21" s="38"/>
      <c r="V21" s="190" t="s">
        <v>791</v>
      </c>
      <c r="W21" s="191"/>
    </row>
    <row r="22" spans="1:23" ht="15.75" thickBot="1" x14ac:dyDescent="0.3">
      <c r="A22" s="181"/>
      <c r="B22" s="182"/>
      <c r="C22" s="182"/>
      <c r="D22" s="182"/>
      <c r="E22" s="183"/>
      <c r="F22" s="144">
        <f>IFERROR(VLOOKUP(F21,Abilities,7,FALSE),"")</f>
        <v>0</v>
      </c>
      <c r="G22" s="130"/>
      <c r="H22" s="131"/>
      <c r="I22" s="129" t="str">
        <f>IFERROR(VLOOKUP(I21,Abilities,7,FALSE),"")</f>
        <v xml:space="preserve"> </v>
      </c>
      <c r="J22" s="130"/>
      <c r="K22" s="131"/>
      <c r="L22" s="130" t="str">
        <f>IFERROR(VLOOKUP(L21,Abilities,7,FALSE),"")</f>
        <v>Equipped medikits have 2 extra charges.</v>
      </c>
      <c r="M22" s="130"/>
      <c r="N22" s="135"/>
      <c r="O22" s="39" t="s">
        <v>460</v>
      </c>
      <c r="P22" s="40"/>
      <c r="Q22" s="41"/>
      <c r="R22" s="41"/>
      <c r="S22" s="40"/>
      <c r="T22" s="40"/>
      <c r="U22" s="42"/>
      <c r="V22" s="192" t="s">
        <v>792</v>
      </c>
      <c r="W22" s="193"/>
    </row>
    <row r="23" spans="1:23" ht="15.75" thickBot="1" x14ac:dyDescent="0.3">
      <c r="A23" s="184" t="s">
        <v>352</v>
      </c>
      <c r="B23" s="185"/>
      <c r="C23" s="185"/>
      <c r="D23" s="185"/>
      <c r="E23" s="186"/>
      <c r="F23" s="167"/>
      <c r="G23" s="147"/>
      <c r="H23" s="148"/>
      <c r="I23" s="146"/>
      <c r="J23" s="147"/>
      <c r="K23" s="148"/>
      <c r="L23" s="147"/>
      <c r="M23" s="147"/>
      <c r="N23" s="168"/>
      <c r="O23" s="14"/>
      <c r="P23" s="14"/>
      <c r="Q23" s="3"/>
      <c r="V23" s="190" t="s">
        <v>793</v>
      </c>
      <c r="W23" s="191"/>
    </row>
    <row r="24" spans="1:23" ht="18" thickBot="1" x14ac:dyDescent="0.35">
      <c r="A24" s="187"/>
      <c r="B24" s="188"/>
      <c r="C24" s="188"/>
      <c r="D24" s="188"/>
      <c r="E24" s="189"/>
      <c r="F24" s="169" t="s">
        <v>444</v>
      </c>
      <c r="G24" s="170"/>
      <c r="H24" s="170"/>
      <c r="I24" s="170"/>
      <c r="J24" s="170"/>
      <c r="K24" s="170"/>
      <c r="L24" s="170"/>
      <c r="M24" s="170"/>
      <c r="N24" s="171"/>
      <c r="O24" s="14"/>
      <c r="P24" s="14"/>
      <c r="Q24" s="3"/>
      <c r="V24" s="192" t="s">
        <v>794</v>
      </c>
      <c r="W24" s="193"/>
    </row>
    <row r="25" spans="1:23" ht="15.75" thickTop="1" x14ac:dyDescent="0.25">
      <c r="A25" s="50"/>
      <c r="B25" s="51"/>
      <c r="C25" s="51"/>
      <c r="D25" s="51"/>
      <c r="E25" s="52"/>
      <c r="F25" s="119" t="s">
        <v>1066</v>
      </c>
      <c r="G25" s="120"/>
      <c r="H25" s="4" t="str">
        <f>IFERROR(VLOOKUP(F25,Abilities,4,FALSE),"")</f>
        <v>LWD</v>
      </c>
      <c r="I25" s="121" t="s">
        <v>962</v>
      </c>
      <c r="J25" s="120"/>
      <c r="K25" s="35" t="str">
        <f>IFERROR(VLOOKUP(I25,Abilities,4,FALSE),"")</f>
        <v>BLANK</v>
      </c>
      <c r="L25" s="122" t="s">
        <v>278</v>
      </c>
      <c r="M25" s="120"/>
      <c r="N25" s="10" t="str">
        <f>IFERROR(VLOOKUP(L25,Abilities,4,FALSE),"")</f>
        <v>LW2</v>
      </c>
      <c r="O25" s="14"/>
      <c r="P25" s="14"/>
      <c r="Q25" s="3"/>
      <c r="V25" s="190" t="s">
        <v>795</v>
      </c>
      <c r="W25" s="191"/>
    </row>
    <row r="26" spans="1:23" x14ac:dyDescent="0.25">
      <c r="A26" s="50"/>
      <c r="B26" s="51"/>
      <c r="C26" s="51"/>
      <c r="D26" s="51"/>
      <c r="E26" s="52"/>
      <c r="F26" s="144" t="str">
        <f>IFERROR(VLOOKUP(F25,Abilities,7,FALSE),"")</f>
        <v>Hotwire ruptures robots.</v>
      </c>
      <c r="G26" s="130"/>
      <c r="H26" s="131"/>
      <c r="I26" s="129" t="str">
        <f>IFERROR(VLOOKUP(I25,Abilities,7,FALSE),"")</f>
        <v xml:space="preserve"> </v>
      </c>
      <c r="J26" s="130"/>
      <c r="K26" s="131"/>
      <c r="L26" s="130">
        <f>IFERROR(VLOOKUP(L25,Abilities,7,FALSE),"")</f>
        <v>0</v>
      </c>
      <c r="M26" s="130"/>
      <c r="N26" s="135"/>
      <c r="O26" s="14"/>
      <c r="P26" s="14"/>
      <c r="Q26" s="3"/>
      <c r="V26" s="190" t="s">
        <v>797</v>
      </c>
      <c r="W26" s="191"/>
    </row>
    <row r="27" spans="1:23" ht="15.75" thickBot="1" x14ac:dyDescent="0.3">
      <c r="A27" s="50"/>
      <c r="B27" s="51"/>
      <c r="C27" s="51"/>
      <c r="D27" s="51"/>
      <c r="E27" s="52"/>
      <c r="F27" s="167"/>
      <c r="G27" s="147"/>
      <c r="H27" s="148"/>
      <c r="I27" s="146"/>
      <c r="J27" s="147"/>
      <c r="K27" s="148"/>
      <c r="L27" s="147"/>
      <c r="M27" s="147"/>
      <c r="N27" s="168"/>
      <c r="O27" s="14"/>
      <c r="P27" s="14"/>
      <c r="Q27" s="3"/>
      <c r="V27" s="192" t="s">
        <v>798</v>
      </c>
      <c r="W27" s="193"/>
    </row>
    <row r="28" spans="1:23" ht="18" thickBot="1" x14ac:dyDescent="0.35">
      <c r="A28" s="50"/>
      <c r="B28" s="51"/>
      <c r="C28" s="51"/>
      <c r="D28" s="51"/>
      <c r="E28" s="52"/>
      <c r="F28" s="169" t="s">
        <v>445</v>
      </c>
      <c r="G28" s="170"/>
      <c r="H28" s="170"/>
      <c r="I28" s="170"/>
      <c r="J28" s="170"/>
      <c r="K28" s="170"/>
      <c r="L28" s="170"/>
      <c r="M28" s="170"/>
      <c r="N28" s="171"/>
      <c r="O28" s="14"/>
      <c r="P28" s="14"/>
      <c r="Q28" s="3"/>
      <c r="V28" s="190" t="s">
        <v>799</v>
      </c>
      <c r="W28" s="191"/>
    </row>
    <row r="29" spans="1:23" ht="15.75" thickTop="1" x14ac:dyDescent="0.25">
      <c r="A29" s="50"/>
      <c r="B29" s="51"/>
      <c r="C29" s="51"/>
      <c r="D29" s="51"/>
      <c r="E29" s="52"/>
      <c r="F29" s="119" t="s">
        <v>1052</v>
      </c>
      <c r="G29" s="120"/>
      <c r="H29" s="4" t="str">
        <f>IFERROR(VLOOKUP(F29,Abilities,4,FALSE),"")</f>
        <v>LWD</v>
      </c>
      <c r="I29" s="121" t="s">
        <v>962</v>
      </c>
      <c r="J29" s="120"/>
      <c r="K29" s="35" t="str">
        <f>IFERROR(VLOOKUP(I29,Abilities,4,FALSE),"")</f>
        <v>BLANK</v>
      </c>
      <c r="L29" s="122" t="s">
        <v>1055</v>
      </c>
      <c r="M29" s="120"/>
      <c r="N29" s="10" t="str">
        <f>IFERROR(VLOOKUP(L29,Abilities,4,FALSE),"")</f>
        <v>LWD</v>
      </c>
      <c r="O29" s="14"/>
      <c r="P29" s="14"/>
      <c r="Q29" s="3"/>
      <c r="V29" s="190" t="s">
        <v>825</v>
      </c>
      <c r="W29" s="191"/>
    </row>
    <row r="30" spans="1:23" x14ac:dyDescent="0.25">
      <c r="A30" s="50"/>
      <c r="B30" s="51"/>
      <c r="C30" s="51"/>
      <c r="D30" s="51"/>
      <c r="E30" s="52"/>
      <c r="F30" s="144" t="str">
        <f>IFERROR(VLOOKUP(F29,Abilities,7,FALSE),"")</f>
        <v>You always carry an EMP grenade into battle. The area of your EMP grenades is increased.</v>
      </c>
      <c r="G30" s="130"/>
      <c r="H30" s="131"/>
      <c r="I30" s="129" t="str">
        <f>IFERROR(VLOOKUP(I29,Abilities,7,FALSE),"")</f>
        <v xml:space="preserve"> </v>
      </c>
      <c r="J30" s="130"/>
      <c r="K30" s="131"/>
      <c r="L30" s="130" t="str">
        <f>IFERROR(VLOOKUP(L29,Abilities,7,FALSE),"")</f>
        <v>You gain two extra charges of skullmining when equipped with a skulljack.</v>
      </c>
      <c r="M30" s="130"/>
      <c r="N30" s="135"/>
      <c r="O30" s="14"/>
      <c r="P30" s="14"/>
      <c r="Q30" s="3"/>
      <c r="V30" s="190" t="s">
        <v>819</v>
      </c>
      <c r="W30" s="191"/>
    </row>
    <row r="31" spans="1:23" ht="15.75" thickBot="1" x14ac:dyDescent="0.3">
      <c r="A31" s="50"/>
      <c r="B31" s="51"/>
      <c r="C31" s="51"/>
      <c r="D31" s="51"/>
      <c r="E31" s="52"/>
      <c r="F31" s="167"/>
      <c r="G31" s="147"/>
      <c r="H31" s="148"/>
      <c r="I31" s="146"/>
      <c r="J31" s="147"/>
      <c r="K31" s="148"/>
      <c r="L31" s="147"/>
      <c r="M31" s="147"/>
      <c r="N31" s="168"/>
      <c r="O31" s="14"/>
      <c r="P31" s="14"/>
      <c r="Q31" s="3"/>
      <c r="V31" s="192" t="s">
        <v>820</v>
      </c>
      <c r="W31" s="193"/>
    </row>
    <row r="32" spans="1:23" ht="18" thickBot="1" x14ac:dyDescent="0.35">
      <c r="A32" s="50"/>
      <c r="B32" s="51"/>
      <c r="C32" s="51"/>
      <c r="D32" s="51"/>
      <c r="E32" s="52"/>
      <c r="F32" s="169" t="s">
        <v>446</v>
      </c>
      <c r="G32" s="170"/>
      <c r="H32" s="170"/>
      <c r="I32" s="170"/>
      <c r="J32" s="170"/>
      <c r="K32" s="170"/>
      <c r="L32" s="170"/>
      <c r="M32" s="170"/>
      <c r="N32" s="171"/>
      <c r="O32" s="14"/>
      <c r="P32" s="14"/>
      <c r="Q32" s="3"/>
      <c r="V32" s="192" t="s">
        <v>815</v>
      </c>
      <c r="W32" s="193"/>
    </row>
    <row r="33" spans="1:23" ht="15.75" thickTop="1" x14ac:dyDescent="0.25">
      <c r="A33" s="50"/>
      <c r="B33" s="51"/>
      <c r="C33" s="51"/>
      <c r="D33" s="51"/>
      <c r="E33" s="52"/>
      <c r="F33" s="121" t="s">
        <v>962</v>
      </c>
      <c r="G33" s="120"/>
      <c r="H33" s="4" t="str">
        <f>IFERROR(VLOOKUP(F33,Abilities,4,FALSE),"")</f>
        <v>BLANK</v>
      </c>
      <c r="I33" s="121" t="s">
        <v>1066</v>
      </c>
      <c r="J33" s="120"/>
      <c r="K33" s="35" t="str">
        <f>IFERROR(VLOOKUP(I33,Abilities,4,FALSE),"")</f>
        <v>LWD</v>
      </c>
      <c r="L33" s="121" t="s">
        <v>962</v>
      </c>
      <c r="M33" s="120"/>
      <c r="N33" s="10" t="str">
        <f>IFERROR(VLOOKUP(L33,Abilities,4,FALSE),"")</f>
        <v>BLANK</v>
      </c>
      <c r="O33" s="14"/>
      <c r="P33" s="14"/>
      <c r="Q33" s="3"/>
      <c r="V33" s="192" t="s">
        <v>785</v>
      </c>
      <c r="W33" s="193"/>
    </row>
    <row r="34" spans="1:23" x14ac:dyDescent="0.25">
      <c r="A34" s="50"/>
      <c r="B34" s="51"/>
      <c r="C34" s="51"/>
      <c r="D34" s="51"/>
      <c r="E34" s="52"/>
      <c r="F34" s="144" t="str">
        <f>IFERROR(VLOOKUP(F33,Abilities,7,FALSE),"")</f>
        <v xml:space="preserve"> </v>
      </c>
      <c r="G34" s="130"/>
      <c r="H34" s="131"/>
      <c r="I34" s="129" t="str">
        <f>IFERROR(VLOOKUP(I33,Abilities,7,FALSE),"")</f>
        <v>Hotwire ruptures robots.</v>
      </c>
      <c r="J34" s="130"/>
      <c r="K34" s="131"/>
      <c r="L34" s="130" t="str">
        <f>IFERROR(VLOOKUP(L33,Abilities,7,FALSE),"")</f>
        <v xml:space="preserve"> </v>
      </c>
      <c r="M34" s="130"/>
      <c r="N34" s="135"/>
      <c r="O34" s="14"/>
      <c r="P34" s="14"/>
      <c r="Q34" s="3"/>
      <c r="V34" s="190" t="s">
        <v>816</v>
      </c>
      <c r="W34" s="191"/>
    </row>
    <row r="35" spans="1:23" ht="15.75" thickBot="1" x14ac:dyDescent="0.3">
      <c r="A35" s="50"/>
      <c r="B35" s="51"/>
      <c r="C35" s="51"/>
      <c r="D35" s="51"/>
      <c r="E35" s="52"/>
      <c r="F35" s="167"/>
      <c r="G35" s="147"/>
      <c r="H35" s="148"/>
      <c r="I35" s="146"/>
      <c r="J35" s="147"/>
      <c r="K35" s="148"/>
      <c r="L35" s="147"/>
      <c r="M35" s="147"/>
      <c r="N35" s="168"/>
      <c r="O35" s="14"/>
      <c r="P35" s="14"/>
      <c r="Q35" s="3"/>
      <c r="V35" s="194" t="s">
        <v>1182</v>
      </c>
      <c r="W35" s="195"/>
    </row>
    <row r="36" spans="1:23" ht="18" thickBot="1" x14ac:dyDescent="0.35">
      <c r="A36" s="50"/>
      <c r="B36" s="51"/>
      <c r="C36" s="51"/>
      <c r="D36" s="51"/>
      <c r="E36" s="52"/>
      <c r="F36" s="169" t="s">
        <v>447</v>
      </c>
      <c r="G36" s="170"/>
      <c r="H36" s="170"/>
      <c r="I36" s="170"/>
      <c r="J36" s="170"/>
      <c r="K36" s="170"/>
      <c r="L36" s="170"/>
      <c r="M36" s="170"/>
      <c r="N36" s="171"/>
    </row>
    <row r="37" spans="1:23" ht="15.75" thickTop="1" x14ac:dyDescent="0.25">
      <c r="A37" s="50"/>
      <c r="B37" s="51"/>
      <c r="C37" s="51"/>
      <c r="D37" s="51"/>
      <c r="E37" s="52"/>
      <c r="F37" s="119" t="s">
        <v>415</v>
      </c>
      <c r="G37" s="120"/>
      <c r="H37" s="4" t="str">
        <f>IFERROR(VLOOKUP(F37,Abilities,4,FALSE),"")</f>
        <v>LW2</v>
      </c>
      <c r="I37" s="121" t="s">
        <v>962</v>
      </c>
      <c r="J37" s="120"/>
      <c r="K37" s="35" t="str">
        <f>IFERROR(VLOOKUP(I37,Abilities,4,FALSE),"")</f>
        <v>BLANK</v>
      </c>
      <c r="L37" s="122" t="s">
        <v>421</v>
      </c>
      <c r="M37" s="120"/>
      <c r="N37" s="10" t="str">
        <f>IFERROR(VLOOKUP(L37,Abilities,4,FALSE),"")</f>
        <v>LW2</v>
      </c>
    </row>
    <row r="38" spans="1:23" x14ac:dyDescent="0.25">
      <c r="A38" s="50"/>
      <c r="B38" s="51"/>
      <c r="C38" s="51"/>
      <c r="D38" s="51"/>
      <c r="E38" s="52"/>
      <c r="F38" s="144">
        <f>IFERROR(VLOOKUP(F37,Abilities,7,FALSE),"")</f>
        <v>0</v>
      </c>
      <c r="G38" s="130"/>
      <c r="H38" s="131"/>
      <c r="I38" s="129" t="str">
        <f>IFERROR(VLOOKUP(I37,Abilities,7,FALSE),"")</f>
        <v xml:space="preserve"> </v>
      </c>
      <c r="J38" s="130"/>
      <c r="K38" s="131"/>
      <c r="L38" s="130">
        <f>IFERROR(VLOOKUP(L37,Abilities,7,FALSE),"")</f>
        <v>0</v>
      </c>
      <c r="M38" s="130"/>
      <c r="N38" s="135"/>
    </row>
    <row r="39" spans="1:23" ht="15.75" thickBot="1" x14ac:dyDescent="0.3">
      <c r="A39" s="53"/>
      <c r="B39" s="54"/>
      <c r="C39" s="54"/>
      <c r="D39" s="54"/>
      <c r="E39" s="55"/>
      <c r="F39" s="167"/>
      <c r="G39" s="147"/>
      <c r="H39" s="148"/>
      <c r="I39" s="146"/>
      <c r="J39" s="147"/>
      <c r="K39" s="148"/>
      <c r="L39" s="147"/>
      <c r="M39" s="147"/>
      <c r="N39" s="168"/>
    </row>
    <row r="40" spans="1:23" ht="15" customHeight="1" x14ac:dyDescent="0.25">
      <c r="A40" s="86" t="s">
        <v>1200</v>
      </c>
      <c r="B40" s="86"/>
      <c r="C40" s="88" t="str">
        <f>SUBSTITUTE(C1," ","")</f>
        <v>FieldScientist</v>
      </c>
      <c r="D40" s="88"/>
      <c r="E40" s="88"/>
      <c r="F40" s="238"/>
      <c r="G40" s="238"/>
      <c r="H40" s="237"/>
      <c r="I40" s="237"/>
      <c r="J40" s="237"/>
    </row>
    <row r="41" spans="1:23" ht="15" customHeight="1" thickBot="1" x14ac:dyDescent="0.3">
      <c r="A41" s="87"/>
      <c r="B41" s="87"/>
      <c r="C41" s="89"/>
      <c r="D41" s="89"/>
      <c r="E41" s="89"/>
      <c r="F41" s="239"/>
      <c r="G41" s="239"/>
      <c r="H41" s="237"/>
      <c r="I41" s="237"/>
      <c r="J41" s="237"/>
    </row>
    <row r="42" spans="1:23" ht="16.5" thickBot="1" x14ac:dyDescent="0.3">
      <c r="A42" s="242" t="s">
        <v>339</v>
      </c>
      <c r="B42" s="244"/>
      <c r="C42" s="253" t="s">
        <v>342</v>
      </c>
      <c r="D42" s="247"/>
      <c r="E42" s="251" t="s">
        <v>343</v>
      </c>
      <c r="F42" s="250"/>
      <c r="G42" s="234"/>
      <c r="H42" s="235"/>
      <c r="I42" s="235"/>
      <c r="J42" s="235"/>
    </row>
    <row r="43" spans="1:23" x14ac:dyDescent="0.25">
      <c r="A43" s="243" t="str">
        <f ca="1">"; "&amp;INDIRECT("C1")&amp;" class data"</f>
        <v>; Field Scientist class data</v>
      </c>
      <c r="B43" s="234" t="s">
        <v>340</v>
      </c>
      <c r="C43" s="254" t="str">
        <f ca="1">"; "&amp;INDIRECT("C1")&amp;" class loadout"</f>
        <v>; Field Scientist class loadout</v>
      </c>
      <c r="D43" s="234" t="s">
        <v>340</v>
      </c>
      <c r="E43" s="252" t="str">
        <f ca="1">"["&amp;INDIRECT("C3")&amp;" X2SoldierClassTemplate]"</f>
        <v>[LWD_FieldScientist X2SoldierClassTemplate]</v>
      </c>
      <c r="F43" s="234" t="s">
        <v>340</v>
      </c>
      <c r="G43" s="234"/>
      <c r="H43" s="235"/>
      <c r="I43" s="235"/>
      <c r="J43" s="235"/>
    </row>
    <row r="44" spans="1:23" x14ac:dyDescent="0.25">
      <c r="A44" s="240"/>
      <c r="B44" s="234"/>
      <c r="C44" s="245"/>
      <c r="D44" s="234" t="s">
        <v>340</v>
      </c>
      <c r="E44" s="248" t="str">
        <f ca="1">"+DisplayName="""&amp;INDIRECT("C1")&amp;""""</f>
        <v>+DisplayName="Field Scientist"</v>
      </c>
      <c r="F44" s="234" t="s">
        <v>340</v>
      </c>
      <c r="G44" s="234"/>
      <c r="H44" s="235"/>
      <c r="I44" s="235"/>
      <c r="J44" s="235"/>
    </row>
    <row r="45" spans="1:23" x14ac:dyDescent="0.25">
      <c r="A45" s="240" t="str">
        <f>"[XComGame.X2SoldierClass_DefaultClasses]"</f>
        <v>[XComGame.X2SoldierClass_DefaultClasses]</v>
      </c>
      <c r="B45" s="234" t="s">
        <v>340</v>
      </c>
      <c r="C45" s="245" t="s">
        <v>341</v>
      </c>
      <c r="D45" s="234" t="s">
        <v>340</v>
      </c>
      <c r="E45" s="248" t="str">
        <f ca="1">"+ClassSummary="""&amp;INDIRECT("A20")&amp;""""</f>
        <v>+ClassSummary="Field Scientists forgo the lab to aid our soldiers directly on the battlefield. They've got some ways to use their arc thrower to keep our soldiers in the fight."</v>
      </c>
      <c r="F45" s="234" t="s">
        <v>340</v>
      </c>
      <c r="G45" s="234"/>
      <c r="H45" s="235"/>
      <c r="I45" s="235"/>
      <c r="J45" s="235"/>
    </row>
    <row r="46" spans="1:23" x14ac:dyDescent="0.25">
      <c r="A46" s="240" t="str">
        <f ca="1">"+SoldierClasses="&amp;INDIRECT("C3")</f>
        <v>+SoldierClasses=LWD_FieldScientist</v>
      </c>
      <c r="B46" s="234" t="s">
        <v>340</v>
      </c>
      <c r="C46" s="245"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+Loadouts=(LoadoutName="SquaddieLWD_FieldScientist", Items[0]=(Item="AssaultRifle_CV"), Items[1]=(Item="Arcthrower_CV"))</v>
      </c>
      <c r="D46" s="234" t="s">
        <v>340</v>
      </c>
      <c r="E46" s="248" t="str">
        <f ca="1">"+LeftAbilityTreeTitle="""&amp;INDIRECT("F11")&amp;""""</f>
        <v>+LeftAbilityTreeTitle="Electrician"</v>
      </c>
      <c r="F46" s="234" t="s">
        <v>340</v>
      </c>
      <c r="G46" s="234"/>
      <c r="H46" s="235"/>
      <c r="I46" s="234"/>
      <c r="J46" s="234"/>
    </row>
    <row r="47" spans="1:23" x14ac:dyDescent="0.25">
      <c r="A47" s="240"/>
      <c r="B47" s="234" t="s">
        <v>340</v>
      </c>
      <c r="C47" s="245"/>
      <c r="D47" s="234" t="s">
        <v>340</v>
      </c>
      <c r="E47" s="248" t="str">
        <f ca="1">"+RightAbilityTreeTitle="""&amp;INDIRECT("L11")&amp;""""</f>
        <v>+RightAbilityTreeTitle="Doctor"</v>
      </c>
      <c r="F47" s="234" t="s">
        <v>340</v>
      </c>
      <c r="G47" s="234"/>
      <c r="H47" s="235"/>
      <c r="I47" s="234"/>
      <c r="J47" s="234"/>
    </row>
    <row r="48" spans="1:23" x14ac:dyDescent="0.25">
      <c r="A48" s="240" t="str">
        <f ca="1">"["&amp;INDIRECT("C3")&amp;" X2SoldierClassTemplate]"</f>
        <v>[LWD_FieldScientist X2SoldierClassTemplate]</v>
      </c>
      <c r="B48" s="234" t="s">
        <v>340</v>
      </c>
      <c r="C48" s="245" t="s">
        <v>351</v>
      </c>
      <c r="D48" s="234" t="s">
        <v>340</v>
      </c>
      <c r="E48" s="248" t="str">
        <f>"; Nicknames"</f>
        <v>; Nicknames</v>
      </c>
      <c r="F48" s="234" t="s">
        <v>340</v>
      </c>
      <c r="G48" s="234"/>
      <c r="H48" s="234"/>
      <c r="I48" s="234"/>
      <c r="J48" s="234"/>
    </row>
    <row r="49" spans="1:10" ht="15.75" thickBot="1" x14ac:dyDescent="0.3">
      <c r="A49" s="240" t="str">
        <f ca="1">"+bMultiplayerOnly="&amp;INDIRECT("E6")</f>
        <v>+bMultiplayerOnly=0</v>
      </c>
      <c r="B49" s="234" t="s">
        <v>340</v>
      </c>
      <c r="C49" s="246" t="str">
        <f ca="1">"+DEBUG_StartingSoldierClasses="""&amp;INDIRECT("C3")&amp;""""</f>
        <v>+DEBUG_StartingSoldierClasses="LWD_FieldScientist"</v>
      </c>
      <c r="D49" s="234" t="s">
        <v>340</v>
      </c>
      <c r="E49" s="248" t="str">
        <f ca="1">IF(INDIRECT("V4")&lt;&gt;"","RandomNickNames[0]="""&amp;INDIRECT("V4")&amp;"""","")</f>
        <v>RandomNickNames[0]="Angel"</v>
      </c>
      <c r="F49" s="234" t="s">
        <v>340</v>
      </c>
      <c r="G49" s="234"/>
      <c r="H49" s="234"/>
      <c r="I49" s="234"/>
      <c r="J49" s="234"/>
    </row>
    <row r="50" spans="1:10" x14ac:dyDescent="0.25">
      <c r="A50" s="240" t="str">
        <f ca="1">"+ClassPoints="&amp;INDIRECT("E7")</f>
        <v>+ClassPoints=4</v>
      </c>
      <c r="B50" s="234" t="s">
        <v>340</v>
      </c>
      <c r="C50" s="234"/>
      <c r="D50" s="234"/>
      <c r="E50" s="248" t="str">
        <f ca="1">IF(INDIRECT("V5")&lt;&gt;"","RandomNickNames[1]="""&amp;INDIRECT("V5")&amp;"""","")</f>
        <v>RandomNickNames[1]="Bargain"</v>
      </c>
      <c r="F50" s="234" t="s">
        <v>340</v>
      </c>
      <c r="G50" s="234"/>
      <c r="H50" s="234"/>
      <c r="I50" s="234"/>
      <c r="J50" s="234"/>
    </row>
    <row r="51" spans="1:10" x14ac:dyDescent="0.25">
      <c r="A51" s="240" t="str">
        <f ca="1">"+IconImage="&amp;""""&amp;INDIRECT("E8")&amp;""""</f>
        <v>+IconImage="img:///UILibrary_LWD.class_fieldScientist"</v>
      </c>
      <c r="B51" s="234" t="s">
        <v>340</v>
      </c>
      <c r="C51" s="234"/>
      <c r="D51" s="234"/>
      <c r="E51" s="248" t="str">
        <f ca="1">IF(INDIRECT("V6")&lt;&gt;"","RandomNickNames[2]="""&amp;INDIRECT("V6")&amp;"""","")</f>
        <v>RandomNickNames[2]="Beta"</v>
      </c>
      <c r="F51" s="234" t="s">
        <v>340</v>
      </c>
      <c r="G51" s="234"/>
      <c r="H51" s="234"/>
      <c r="I51" s="234"/>
      <c r="J51" s="234"/>
    </row>
    <row r="52" spans="1:10" x14ac:dyDescent="0.25">
      <c r="A52" s="240" t="str">
        <f ca="1">"+NumInForcedDeck="&amp;INDIRECT("E9")</f>
        <v>+NumInForcedDeck=1</v>
      </c>
      <c r="B52" s="234" t="s">
        <v>340</v>
      </c>
      <c r="C52" s="234"/>
      <c r="D52" s="234"/>
      <c r="E52" s="248" t="str">
        <f ca="1">IF(INDIRECT("V7")&lt;&gt;"","RandomNickNames[3]="""&amp;INDIRECT("V7")&amp;"""","")</f>
        <v>RandomNickNames[3]="Bishop"</v>
      </c>
      <c r="F52" s="234" t="s">
        <v>340</v>
      </c>
      <c r="G52" s="234"/>
      <c r="H52" s="234"/>
      <c r="I52" s="234"/>
      <c r="J52" s="234"/>
    </row>
    <row r="53" spans="1:10" x14ac:dyDescent="0.25">
      <c r="A53" s="240" t="str">
        <f ca="1">"+NumInDeck="&amp;INDIRECT("E10")</f>
        <v>+NumInDeck=4</v>
      </c>
      <c r="B53" s="234" t="s">
        <v>340</v>
      </c>
      <c r="C53" s="234"/>
      <c r="D53" s="234"/>
      <c r="E53" s="248" t="str">
        <f ca="1">IF(INDIRECT("V8")&lt;&gt;"","RandomNickNames[4]="""&amp;INDIRECT("V8")&amp;"""","")</f>
        <v>RandomNickNames[4]="Bones"</v>
      </c>
      <c r="F53" s="234" t="s">
        <v>340</v>
      </c>
      <c r="G53" s="234"/>
      <c r="H53" s="234"/>
      <c r="I53" s="234"/>
      <c r="J53" s="234"/>
    </row>
    <row r="54" spans="1:10" x14ac:dyDescent="0.25">
      <c r="A54" s="240" t="str">
        <f ca="1">"+KillAssistsPerKill="&amp;INDIRECT("E11")</f>
        <v>+KillAssistsPerKill=3</v>
      </c>
      <c r="B54" s="234" t="s">
        <v>340</v>
      </c>
      <c r="C54" s="234"/>
      <c r="D54" s="234"/>
      <c r="E54" s="248" t="str">
        <f ca="1">IF(INDIRECT("V9")&lt;&gt;"","RandomNickNames[5]="""&amp;INDIRECT("V9")&amp;"""","")</f>
        <v>RandomNickNames[5]="Moron"</v>
      </c>
      <c r="F54" s="234" t="s">
        <v>340</v>
      </c>
      <c r="G54" s="234"/>
      <c r="H54" s="234"/>
      <c r="I54" s="234"/>
      <c r="J54" s="234"/>
    </row>
    <row r="55" spans="1:10" x14ac:dyDescent="0.25">
      <c r="A55" s="240" t="str">
        <f ca="1">"+SquaddieLoadout=Squaddie"&amp;INDIRECT("C3")</f>
        <v>+SquaddieLoadout=SquaddieLWD_FieldScientist</v>
      </c>
      <c r="B55" s="234" t="s">
        <v>340</v>
      </c>
      <c r="C55" s="234"/>
      <c r="D55" s="234"/>
      <c r="E55" s="248" t="str">
        <f ca="1">IF(INDIRECT("V10")&lt;&gt;"","RandomNickNames[6]="""&amp;INDIRECT("V10")&amp;"""","")</f>
        <v>RandomNickNames[6]="Broker"</v>
      </c>
      <c r="F55" s="234" t="s">
        <v>340</v>
      </c>
      <c r="G55" s="234"/>
      <c r="H55" s="234"/>
      <c r="I55" s="234"/>
      <c r="J55" s="234"/>
    </row>
    <row r="56" spans="1:10" x14ac:dyDescent="0.25">
      <c r="A56" s="240" t="str">
        <f ca="1">";+bAllowAWCAbilities="&amp;INDIRECT("E12")&amp;" ; Not a thing in LW2"</f>
        <v>;+bAllowAWCAbilities=1 ; Not a thing in LW2</v>
      </c>
      <c r="B56" s="234" t="s">
        <v>340</v>
      </c>
      <c r="C56" s="234"/>
      <c r="D56" s="234"/>
      <c r="E56" s="248" t="str">
        <f ca="1">IF(INDIRECT("V11")&lt;&gt;"","RandomNickNames[7]="""&amp;INDIRECT("V11")&amp;"""","")</f>
        <v>RandomNickNames[7]="Conquest"</v>
      </c>
      <c r="F56" s="234" t="s">
        <v>340</v>
      </c>
      <c r="G56" s="234"/>
      <c r="H56" s="234"/>
      <c r="I56" s="234"/>
      <c r="J56" s="234"/>
    </row>
    <row r="57" spans="1:10" x14ac:dyDescent="0.25">
      <c r="A57" s="240" t="str">
        <f ca="1">IF(INDIRECT("B5")=FALSE,";","")&amp;"+AllowedWeapons=(SlotType=eInvSlot_PrimaryWeapon, WeaponType=""rifle"")"</f>
        <v>+AllowedWeapons=(SlotType=eInvSlot_PrimaryWeapon, WeaponType="rifle")</v>
      </c>
      <c r="B57" s="234" t="s">
        <v>340</v>
      </c>
      <c r="C57" s="234"/>
      <c r="D57" s="234"/>
      <c r="E57" s="248" t="str">
        <f ca="1">IF(INDIRECT("V12")&lt;&gt;"","RandomNickNames[8]="""&amp;INDIRECT("V12")&amp;"""","")</f>
        <v>RandomNickNames[8]="Deacon"</v>
      </c>
      <c r="F57" s="234" t="s">
        <v>340</v>
      </c>
      <c r="G57" s="234"/>
      <c r="H57" s="234"/>
      <c r="I57" s="234"/>
      <c r="J57" s="234"/>
    </row>
    <row r="58" spans="1:10" x14ac:dyDescent="0.25">
      <c r="A58" s="240" t="str">
        <f ca="1">IF(INDIRECT("B6")=FALSE,";","")&amp;"+AllowedWeapons=(SlotType=eInvSlot_PrimaryWeapon, WeaponType=""cannon"")"</f>
        <v>;+AllowedWeapons=(SlotType=eInvSlot_PrimaryWeapon, WeaponType="cannon")</v>
      </c>
      <c r="B58" s="234" t="s">
        <v>340</v>
      </c>
      <c r="C58" s="234"/>
      <c r="D58" s="234"/>
      <c r="E58" s="248" t="str">
        <f ca="1">IF(INDIRECT("V13")&lt;&gt;"","RandomNickNames[9]="""&amp;INDIRECT("V13")&amp;"""","")</f>
        <v>RandomNickNames[9]="Electrician"</v>
      </c>
      <c r="F58" s="234" t="s">
        <v>340</v>
      </c>
      <c r="G58" s="234"/>
      <c r="H58" s="234"/>
      <c r="I58" s="234"/>
      <c r="J58" s="234"/>
    </row>
    <row r="59" spans="1:10" x14ac:dyDescent="0.25">
      <c r="A59" s="240" t="str">
        <f ca="1">IF(INDIRECT("B7")=FALSE,";","")&amp;"+AllowedWeapons=(SlotType=eInvSlot_PrimaryWeapon, WeaponType=""shotgun"")"</f>
        <v>;+AllowedWeapons=(SlotType=eInvSlot_PrimaryWeapon, WeaponType="shotgun")</v>
      </c>
      <c r="B59" s="234" t="s">
        <v>340</v>
      </c>
      <c r="C59" s="234"/>
      <c r="D59" s="234"/>
      <c r="E59" s="248" t="str">
        <f ca="1">IF(INDIRECT("V14")&lt;&gt;"","RandomNickNames[10]="""&amp;INDIRECT("V14")&amp;"""","")</f>
        <v>RandomNickNames[10]="Dr. Feelgood"</v>
      </c>
      <c r="F59" s="234" t="s">
        <v>340</v>
      </c>
      <c r="G59" s="234"/>
      <c r="H59" s="234"/>
      <c r="I59" s="234"/>
      <c r="J59" s="234"/>
    </row>
    <row r="60" spans="1:10" x14ac:dyDescent="0.25">
      <c r="A60" s="240" t="str">
        <f ca="1">IF(INDIRECT("B8")=FALSE,";","")&amp;"+AllowedWeapons=(SlotType=eInvSlot_PrimaryWeapon, WeaponType=""sniper_rifle"")"</f>
        <v>;+AllowedWeapons=(SlotType=eInvSlot_PrimaryWeapon, WeaponType="sniper_rifle")</v>
      </c>
      <c r="B60" s="234" t="s">
        <v>340</v>
      </c>
      <c r="C60" s="234"/>
      <c r="D60" s="234"/>
      <c r="E60" s="248" t="str">
        <f ca="1">IF(INDIRECT("V15")&lt;&gt;"","RandomNickNames[11]="""&amp;INDIRECT("V15")&amp;"""","")</f>
        <v>RandomNickNames[11]="Famine"</v>
      </c>
      <c r="F60" s="234" t="s">
        <v>340</v>
      </c>
      <c r="G60" s="234"/>
      <c r="H60" s="234"/>
      <c r="I60" s="234"/>
      <c r="J60" s="234"/>
    </row>
    <row r="61" spans="1:10" x14ac:dyDescent="0.25">
      <c r="A61" s="240" t="str">
        <f ca="1">IF(INDIRECT("B9")=FALSE,";","")&amp;"+AllowedWeapons=(SlotType=eInvSlot_SecondaryWeapon, WeaponType=""gauntlet"")"</f>
        <v>;+AllowedWeapons=(SlotType=eInvSlot_SecondaryWeapon, WeaponType="gauntlet")</v>
      </c>
      <c r="B61" s="234" t="s">
        <v>340</v>
      </c>
      <c r="C61" s="234"/>
      <c r="D61" s="234"/>
      <c r="E61" s="248" t="str">
        <f ca="1">IF(INDIRECT("V16")&lt;&gt;"","RandomNickNames[12]="""&amp;INDIRECT("V16")&amp;"""","")</f>
        <v>RandomNickNames[12]="Feedback"</v>
      </c>
      <c r="F61" s="234" t="s">
        <v>340</v>
      </c>
      <c r="G61" s="234"/>
      <c r="H61" s="234"/>
      <c r="I61" s="234"/>
      <c r="J61" s="234"/>
    </row>
    <row r="62" spans="1:10" x14ac:dyDescent="0.25">
      <c r="A62" s="240" t="str">
        <f ca="1">IF(INDIRECT("B10")=FALSE,";","")&amp;"+AllowedWeapons=(SlotType=eInvSlot_SecondaryWeapon, WeaponType=""combatknife"")"</f>
        <v>;+AllowedWeapons=(SlotType=eInvSlot_SecondaryWeapon, WeaponType="combatknife")</v>
      </c>
      <c r="B62" s="234" t="s">
        <v>340</v>
      </c>
      <c r="C62" s="234"/>
      <c r="D62" s="234"/>
      <c r="E62" s="248" t="str">
        <f ca="1">IF(INDIRECT("V17")&lt;&gt;"","RandomNickNames[13]="""&amp;INDIRECT("V17")&amp;"""","")</f>
        <v>RandomNickNames[13]="Firewall"</v>
      </c>
      <c r="F62" s="234" t="s">
        <v>340</v>
      </c>
      <c r="G62" s="234"/>
      <c r="H62" s="234"/>
      <c r="I62" s="234"/>
      <c r="J62" s="234"/>
    </row>
    <row r="63" spans="1:10" x14ac:dyDescent="0.25">
      <c r="A63" s="240" t="str">
        <f ca="1">IF(INDIRECT("B11")=FALSE,";","")&amp;"+AllowedWeapons=(SlotType=eInvSlot_SecondaryWeapon, WeaponType=""grenade_launcher"")"</f>
        <v>;+AllowedWeapons=(SlotType=eInvSlot_SecondaryWeapon, WeaponType="grenade_launcher")</v>
      </c>
      <c r="B63" s="234" t="s">
        <v>340</v>
      </c>
      <c r="C63" s="234"/>
      <c r="D63" s="234"/>
      <c r="E63" s="248" t="str">
        <f ca="1">IF(INDIRECT("V18")&lt;&gt;"","RandomNickNames[14]="""&amp;INDIRECT("V18")&amp;"""","")</f>
        <v>RandomNickNames[14]="Genius"</v>
      </c>
      <c r="F63" s="234" t="s">
        <v>340</v>
      </c>
      <c r="G63" s="234"/>
      <c r="H63" s="234"/>
      <c r="I63" s="234"/>
      <c r="J63" s="234"/>
    </row>
    <row r="64" spans="1:10" x14ac:dyDescent="0.25">
      <c r="A64" s="240" t="str">
        <f ca="1">IF(INDIRECT("B12")=FALSE,";","")&amp;"+AllowedWeapons=(SlotType=eInvSlot_SecondaryWeapon, WeaponType=""gremlin"")"</f>
        <v>;+AllowedWeapons=(SlotType=eInvSlot_SecondaryWeapon, WeaponType="gremlin")</v>
      </c>
      <c r="B64" s="234" t="s">
        <v>340</v>
      </c>
      <c r="C64" s="234"/>
      <c r="D64" s="234"/>
      <c r="E64" s="248" t="str">
        <f ca="1">IF(INDIRECT("V19")&lt;&gt;"","RandomNickNames[15]="""&amp;INDIRECT("V19")&amp;"""","")</f>
        <v>RandomNickNames[15]="Gizmo"</v>
      </c>
      <c r="F64" s="234" t="s">
        <v>340</v>
      </c>
      <c r="G64" s="234"/>
      <c r="H64" s="234"/>
      <c r="I64" s="234"/>
      <c r="J64" s="234"/>
    </row>
    <row r="65" spans="1:10" x14ac:dyDescent="0.25">
      <c r="A65" s="240" t="str">
        <f ca="1">IF(INDIRECT("B13")=FALSE,";","")&amp;"+AllowedWeapons=(SlotType=eInvSlot_SecondaryWeapon, WeaponType=""sword"")"</f>
        <v>;+AllowedWeapons=(SlotType=eInvSlot_SecondaryWeapon, WeaponType="sword")</v>
      </c>
      <c r="B65" s="234" t="s">
        <v>340</v>
      </c>
      <c r="C65" s="234"/>
      <c r="D65" s="234"/>
      <c r="E65" s="248" t="str">
        <f ca="1">IF(INDIRECT("V20")&lt;&gt;"","RandomNickNames[16]="""&amp;INDIRECT("V20")&amp;"""","")</f>
        <v>RandomNickNames[16]="Professor"</v>
      </c>
      <c r="F65" s="234" t="s">
        <v>340</v>
      </c>
      <c r="G65" s="234"/>
      <c r="H65" s="234"/>
      <c r="I65" s="234"/>
      <c r="J65" s="234"/>
    </row>
    <row r="66" spans="1:10" x14ac:dyDescent="0.25">
      <c r="A66" s="240" t="str">
        <f ca="1">IF(INDIRECT("B14")=FALSE,";","")&amp;"+AllowedWeapons=(SlotType=eInvSlot_SecondaryWeapon, WeaponType=""sawedoffshotgun"")"</f>
        <v>;+AllowedWeapons=(SlotType=eInvSlot_SecondaryWeapon, WeaponType="sawedoffshotgun")</v>
      </c>
      <c r="B66" s="234" t="s">
        <v>340</v>
      </c>
      <c r="C66" s="234"/>
      <c r="D66" s="234"/>
      <c r="E66" s="248" t="str">
        <f ca="1">IF(INDIRECT("V21")&lt;&gt;"","RandomNickNames[17]="""&amp;INDIRECT("V21")&amp;"""","")</f>
        <v>RandomNickNames[17]="Jolt"</v>
      </c>
      <c r="F66" s="234" t="s">
        <v>340</v>
      </c>
      <c r="G66" s="234"/>
      <c r="H66" s="234"/>
      <c r="I66" s="234"/>
      <c r="J66" s="234"/>
    </row>
    <row r="67" spans="1:10" x14ac:dyDescent="0.25">
      <c r="A67" s="240" t="str">
        <f ca="1">IF(INDIRECT("B15")=FALSE,";","")&amp;"+AllowedWeapons=(SlotType=eInvSlot_SecondaryWeapon, WeaponType=""arcthrower"")"</f>
        <v>+AllowedWeapons=(SlotType=eInvSlot_SecondaryWeapon, WeaponType="arcthrower")</v>
      </c>
      <c r="B67" s="234" t="s">
        <v>340</v>
      </c>
      <c r="C67" s="234"/>
      <c r="D67" s="234"/>
      <c r="E67" s="248" t="str">
        <f ca="1">IF(INDIRECT("V22")&lt;&gt;"","RandomNickNames[18]="""&amp;INDIRECT("V22")&amp;"""","")</f>
        <v>RandomNickNames[18]="Lightning"</v>
      </c>
      <c r="F67" s="234" t="s">
        <v>340</v>
      </c>
      <c r="G67" s="234"/>
      <c r="H67" s="234"/>
      <c r="I67" s="234"/>
      <c r="J67" s="234"/>
    </row>
    <row r="68" spans="1:10" x14ac:dyDescent="0.25">
      <c r="A68" s="240" t="str">
        <f ca="1">IF(INDIRECT("B16")=FALSE,";","")&amp;"+AllowedWeapons=(SlotType=eInvSlot_SecondaryWeapon, WeaponType=""holotargeter"")"</f>
        <v>;+AllowedWeapons=(SlotType=eInvSlot_SecondaryWeapon, WeaponType="holotargeter")</v>
      </c>
      <c r="B68" s="234" t="s">
        <v>340</v>
      </c>
      <c r="C68" s="234"/>
      <c r="D68" s="234"/>
      <c r="E68" s="248" t="str">
        <f ca="1">IF(INDIRECT("V23")&lt;&gt;"","RandomNickNames[19]="""&amp;INDIRECT("V23")&amp;"""","")</f>
        <v>RandomNickNames[19]="Mayday"</v>
      </c>
      <c r="F68" s="234" t="s">
        <v>340</v>
      </c>
      <c r="G68" s="234"/>
      <c r="H68" s="234"/>
      <c r="I68" s="234"/>
      <c r="J68" s="234"/>
    </row>
    <row r="69" spans="1:10" x14ac:dyDescent="0.25">
      <c r="A69" s="240" t="str">
        <f ca="1">IF(INDIRECT("B17")=FALSE,";","")&amp;"+AllowedWeapons=(SlotType=eInvSlot_SecondaryWeapon, WeaponType=""psiamp"")"</f>
        <v>;+AllowedWeapons=(SlotType=eInvSlot_SecondaryWeapon, WeaponType="psiamp")</v>
      </c>
      <c r="B69" s="234" t="s">
        <v>340</v>
      </c>
      <c r="C69" s="234"/>
      <c r="D69" s="234"/>
      <c r="E69" s="248" t="str">
        <f ca="1">IF(INDIRECT("V24")&lt;&gt;"","RandomNickNames[20]="""&amp;INDIRECT("V24")&amp;"""","")</f>
        <v>RandomNickNames[20]="Mega"</v>
      </c>
      <c r="F69" s="234" t="s">
        <v>340</v>
      </c>
      <c r="G69" s="234"/>
      <c r="H69" s="234"/>
      <c r="I69" s="234"/>
      <c r="J69" s="234"/>
    </row>
    <row r="70" spans="1:10" x14ac:dyDescent="0.25">
      <c r="A70" s="240" t="str">
        <f ca="1">IF(INDIRECT("B9")=FALSE,";","")&amp;"+AllowedWeapons=(SlotType=eInvSlot_HeavyWeapon, WeaponType=""heavyammo"")"</f>
        <v>;+AllowedWeapons=(SlotType=eInvSlot_HeavyWeapon, WeaponType="heavyammo")</v>
      </c>
      <c r="B70" s="234" t="s">
        <v>340</v>
      </c>
      <c r="C70" s="234"/>
      <c r="D70" s="234"/>
      <c r="E70" s="248" t="str">
        <f ca="1">IF(INDIRECT("V25")&lt;&gt;"","RandomNickNames[21]="""&amp;INDIRECT("V25")&amp;"""","")</f>
        <v>RandomNickNames[21]="Newton"</v>
      </c>
      <c r="F70" s="234" t="s">
        <v>340</v>
      </c>
      <c r="G70" s="234"/>
      <c r="H70" s="234"/>
      <c r="I70" s="234"/>
      <c r="J70" s="234"/>
    </row>
    <row r="71" spans="1:10" x14ac:dyDescent="0.25">
      <c r="A71" s="240" t="str">
        <f ca="1">IF(INDIRECT("B9")=TRUE,";","")&amp;"+AllowedWeapons=(SlotType=eInvSlot_HeavyWeapon, WeaponType=""heavy"")"</f>
        <v>+AllowedWeapons=(SlotType=eInvSlot_HeavyWeapon, WeaponType="heavy")</v>
      </c>
      <c r="B71" s="234" t="s">
        <v>340</v>
      </c>
      <c r="C71" s="234"/>
      <c r="D71" s="234"/>
      <c r="E71" s="248" t="str">
        <f ca="1">IF(INDIRECT("V26")&lt;&gt;"","RandomNickNames[22]="""&amp;INDIRECT("V26")&amp;"""","")</f>
        <v>RandomNickNames[22]="Ragtime"</v>
      </c>
      <c r="F71" s="234" t="s">
        <v>340</v>
      </c>
      <c r="G71" s="234"/>
      <c r="H71" s="234"/>
      <c r="I71" s="234"/>
      <c r="J71" s="234"/>
    </row>
    <row r="72" spans="1:10" x14ac:dyDescent="0.25">
      <c r="A72" s="240" t="str">
        <f ca="1">"+AllowedArmors="&amp;INDIRECT("E13")</f>
        <v>+AllowedArmors=soldier</v>
      </c>
      <c r="B72" s="234" t="s">
        <v>340</v>
      </c>
      <c r="C72" s="234"/>
      <c r="D72" s="234"/>
      <c r="E72" s="248" t="str">
        <f ca="1">IF(INDIRECT("V27")&lt;&gt;"","RandomNickNames[23]="""&amp;INDIRECT("V27")&amp;"""","")</f>
        <v>RandomNickNames[23]="Rascal"</v>
      </c>
      <c r="F72" s="234" t="s">
        <v>340</v>
      </c>
      <c r="G72" s="234"/>
      <c r="H72" s="234"/>
      <c r="I72" s="234"/>
      <c r="J72" s="234"/>
    </row>
    <row r="73" spans="1:10" x14ac:dyDescent="0.25">
      <c r="A73" s="240" t="str">
        <f>"; squaddie"</f>
        <v>; squaddie</v>
      </c>
      <c r="B73" s="234" t="s">
        <v>340</v>
      </c>
      <c r="C73" s="234"/>
      <c r="D73" s="234"/>
      <c r="E73" s="248" t="str">
        <f ca="1">IF(INDIRECT("V28")&lt;&gt;"","RandomNickNames[24]="""&amp;INDIRECT("V28")&amp;"""","")</f>
        <v>RandomNickNames[24]="Rattler"</v>
      </c>
      <c r="F73" s="234" t="s">
        <v>340</v>
      </c>
      <c r="G73" s="234"/>
      <c r="H73" s="234"/>
      <c r="I73" s="234"/>
      <c r="J73" s="234"/>
    </row>
    <row r="74" spans="1:10" x14ac:dyDescent="0.25">
      <c r="A74" s="240" t="str">
        <f ca="1">"+SoldierRanks=(  aAbilityTree=( (AbilityName="""&amp;VLOOKUP(INDIRECT("F4"),Abilities,2,FALSE)&amp;""""&amp;IF(VLOOKUP(INDIRECT("F4"),Abilities,3,FALSE)="","",", ApplyToWeaponSlot=eInvSlot_"&amp;VLOOKUP(INDIRECT("F4"),Abilities,3,FALSE))&amp;"), \\"</f>
        <v>+SoldierRanks=(  aAbilityTree=( (AbilityName="ArcthrowerStun", ApplyToWeaponSlot=eInvSlot_SecondaryWeapon), \\</v>
      </c>
      <c r="B74" s="234" t="s">
        <v>340</v>
      </c>
      <c r="C74" s="234"/>
      <c r="D74" s="234"/>
      <c r="E74" s="248" t="str">
        <f ca="1">IF(INDIRECT("V29")&lt;&gt;"","RandomNickNames[25]="""&amp;INDIRECT("V29")&amp;"""","")</f>
        <v>RandomNickNames[25]="Revelation"</v>
      </c>
      <c r="F74" s="234" t="s">
        <v>340</v>
      </c>
      <c r="G74" s="234"/>
      <c r="H74" s="234"/>
      <c r="I74" s="234"/>
      <c r="J74" s="234"/>
    </row>
    <row r="75" spans="1:10" x14ac:dyDescent="0.25">
      <c r="A75" s="240" t="str">
        <f ca="1">IF(INDIRECT("I4")="","\\","(AbilityName="""&amp;VLOOKUP(INDIRECT("I4"),Abilities,2,FALSE)&amp;""""&amp;IF(VLOOKUP(INDIRECT("I4"),Abilities,3,FALSE)="","",", ApplyToWeaponSlot=eInvSlot_"&amp;VLOOKUP(INDIRECT("I4"),Abilities,3,FALSE))&amp;"), \\")</f>
        <v>(AbilityName="LWD_Hotwire", ApplyToWeaponSlot=eInvSlot_SecondaryWeapon), \\</v>
      </c>
      <c r="B75" s="234" t="s">
        <v>340</v>
      </c>
      <c r="C75" s="234"/>
      <c r="D75" s="234"/>
      <c r="E75" s="248" t="str">
        <f ca="1">IF(INDIRECT("V30")&lt;&gt;"","RandomNickNames[26]="""&amp;INDIRECT("V30")&amp;"""","")</f>
        <v>RandomNickNames[26]="Skipper"</v>
      </c>
      <c r="F75" s="234" t="s">
        <v>340</v>
      </c>
      <c r="G75" s="234"/>
      <c r="H75" s="234"/>
      <c r="I75" s="234"/>
      <c r="J75" s="234"/>
    </row>
    <row r="76" spans="1:10" x14ac:dyDescent="0.25">
      <c r="A76" s="240" t="str">
        <f ca="1">IF(INDIRECT("L4")="","\\","(AbilityName="""&amp;VLOOKUP(INDIRECT("L4"),Abilities,2,FALSE)&amp;""""&amp;IF(VLOOKUP(INDIRECT("L4"),Abilities,3,FALSE)="","",", ApplyToWeaponSlot=eInvSlot_"&amp;VLOOKUP(INDIRECT("L4"),Abilities,3,FALSE))&amp;"), \\")</f>
        <v>(AbilityName="LWD_Clear", ApplyToWeaponSlot=eInvSlot_SecondaryWeapon), \\</v>
      </c>
      <c r="B76" s="234" t="s">
        <v>340</v>
      </c>
      <c r="C76" s="234"/>
      <c r="D76" s="234"/>
      <c r="E76" s="248" t="str">
        <f ca="1">IF(INDIRECT("V31")&lt;&gt;"","RandomNickNames[27]="""&amp;INDIRECT("V31")&amp;"""","")</f>
        <v>RandomNickNames[27]="Thunder"</v>
      </c>
      <c r="F76" s="234" t="s">
        <v>340</v>
      </c>
      <c r="G76" s="234"/>
      <c r="H76" s="234"/>
      <c r="I76" s="234"/>
      <c r="J76" s="234"/>
    </row>
    <row r="77" spans="1:10" x14ac:dyDescent="0.25">
      <c r="A77" s="240" t="str">
        <f ca="1">IF(INDIRECT("F7")="","\\","(AbilityName="""&amp;VLOOKUP(INDIRECT("F7"),Abilities,2,FALSE)&amp;""""&amp;IF(VLOOKUP(INDIRECT("F7"),Abilities,3,FALSE)="","",", ApplyToWeaponSlot=eInvSlot_"&amp;VLOOKUP(INDIRECT("F7"),Abilities,3,FALSE))&amp;"), \\")</f>
        <v>\\</v>
      </c>
      <c r="B77" s="234" t="s">
        <v>340</v>
      </c>
      <c r="C77" s="234"/>
      <c r="D77" s="234"/>
      <c r="E77" s="248" t="str">
        <f ca="1">IF(INDIRECT("V32")&lt;&gt;"","RandomNickNames[28]="""&amp;INDIRECT("V32")&amp;"""","")</f>
        <v>RandomNickNames[28]="Undertaker"</v>
      </c>
      <c r="F77" s="234" t="s">
        <v>340</v>
      </c>
      <c r="G77" s="234"/>
      <c r="H77" s="234"/>
      <c r="I77" s="234"/>
      <c r="J77" s="234"/>
    </row>
    <row r="78" spans="1:10" x14ac:dyDescent="0.25">
      <c r="A78" s="240" t="str">
        <f ca="1">IF(INDIRECT("I7")="","\\","(AbilityName="""&amp;VLOOKUP(INDIRECT("I7"),Abilities,2,FALSE)&amp;""""&amp;IF(VLOOKUP(INDIRECT("I7"),Abilities,3,FALSE)="","",", ApplyToWeaponSlot=eInvSlot_"&amp;VLOOKUP(INDIRECT("I7"),Abilities,3,FALSE))&amp;"), \\")</f>
        <v>\\</v>
      </c>
      <c r="B78" s="234" t="s">
        <v>340</v>
      </c>
      <c r="C78" s="234"/>
      <c r="D78" s="234"/>
      <c r="E78" s="248" t="str">
        <f ca="1">IF(INDIRECT("V33")&lt;&gt;"","RandomNickNames[29]="""&amp;INDIRECT("V33")&amp;"""","")</f>
        <v>RandomNickNames[29]="Doc"</v>
      </c>
      <c r="F78" s="234" t="s">
        <v>340</v>
      </c>
      <c r="G78" s="234"/>
      <c r="H78" s="234"/>
      <c r="I78" s="234"/>
      <c r="J78" s="234"/>
    </row>
    <row r="79" spans="1:10" x14ac:dyDescent="0.25">
      <c r="A79" s="240" t="str">
        <f ca="1">IF(INDIRECT("L7")="","\\","(AbilityName="""&amp;VLOOKUP(INDIRECT("L7"),Abilities,2,FALSE)&amp;""""&amp;IF(VLOOKUP(INDIRECT("L7"),Abilities,3,FALSE)="","",", ApplyToWeaponSlot=eInvSlot_"&amp;VLOOKUP(INDIRECT("L7"),Abilities,3,FALSE))&amp;"), \\")</f>
        <v>\\</v>
      </c>
      <c r="B79" s="234" t="s">
        <v>340</v>
      </c>
      <c r="C79" s="234"/>
      <c r="D79" s="234"/>
      <c r="E79" s="248" t="str">
        <f ca="1">IF(INDIRECT("V34")&lt;&gt;"","RandomNickNames[30]="""&amp;INDIRECT("V34")&amp;"""","")</f>
        <v>RandomNickNames[30]="Whoopsie"</v>
      </c>
      <c r="F79" s="234" t="s">
        <v>340</v>
      </c>
      <c r="G79" s="234"/>
      <c r="H79" s="234"/>
      <c r="I79" s="234"/>
      <c r="J79" s="234"/>
    </row>
    <row r="80" spans="1:10" x14ac:dyDescent="0.25">
      <c r="A80" s="240" t="s">
        <v>337</v>
      </c>
      <c r="B80" s="234" t="s">
        <v>340</v>
      </c>
      <c r="C80" s="234"/>
      <c r="D80" s="234"/>
      <c r="E80" s="248" t="str">
        <f ca="1">IF(INDIRECT("V35")&lt;&gt;"","RandomNickNames[31]="""&amp;INDIRECT("V35")&amp;"""","")</f>
        <v>RandomNickNames[31]="Segfault"</v>
      </c>
      <c r="F80" s="234" t="s">
        <v>340</v>
      </c>
      <c r="G80" s="234"/>
      <c r="H80" s="234"/>
      <c r="I80" s="234"/>
      <c r="J80" s="234"/>
    </row>
    <row r="81" spans="1:10" x14ac:dyDescent="0.25">
      <c r="A81" s="240"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(StatType=eStat_Hacking,StatAmount=40), (StatType=eStat_CombatSims,StatAmount=1), (StatType=eStat_Will,StatAmount=4)),\\</v>
      </c>
      <c r="B81" s="234" t="s">
        <v>340</v>
      </c>
      <c r="C81" s="234"/>
      <c r="D81" s="234"/>
      <c r="E81" s="248" t="str">
        <f>"; Male Nicknames"</f>
        <v>; Male Nicknames</v>
      </c>
      <c r="F81" s="234" t="s">
        <v>340</v>
      </c>
      <c r="G81" s="234"/>
      <c r="H81" s="234"/>
      <c r="I81" s="234"/>
      <c r="J81" s="234"/>
    </row>
    <row r="82" spans="1:10" x14ac:dyDescent="0.25">
      <c r="A82" s="240" t="s">
        <v>338</v>
      </c>
      <c r="B82" s="234" t="s">
        <v>340</v>
      </c>
      <c r="C82" s="234"/>
      <c r="D82" s="234"/>
      <c r="E82" s="248" t="str">
        <f ca="1">IF(INDIRECT("X4")&lt;&gt;"","RandomNickNames_Male[0]="""&amp;INDIRECT("X4")&amp;"""","")</f>
        <v>RandomNickNames_Male[0]="Candyman"</v>
      </c>
      <c r="F82" s="234" t="s">
        <v>340</v>
      </c>
      <c r="G82" s="234"/>
      <c r="H82" s="234"/>
      <c r="I82" s="234"/>
      <c r="J82" s="234"/>
    </row>
    <row r="83" spans="1:10" x14ac:dyDescent="0.25">
      <c r="A83" s="240" t="str">
        <f>"; lance corporal"</f>
        <v>; lance corporal</v>
      </c>
      <c r="B83" s="234" t="s">
        <v>340</v>
      </c>
      <c r="C83" s="234"/>
      <c r="D83" s="234"/>
      <c r="E83" s="248" t="str">
        <f ca="1">IF(INDIRECT("X5")&lt;&gt;"","RandomNickNames_Male[1]="""&amp;INDIRECT("X5")&amp;"""","")</f>
        <v>RandomNickNames_Male[1]="Magic Man"</v>
      </c>
      <c r="F83" s="234" t="s">
        <v>340</v>
      </c>
      <c r="G83" s="234"/>
      <c r="H83" s="234"/>
      <c r="I83" s="234"/>
      <c r="J83" s="234"/>
    </row>
    <row r="84" spans="1:10" x14ac:dyDescent="0.25">
      <c r="A84" s="240" t="str">
        <f ca="1">"+SoldierRanks=(  aAbilityTree=( (AbilityName="""&amp;VLOOKUP(INDIRECT("F13"),Abilities,2,FALSE)&amp;""""&amp;IF(VLOOKUP(INDIRECT("F13"),Abilities,3,FALSE)="","",", ApplyToWeaponSlot=eInvSlot_"&amp;VLOOKUP(INDIRECT("F13"),Abilities,3,FALSE))&amp;"), \\"</f>
        <v>+SoldierRanks=(  aAbilityTree=( (AbilityName="LWD_Juiced", ApplyToWeaponSlot=eInvSlot_SecondaryWeapon), \\</v>
      </c>
      <c r="B84" s="234" t="s">
        <v>340</v>
      </c>
      <c r="C84" s="234"/>
      <c r="D84" s="234"/>
      <c r="E84" s="248" t="str">
        <f ca="1">IF(INDIRECT("X6")&lt;&gt;"","RandomNickNames_Male[2]="""&amp;INDIRECT("X6")&amp;"""","")</f>
        <v>RandomNickNames_Male[2]="Priest"</v>
      </c>
      <c r="F84" s="234" t="s">
        <v>340</v>
      </c>
      <c r="G84" s="234"/>
      <c r="H84" s="234"/>
      <c r="I84" s="234"/>
      <c r="J84" s="234"/>
    </row>
    <row r="85" spans="1:10" x14ac:dyDescent="0.25">
      <c r="A85" s="240" t="str">
        <f ca="1">IF(INDIRECT("I13")="","\\","(AbilityName="""&amp;VLOOKUP(INDIRECT("I13"),Abilities,2,FALSE)&amp;""""&amp;IF(VLOOKUP(INDIRECT("I13"),Abilities,3,FALSE)="","",", ApplyToWeaponSlot=eInvSlot_"&amp;VLOOKUP(INDIRECT("I13"),Abilities,3,FALSE))&amp;"), \\")</f>
        <v>(AbilityName=" "), \\</v>
      </c>
      <c r="B85" s="234" t="s">
        <v>340</v>
      </c>
      <c r="C85" s="234"/>
      <c r="D85" s="234"/>
      <c r="E85" s="248" t="str">
        <f ca="1">IF(INDIRECT("X7")&lt;&gt;"","RandomNickNames_Male[3]="""&amp;INDIRECT("X7")&amp;"""","")</f>
        <v>RandomNickNames_Male[3]="Rainman"</v>
      </c>
      <c r="F85" s="234" t="s">
        <v>340</v>
      </c>
      <c r="G85" s="234"/>
      <c r="H85" s="234"/>
      <c r="I85" s="234"/>
      <c r="J85" s="234"/>
    </row>
    <row r="86" spans="1:10" x14ac:dyDescent="0.25">
      <c r="A86" s="240" t="str">
        <f ca="1">IF(INDIRECT("L13")="","\\","(AbilityName="""&amp;VLOOKUP(INDIRECT("L13"),Abilities,2,FALSE)&amp;""""&amp;IF(VLOOKUP(INDIRECT("L13"),Abilities,3,FALSE)="","",", ApplyToWeaponSlot=eInvSlot_"&amp;VLOOKUP(INDIRECT("L13"),Abilities,3,FALSE))&amp;"), \\")</f>
        <v>(AbilityName="ShadowOps_SecondWind"), \\</v>
      </c>
      <c r="B86" s="234" t="s">
        <v>340</v>
      </c>
      <c r="C86" s="234"/>
      <c r="D86" s="234"/>
      <c r="E86" s="248" t="str">
        <f ca="1">IF(INDIRECT("X8")&lt;&gt;"","RandomNickNames_Male[4]="""&amp;INDIRECT("X8")&amp;"""","")</f>
        <v>RandomNickNames_Male[4]="Rooster"</v>
      </c>
      <c r="F86" s="234" t="s">
        <v>340</v>
      </c>
      <c r="G86" s="234"/>
      <c r="H86" s="234"/>
      <c r="I86" s="234"/>
      <c r="J86" s="234"/>
    </row>
    <row r="87" spans="1:10" x14ac:dyDescent="0.25">
      <c r="A87" s="240" t="s">
        <v>337</v>
      </c>
      <c r="B87" s="234" t="s">
        <v>340</v>
      </c>
      <c r="C87" s="234"/>
      <c r="D87" s="234"/>
      <c r="E87" s="248" t="str">
        <f>"; Female Nicknames"</f>
        <v>; Female Nicknames</v>
      </c>
      <c r="F87" s="234" t="s">
        <v>340</v>
      </c>
      <c r="G87" s="234"/>
      <c r="H87" s="234"/>
      <c r="I87" s="234"/>
      <c r="J87" s="234"/>
    </row>
    <row r="88" spans="1:10" x14ac:dyDescent="0.25">
      <c r="A88" s="240"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(StatType=eStat_Hacking,StatAmount=5), (StatType=eStat_Will,StatAmount=4)),\\</v>
      </c>
      <c r="B88" s="234" t="s">
        <v>340</v>
      </c>
      <c r="C88" s="234"/>
      <c r="D88" s="234"/>
      <c r="E88" s="248" t="str">
        <f ca="1">IF(INDIRECT("X10")&lt;&gt;"","RandomNickNames_Female[0]="""&amp;INDIRECT("X10")&amp;"""","")</f>
        <v>RandomNickNames_Female[0]="Priestess"</v>
      </c>
      <c r="F88" s="234" t="s">
        <v>340</v>
      </c>
      <c r="G88" s="234"/>
      <c r="H88" s="234"/>
      <c r="I88" s="234"/>
      <c r="J88" s="234"/>
    </row>
    <row r="89" spans="1:10" x14ac:dyDescent="0.25">
      <c r="A89" s="240" t="s">
        <v>338</v>
      </c>
      <c r="B89" s="234" t="s">
        <v>340</v>
      </c>
      <c r="C89" s="234"/>
      <c r="D89" s="234"/>
      <c r="E89" s="248" t="str">
        <f ca="1">IF(INDIRECT("X11")&lt;&gt;"","RandomNickNames_Female[1]="""&amp;INDIRECT("X11")&amp;"""","")</f>
        <v>RandomNickNames_Female[1]="Wolfmother"</v>
      </c>
      <c r="F89" s="234" t="s">
        <v>340</v>
      </c>
      <c r="G89" s="234"/>
      <c r="H89" s="234"/>
      <c r="I89" s="234"/>
      <c r="J89" s="234"/>
    </row>
    <row r="90" spans="1:10" x14ac:dyDescent="0.25">
      <c r="A90" s="240" t="str">
        <f>"; corporal"</f>
        <v>; corporal</v>
      </c>
      <c r="B90" s="234" t="s">
        <v>340</v>
      </c>
      <c r="C90" s="234"/>
      <c r="D90" s="234"/>
      <c r="E90" s="248" t="str">
        <f ca="1">IF(INDIRECT("X12")&lt;&gt;"","RandomNickNames_Female[2]="""&amp;INDIRECT("X12")&amp;"""","")</f>
        <v>RandomNickNames_Female[2]="Black Widow"</v>
      </c>
      <c r="F90" s="234" t="s">
        <v>340</v>
      </c>
      <c r="G90" s="234"/>
      <c r="H90" s="234"/>
      <c r="I90" s="234"/>
      <c r="J90" s="234"/>
    </row>
    <row r="91" spans="1:10" x14ac:dyDescent="0.25">
      <c r="A91" s="240" t="str">
        <f ca="1">"+SoldierRanks=(  aAbilityTree=( (AbilityName="""&amp;VLOOKUP(INDIRECT("F17"),Abilities,2,FALSE)&amp;""""&amp;IF(VLOOKUP(INDIRECT("F17"),Abilities,3,FALSE)="","",", ApplyToWeaponSlot=eInvSlot_"&amp;VLOOKUP(INDIRECT("F17"),Abilities,3,FALSE))&amp;"), \\"</f>
        <v>+SoldierRanks=(  aAbilityTree=( (AbilityName=" "), \\</v>
      </c>
      <c r="B91" s="234" t="s">
        <v>340</v>
      </c>
      <c r="C91" s="234"/>
      <c r="D91" s="234"/>
      <c r="E91" s="248" t="str">
        <f ca="1">IF(INDIRECT("X13")&lt;&gt;"","RandomNickNames_Female[3]="""&amp;INDIRECT("X13")&amp;"""","")</f>
        <v>RandomNickNames_Female[3]="Duchess"</v>
      </c>
      <c r="F91" s="234" t="s">
        <v>340</v>
      </c>
      <c r="G91" s="234"/>
      <c r="H91" s="234"/>
      <c r="I91" s="234"/>
      <c r="J91" s="234"/>
    </row>
    <row r="92" spans="1:10" ht="15.75" thickBot="1" x14ac:dyDescent="0.3">
      <c r="A92" s="240" t="str">
        <f ca="1">IF(INDIRECT("I17")="","\\","(AbilityName="""&amp;VLOOKUP(INDIRECT("I17"),Abilities,2,FALSE)&amp;""""&amp;IF(VLOOKUP(INDIRECT("I17"),Abilities,3,FALSE)="","",", ApplyToWeaponSlot=eInvSlot_"&amp;VLOOKUP(INDIRECT("I17"),Abilities,3,FALSE))&amp;"), \\")</f>
        <v>(AbilityName="ShadowOps_Anatomist"), \\</v>
      </c>
      <c r="B92" s="234" t="s">
        <v>340</v>
      </c>
      <c r="C92" s="234"/>
      <c r="D92" s="234"/>
      <c r="E92" s="249" t="str">
        <f ca="1">IF(INDIRECT("X14")&lt;&gt;"","RandomNickNames_Female[4]="""&amp;INDIRECT("X14")&amp;"""","")</f>
        <v>RandomNickNames_Female[4]="Queen"</v>
      </c>
      <c r="F92" s="234" t="s">
        <v>340</v>
      </c>
      <c r="G92" s="234"/>
      <c r="H92" s="234"/>
      <c r="I92" s="234"/>
      <c r="J92" s="234"/>
    </row>
    <row r="93" spans="1:10" x14ac:dyDescent="0.25">
      <c r="A93" s="240" t="str">
        <f ca="1">IF(INDIRECT("L17")="","\\","(AbilityName="""&amp;VLOOKUP(INDIRECT("L17"),Abilities,2,FALSE)&amp;""""&amp;IF(VLOOKUP(INDIRECT("L17"),Abilities,3,FALSE)="","",", ApplyToWeaponSlot=eInvSlot_"&amp;VLOOKUP(INDIRECT("L17"),Abilities,3,FALSE))&amp;"), \\")</f>
        <v>(AbilityName=" "), \\</v>
      </c>
      <c r="B93" s="234" t="s">
        <v>340</v>
      </c>
      <c r="C93" s="234"/>
      <c r="D93" s="234"/>
      <c r="E93" s="234"/>
      <c r="F93" s="234"/>
      <c r="G93" s="234"/>
      <c r="H93" s="234"/>
      <c r="I93" s="234"/>
      <c r="J93" s="234"/>
    </row>
    <row r="94" spans="1:10" x14ac:dyDescent="0.25">
      <c r="A94" s="240" t="s">
        <v>337</v>
      </c>
      <c r="B94" s="234" t="s">
        <v>340</v>
      </c>
      <c r="C94" s="234"/>
      <c r="D94" s="234"/>
      <c r="E94" s="234"/>
      <c r="F94" s="234"/>
      <c r="G94" s="234"/>
      <c r="H94" s="234"/>
      <c r="I94" s="234"/>
      <c r="J94" s="234"/>
    </row>
    <row r="95" spans="1:10" x14ac:dyDescent="0.25">
      <c r="A95" s="240"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(StatType=eStat_Hacking,StatAmount=5)),\\</v>
      </c>
      <c r="B95" s="234" t="s">
        <v>340</v>
      </c>
      <c r="C95" s="234"/>
      <c r="D95" s="234"/>
      <c r="E95" s="234"/>
      <c r="F95" s="234"/>
      <c r="G95" s="234"/>
      <c r="H95" s="234"/>
      <c r="I95" s="234"/>
      <c r="J95" s="234"/>
    </row>
    <row r="96" spans="1:10" x14ac:dyDescent="0.25">
      <c r="A96" s="240" t="s">
        <v>338</v>
      </c>
      <c r="B96" s="234" t="s">
        <v>340</v>
      </c>
      <c r="C96" s="234"/>
      <c r="D96" s="234"/>
      <c r="E96" s="234"/>
      <c r="F96" s="234"/>
      <c r="G96" s="234"/>
      <c r="H96" s="234"/>
      <c r="I96" s="234"/>
      <c r="J96" s="234"/>
    </row>
    <row r="97" spans="1:10" x14ac:dyDescent="0.25">
      <c r="A97" s="240" t="str">
        <f>"; sergeant"</f>
        <v>; sergeant</v>
      </c>
      <c r="B97" s="234" t="s">
        <v>340</v>
      </c>
      <c r="C97" s="234"/>
      <c r="D97" s="234"/>
      <c r="E97" s="234"/>
      <c r="F97" s="234"/>
      <c r="G97" s="234"/>
      <c r="H97" s="234"/>
      <c r="I97" s="234"/>
      <c r="J97" s="234"/>
    </row>
    <row r="98" spans="1:10" x14ac:dyDescent="0.25">
      <c r="A98" s="240" t="str">
        <f ca="1">"+SoldierRanks=(  aAbilityTree=( (AbilityName="""&amp;VLOOKUP(INDIRECT("F21"),Abilities,2,FALSE)&amp;""""&amp;IF(VLOOKUP(INDIRECT("F21"),Abilities,3,FALSE)="","",", ApplyToWeaponSlot=eInvSlot_"&amp;VLOOKUP(INDIRECT("F21"),Abilities,3,FALSE))&amp;"), \\"</f>
        <v>+SoldierRanks=(  aAbilityTree=( (AbilityName="StunGunner", ApplyToWeaponSlot=eInvSlot_SecondaryWeapon), \\</v>
      </c>
      <c r="B98" s="234" t="s">
        <v>340</v>
      </c>
      <c r="C98" s="234"/>
      <c r="D98" s="234"/>
      <c r="E98" s="234"/>
      <c r="F98" s="234"/>
      <c r="G98" s="234"/>
      <c r="H98" s="234"/>
      <c r="I98" s="234"/>
      <c r="J98" s="234"/>
    </row>
    <row r="99" spans="1:10" x14ac:dyDescent="0.25">
      <c r="A99" s="240" t="str">
        <f ca="1">IF(INDIRECT("I21")="","\\","(AbilityName="""&amp;VLOOKUP(INDIRECT("I21"),Abilities,2,FALSE)&amp;""""&amp;IF(VLOOKUP(INDIRECT("I21"),Abilities,3,FALSE)="","",", ApplyToWeaponSlot=eInvSlot_"&amp;VLOOKUP(INDIRECT("I21"),Abilities,3,FALSE))&amp;"), \\")</f>
        <v>(AbilityName=" "), \\</v>
      </c>
      <c r="B99" s="234" t="s">
        <v>340</v>
      </c>
      <c r="C99" s="234"/>
      <c r="D99" s="234"/>
      <c r="E99" s="234"/>
      <c r="F99" s="234"/>
      <c r="G99" s="234"/>
      <c r="H99" s="234"/>
      <c r="I99" s="234"/>
      <c r="J99" s="234"/>
    </row>
    <row r="100" spans="1:10" x14ac:dyDescent="0.25">
      <c r="A100" s="240" t="str">
        <f ca="1">IF(INDIRECT("L21")="","\\","(AbilityName="""&amp;VLOOKUP(INDIRECT("L21"),Abilities,2,FALSE)&amp;""""&amp;IF(VLOOKUP(INDIRECT("L21"),Abilities,3,FALSE)="","",", ApplyToWeaponSlot=eInvSlot_"&amp;VLOOKUP(INDIRECT("L21"),Abilities,3,FALSE))&amp;"), \\")</f>
        <v>(AbilityName="FieldMedic", ApplyToWeaponSlot=eInvSlot_Unknown), \\</v>
      </c>
      <c r="B100" s="234" t="s">
        <v>340</v>
      </c>
      <c r="C100" s="234"/>
      <c r="D100" s="234"/>
      <c r="E100" s="234"/>
      <c r="F100" s="234"/>
      <c r="G100" s="234"/>
      <c r="H100" s="234"/>
      <c r="I100" s="234"/>
      <c r="J100" s="234"/>
    </row>
    <row r="101" spans="1:10" x14ac:dyDescent="0.25">
      <c r="A101" s="240" t="s">
        <v>337</v>
      </c>
      <c r="B101" s="234" t="s">
        <v>340</v>
      </c>
      <c r="C101" s="234"/>
      <c r="D101" s="234"/>
      <c r="E101" s="234"/>
      <c r="F101" s="234"/>
      <c r="G101" s="234"/>
      <c r="H101" s="234"/>
      <c r="I101" s="234"/>
      <c r="J101" s="234"/>
    </row>
    <row r="102" spans="1:10" x14ac:dyDescent="0.25">
      <c r="A102" s="240"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(StatType=eStat_Hacking,StatAmount=5)),\\</v>
      </c>
      <c r="B102" s="234" t="s">
        <v>340</v>
      </c>
      <c r="C102" s="234"/>
      <c r="D102" s="234"/>
      <c r="E102" s="234"/>
      <c r="F102" s="234"/>
      <c r="G102" s="234"/>
      <c r="H102" s="234"/>
      <c r="I102" s="234"/>
      <c r="J102" s="234"/>
    </row>
    <row r="103" spans="1:10" x14ac:dyDescent="0.25">
      <c r="A103" s="240" t="s">
        <v>338</v>
      </c>
      <c r="B103" s="234" t="s">
        <v>340</v>
      </c>
      <c r="C103" s="234"/>
      <c r="D103" s="234"/>
      <c r="E103" s="234"/>
      <c r="F103" s="234"/>
      <c r="G103" s="234"/>
      <c r="H103" s="234"/>
      <c r="I103" s="234"/>
      <c r="J103" s="234"/>
    </row>
    <row r="104" spans="1:10" x14ac:dyDescent="0.25">
      <c r="A104" s="240" t="str">
        <f>"; staff sergeant"</f>
        <v>; staff sergeant</v>
      </c>
      <c r="B104" s="234" t="s">
        <v>340</v>
      </c>
      <c r="C104" s="234"/>
      <c r="D104" s="234"/>
      <c r="E104" s="234"/>
      <c r="F104" s="234"/>
      <c r="G104" s="234"/>
      <c r="H104" s="234"/>
      <c r="I104" s="234"/>
      <c r="J104" s="234"/>
    </row>
    <row r="105" spans="1:10" x14ac:dyDescent="0.25">
      <c r="A105" s="240" t="str">
        <f ca="1">"+SoldierRanks=(  aAbilityTree=( (AbilityName="""&amp;VLOOKUP(INDIRECT("F25"),Abilities,2,FALSE)&amp;""""&amp;IF(VLOOKUP(INDIRECT("F25"),Abilities,3,FALSE)="","",", ApplyToWeaponSlot=eInvSlot_"&amp;VLOOKUP(INDIRECT("F25"),Abilities,3,FALSE))&amp;"), \\"</f>
        <v>+SoldierRanks=(  aAbilityTree=( (AbilityName="LWD_ShortCircuit", ApplyToWeaponSlot=eInvSlot_SecondaryWeapon), \\</v>
      </c>
      <c r="B105" s="234" t="s">
        <v>340</v>
      </c>
      <c r="C105" s="234"/>
      <c r="D105" s="234"/>
      <c r="E105" s="234"/>
      <c r="F105" s="234"/>
      <c r="G105" s="234"/>
      <c r="H105" s="234"/>
      <c r="I105" s="234"/>
      <c r="J105" s="234"/>
    </row>
    <row r="106" spans="1:10" x14ac:dyDescent="0.25">
      <c r="A106" s="240" t="str">
        <f ca="1">IF(INDIRECT("I25")="","\\","(AbilityName="""&amp;VLOOKUP(INDIRECT("I25"),Abilities,2,FALSE)&amp;""""&amp;IF(VLOOKUP(INDIRECT("I25"),Abilities,3,FALSE)="","",", ApplyToWeaponSlot=eInvSlot_"&amp;VLOOKUP(INDIRECT("I25"),Abilities,3,FALSE))&amp;"), \\")</f>
        <v>(AbilityName=" "), \\</v>
      </c>
      <c r="B106" s="234" t="s">
        <v>340</v>
      </c>
      <c r="C106" s="234"/>
      <c r="D106" s="234"/>
      <c r="E106" s="234"/>
      <c r="F106" s="234"/>
      <c r="G106" s="234"/>
      <c r="H106" s="234"/>
      <c r="I106" s="234"/>
      <c r="J106" s="234"/>
    </row>
    <row r="107" spans="1:10" x14ac:dyDescent="0.25">
      <c r="A107" s="240" t="str">
        <f ca="1">IF(INDIRECT("L25")="","\\","(AbilityName="""&amp;VLOOKUP(INDIRECT("L25"),Abilities,2,FALSE)&amp;""""&amp;IF(VLOOKUP(INDIRECT("L25"),Abilities,3,FALSE)="","",", ApplyToWeaponSlot=eInvSlot_"&amp;VLOOKUP(INDIRECT("L25"),Abilities,3,FALSE))&amp;"), \\")</f>
        <v>(AbilityName="Savior", ApplyToWeaponSlot=eInvSlot_Unknown), \\</v>
      </c>
      <c r="B107" s="234" t="s">
        <v>340</v>
      </c>
      <c r="C107" s="234"/>
      <c r="D107" s="234"/>
      <c r="E107" s="234"/>
      <c r="F107" s="234"/>
      <c r="G107" s="234"/>
      <c r="H107" s="234"/>
      <c r="I107" s="234"/>
      <c r="J107" s="234"/>
    </row>
    <row r="108" spans="1:10" x14ac:dyDescent="0.25">
      <c r="A108" s="240" t="s">
        <v>337</v>
      </c>
      <c r="B108" s="234" t="s">
        <v>340</v>
      </c>
      <c r="C108" s="234"/>
      <c r="D108" s="234"/>
      <c r="E108" s="234"/>
      <c r="F108" s="234"/>
      <c r="G108" s="234"/>
      <c r="H108" s="234"/>
      <c r="I108" s="234"/>
      <c r="J108" s="234"/>
    </row>
    <row r="109" spans="1:10" x14ac:dyDescent="0.25">
      <c r="A109" s="240"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(StatType=eStat_Hacking,StatAmount=5)),\\</v>
      </c>
      <c r="B109" s="234" t="s">
        <v>340</v>
      </c>
      <c r="C109" s="234"/>
      <c r="D109" s="234"/>
      <c r="E109" s="234"/>
      <c r="F109" s="234"/>
      <c r="G109" s="234"/>
      <c r="H109" s="234"/>
      <c r="I109" s="234"/>
      <c r="J109" s="234"/>
    </row>
    <row r="110" spans="1:10" x14ac:dyDescent="0.25">
      <c r="A110" s="240" t="s">
        <v>338</v>
      </c>
      <c r="B110" s="234" t="s">
        <v>340</v>
      </c>
      <c r="C110" s="234"/>
      <c r="D110" s="234"/>
      <c r="E110" s="234"/>
      <c r="F110" s="234"/>
      <c r="G110" s="234"/>
      <c r="H110" s="234"/>
      <c r="I110" s="234"/>
      <c r="J110" s="234"/>
    </row>
    <row r="111" spans="1:10" x14ac:dyDescent="0.25">
      <c r="A111" s="240" t="str">
        <f>"; tech sergeant"</f>
        <v>; tech sergeant</v>
      </c>
      <c r="B111" s="234" t="s">
        <v>340</v>
      </c>
      <c r="C111" s="234"/>
      <c r="D111" s="234"/>
      <c r="E111" s="234"/>
      <c r="F111" s="234"/>
      <c r="G111" s="234"/>
      <c r="H111" s="234"/>
      <c r="I111" s="234"/>
      <c r="J111" s="234"/>
    </row>
    <row r="112" spans="1:10" x14ac:dyDescent="0.25">
      <c r="A112" s="240" t="str">
        <f ca="1">"+SoldierRanks=(  aAbilityTree=( (AbilityName="""&amp;VLOOKUP(INDIRECT("F29"),Abilities,2,FALSE)&amp;""""&amp;IF(VLOOKUP(INDIRECT("F29"),Abilities,3,FALSE)="","",", ApplyToWeaponSlot=eInvSlot_"&amp;VLOOKUP(INDIRECT("F29"),Abilities,3,FALSE))&amp;"), \\"</f>
        <v>+SoldierRanks=(  aAbilityTree=( (AbilityName="LWD_ScriptKiddie"), \\</v>
      </c>
      <c r="B112" s="234" t="s">
        <v>340</v>
      </c>
      <c r="C112" s="234"/>
      <c r="D112" s="234"/>
      <c r="E112" s="234"/>
      <c r="F112" s="234"/>
      <c r="G112" s="234"/>
      <c r="H112" s="234"/>
      <c r="I112" s="234"/>
      <c r="J112" s="234"/>
    </row>
    <row r="113" spans="1:10" x14ac:dyDescent="0.25">
      <c r="A113" s="240" t="str">
        <f ca="1">IF(INDIRECT("I29")="","\\","(AbilityName="""&amp;VLOOKUP(INDIRECT("I29"),Abilities,2,FALSE)&amp;""""&amp;IF(VLOOKUP(INDIRECT("I29"),Abilities,3,FALSE)="","",", ApplyToWeaponSlot=eInvSlot_"&amp;VLOOKUP(INDIRECT("I29"),Abilities,3,FALSE))&amp;"), \\")</f>
        <v>(AbilityName=" "), \\</v>
      </c>
      <c r="B113" s="234" t="s">
        <v>340</v>
      </c>
      <c r="C113" s="234"/>
      <c r="D113" s="234"/>
      <c r="E113" s="234"/>
      <c r="F113" s="234"/>
      <c r="G113" s="234"/>
      <c r="H113" s="234"/>
      <c r="I113" s="234"/>
      <c r="J113" s="234"/>
    </row>
    <row r="114" spans="1:10" x14ac:dyDescent="0.25">
      <c r="A114" s="240" t="str">
        <f ca="1">IF(INDIRECT("L29")="","\\","(AbilityName="""&amp;VLOOKUP(INDIRECT("L29"),Abilities,2,FALSE)&amp;""""&amp;IF(VLOOKUP(INDIRECT("L29"),Abilities,3,FALSE)="","",", ApplyToWeaponSlot=eInvSlot_"&amp;VLOOKUP(INDIRECT("L29"),Abilities,3,FALSE))&amp;"), \\")</f>
        <v>(AbilityName="LWD_Skullminer"), \\</v>
      </c>
      <c r="B114" s="234" t="s">
        <v>340</v>
      </c>
      <c r="C114" s="234"/>
      <c r="D114" s="234"/>
      <c r="E114" s="234"/>
      <c r="F114" s="234"/>
      <c r="G114" s="234"/>
      <c r="H114" s="234"/>
      <c r="I114" s="234"/>
      <c r="J114" s="234"/>
    </row>
    <row r="115" spans="1:10" x14ac:dyDescent="0.25">
      <c r="A115" s="240" t="s">
        <v>337</v>
      </c>
      <c r="B115" s="234" t="s">
        <v>340</v>
      </c>
      <c r="C115" s="234"/>
      <c r="D115" s="234"/>
      <c r="E115" s="234"/>
      <c r="F115" s="234"/>
      <c r="G115" s="234"/>
      <c r="H115" s="234"/>
      <c r="I115" s="234"/>
      <c r="J115" s="234"/>
    </row>
    <row r="116" spans="1:10" x14ac:dyDescent="0.25">
      <c r="A116" s="240"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(StatType=eStat_Hacking,StatAmount=5)),\\</v>
      </c>
      <c r="B116" s="234" t="s">
        <v>340</v>
      </c>
      <c r="C116" s="234"/>
      <c r="D116" s="234"/>
      <c r="E116" s="234"/>
      <c r="F116" s="234"/>
      <c r="G116" s="234"/>
      <c r="H116" s="234"/>
      <c r="I116" s="234"/>
      <c r="J116" s="234"/>
    </row>
    <row r="117" spans="1:10" x14ac:dyDescent="0.25">
      <c r="A117" s="240" t="s">
        <v>338</v>
      </c>
      <c r="B117" s="234" t="s">
        <v>340</v>
      </c>
      <c r="C117" s="234"/>
      <c r="D117" s="234"/>
      <c r="E117" s="234"/>
      <c r="F117" s="234"/>
      <c r="G117" s="234"/>
      <c r="H117" s="234"/>
      <c r="I117" s="234"/>
      <c r="J117" s="234"/>
    </row>
    <row r="118" spans="1:10" x14ac:dyDescent="0.25">
      <c r="A118" s="240" t="str">
        <f>";  gunnery sergeant"</f>
        <v>;  gunnery sergeant</v>
      </c>
      <c r="B118" s="234" t="s">
        <v>340</v>
      </c>
      <c r="C118" s="234"/>
      <c r="D118" s="234"/>
      <c r="E118" s="234"/>
      <c r="F118" s="234"/>
      <c r="G118" s="234"/>
      <c r="H118" s="234"/>
      <c r="I118" s="234"/>
      <c r="J118" s="234"/>
    </row>
    <row r="119" spans="1:10" x14ac:dyDescent="0.25">
      <c r="A119" s="240" t="str">
        <f ca="1">"+SoldierRanks=(  aAbilityTree=( (AbilityName="""&amp;VLOOKUP(INDIRECT("F33"),Abilities,2,FALSE)&amp;""""&amp;IF(VLOOKUP(INDIRECT("F33"),Abilities,3,FALSE)="","",", ApplyToWeaponSlot=eInvSlot_"&amp;VLOOKUP(INDIRECT("F33"),Abilities,3,FALSE))&amp;"), \\"</f>
        <v>+SoldierRanks=(  aAbilityTree=( (AbilityName=" "), \\</v>
      </c>
      <c r="B119" s="234" t="s">
        <v>340</v>
      </c>
      <c r="C119" s="234"/>
      <c r="D119" s="234"/>
      <c r="E119" s="234"/>
      <c r="F119" s="234"/>
      <c r="G119" s="234"/>
      <c r="H119" s="234"/>
      <c r="I119" s="234"/>
      <c r="J119" s="234"/>
    </row>
    <row r="120" spans="1:10" x14ac:dyDescent="0.25">
      <c r="A120" s="240" t="str">
        <f ca="1">IF(INDIRECT("I33")="","\\","(AbilityName="""&amp;VLOOKUP(INDIRECT("I33"),Abilities,2,FALSE)&amp;""""&amp;IF(VLOOKUP(INDIRECT("I33"),Abilities,3,FALSE)="","",", ApplyToWeaponSlot=eInvSlot_"&amp;VLOOKUP(INDIRECT("I33"),Abilities,3,FALSE))&amp;"), \\")</f>
        <v>(AbilityName="LWD_ShortCircuit", ApplyToWeaponSlot=eInvSlot_SecondaryWeapon), \\</v>
      </c>
      <c r="B120" s="234" t="s">
        <v>340</v>
      </c>
      <c r="C120" s="234"/>
      <c r="D120" s="234"/>
      <c r="E120" s="234"/>
      <c r="F120" s="234"/>
      <c r="G120" s="234"/>
      <c r="H120" s="234"/>
      <c r="I120" s="234"/>
      <c r="J120" s="234"/>
    </row>
    <row r="121" spans="1:10" x14ac:dyDescent="0.25">
      <c r="A121" s="240" t="str">
        <f ca="1">IF(INDIRECT("L33")="","\\","(AbilityName="""&amp;VLOOKUP(INDIRECT("L33"),Abilities,2,FALSE)&amp;""""&amp;IF(VLOOKUP(INDIRECT("L33"),Abilities,3,FALSE)="","",", ApplyToWeaponSlot=eInvSlot_"&amp;VLOOKUP(INDIRECT("L33"),Abilities,3,FALSE))&amp;"), \\")</f>
        <v>(AbilityName=" "), \\</v>
      </c>
      <c r="B121" s="234" t="s">
        <v>340</v>
      </c>
      <c r="C121" s="234"/>
      <c r="D121" s="234"/>
      <c r="E121" s="234"/>
      <c r="F121" s="234"/>
      <c r="G121" s="234"/>
      <c r="H121" s="234"/>
      <c r="I121" s="234"/>
      <c r="J121" s="234"/>
    </row>
    <row r="122" spans="1:10" x14ac:dyDescent="0.25">
      <c r="A122" s="240" t="s">
        <v>337</v>
      </c>
      <c r="B122" s="234" t="s">
        <v>340</v>
      </c>
      <c r="C122" s="234"/>
      <c r="D122" s="234"/>
      <c r="E122" s="234"/>
      <c r="F122" s="234"/>
      <c r="G122" s="234"/>
      <c r="H122" s="234"/>
      <c r="I122" s="234"/>
      <c r="J122" s="234"/>
    </row>
    <row r="123" spans="1:10" x14ac:dyDescent="0.25">
      <c r="A123" s="240"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(StatType=eStat_Hacking,StatAmount=5)),\\</v>
      </c>
      <c r="B123" s="234" t="s">
        <v>340</v>
      </c>
      <c r="C123" s="234"/>
      <c r="D123" s="234"/>
      <c r="E123" s="234"/>
      <c r="F123" s="234"/>
      <c r="G123" s="234"/>
      <c r="H123" s="234"/>
      <c r="I123" s="234"/>
      <c r="J123" s="234"/>
    </row>
    <row r="124" spans="1:10" x14ac:dyDescent="0.25">
      <c r="A124" s="240" t="s">
        <v>338</v>
      </c>
      <c r="B124" s="234" t="s">
        <v>340</v>
      </c>
      <c r="C124" s="234"/>
      <c r="D124" s="234"/>
      <c r="E124" s="234"/>
      <c r="F124" s="234"/>
      <c r="G124" s="234"/>
      <c r="H124" s="234"/>
      <c r="I124" s="234"/>
      <c r="J124" s="234"/>
    </row>
    <row r="125" spans="1:10" x14ac:dyDescent="0.25">
      <c r="A125" s="240" t="str">
        <f>"; master sergeant"</f>
        <v>; master sergeant</v>
      </c>
      <c r="B125" s="234" t="s">
        <v>340</v>
      </c>
      <c r="C125" s="234"/>
      <c r="D125" s="234"/>
      <c r="E125" s="234"/>
      <c r="F125" s="234"/>
      <c r="G125" s="234"/>
      <c r="H125" s="234"/>
      <c r="I125" s="234"/>
      <c r="J125" s="234"/>
    </row>
    <row r="126" spans="1:10" x14ac:dyDescent="0.25">
      <c r="A126" s="240" t="str">
        <f ca="1">"+SoldierRanks=(  aAbilityTree=( (AbilityName="""&amp;VLOOKUP(INDIRECT("F37"),Abilities,2,FALSE)&amp;""""&amp;IF(VLOOKUP(INDIRECT("F37"),Abilities,3,FALSE)="","",", ApplyToWeaponSlot=eInvSlot_"&amp;VLOOKUP(INDIRECT("F37"),Abilities,3,FALSE))&amp;"), \\"</f>
        <v>+SoldierRanks=(  aAbilityTree=( (AbilityName="ChainLightning", ApplyToWeaponSlot=eInvSlot_SecondaryWeapon), \\</v>
      </c>
      <c r="B126" s="234" t="s">
        <v>340</v>
      </c>
      <c r="C126" s="234"/>
      <c r="D126" s="234"/>
      <c r="E126" s="234"/>
      <c r="F126" s="234"/>
      <c r="G126" s="234"/>
      <c r="H126" s="234"/>
      <c r="I126" s="234"/>
      <c r="J126" s="234"/>
    </row>
    <row r="127" spans="1:10" x14ac:dyDescent="0.25">
      <c r="A127" s="240" t="str">
        <f ca="1">IF(INDIRECT("I37")="","\\","(AbilityName="""&amp;VLOOKUP(INDIRECT("I37"),Abilities,2,FALSE)&amp;""""&amp;IF(VLOOKUP(INDIRECT("I37"),Abilities,3,FALSE)="","",", ApplyToWeaponSlot=eInvSlot_"&amp;VLOOKUP(INDIRECT("I37"),Abilities,3,FALSE))&amp;"), \\")</f>
        <v>(AbilityName=" "), \\</v>
      </c>
      <c r="B127" s="234" t="s">
        <v>340</v>
      </c>
      <c r="C127" s="234"/>
      <c r="D127" s="234"/>
      <c r="E127" s="234"/>
      <c r="F127" s="234"/>
      <c r="G127" s="234"/>
      <c r="H127" s="234"/>
      <c r="I127" s="234"/>
      <c r="J127" s="234"/>
    </row>
    <row r="128" spans="1:10" x14ac:dyDescent="0.25">
      <c r="A128" s="240" t="str">
        <f ca="1">IF(INDIRECT("L37")="","\\","(AbilityName="""&amp;VLOOKUP(INDIRECT("L37"),Abilities,2,FALSE)&amp;""""&amp;IF(VLOOKUP(INDIRECT("L37"),Abilities,3,FALSE)="","",", ApplyToWeaponSlot=eInvSlot_"&amp;VLOOKUP(INDIRECT("L37"),Abilities,3,FALSE))&amp;"), \\")</f>
        <v>(AbilityName="CombatFitness"), \\</v>
      </c>
      <c r="B128" s="234" t="s">
        <v>340</v>
      </c>
      <c r="C128" s="234"/>
      <c r="D128" s="234"/>
      <c r="E128" s="234"/>
      <c r="F128" s="234"/>
      <c r="G128" s="234"/>
      <c r="H128" s="234"/>
      <c r="I128" s="234"/>
      <c r="J128" s="234"/>
    </row>
    <row r="129" spans="1:10" x14ac:dyDescent="0.25">
      <c r="A129" s="240" t="s">
        <v>337</v>
      </c>
      <c r="B129" s="234" t="s">
        <v>340</v>
      </c>
      <c r="C129" s="234"/>
      <c r="D129" s="234"/>
      <c r="E129" s="234"/>
      <c r="F129" s="234"/>
      <c r="G129" s="234"/>
      <c r="H129" s="234"/>
      <c r="I129" s="234"/>
      <c r="J129" s="234"/>
    </row>
    <row r="130" spans="1:10" x14ac:dyDescent="0.25">
      <c r="A130" s="240"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(StatType=eStat_Hacking,StatAmount=5)),\\</v>
      </c>
      <c r="B130" s="234" t="s">
        <v>340</v>
      </c>
      <c r="C130" s="234"/>
      <c r="D130" s="234"/>
      <c r="E130" s="234"/>
      <c r="F130" s="234"/>
      <c r="G130" s="234"/>
      <c r="H130" s="234"/>
      <c r="I130" s="234"/>
      <c r="J130" s="234"/>
    </row>
    <row r="131" spans="1:10" ht="15.75" thickBot="1" x14ac:dyDescent="0.3">
      <c r="A131" s="241" t="s">
        <v>338</v>
      </c>
      <c r="B131" s="234" t="s">
        <v>340</v>
      </c>
      <c r="C131" s="234"/>
      <c r="D131" s="234"/>
      <c r="E131" s="234"/>
      <c r="F131" s="234"/>
      <c r="G131" s="234"/>
      <c r="H131" s="234"/>
      <c r="I131" s="234"/>
      <c r="J131" s="234"/>
    </row>
  </sheetData>
  <mergeCells count="140">
    <mergeCell ref="V35:W35"/>
    <mergeCell ref="V28:W28"/>
    <mergeCell ref="V29:W29"/>
    <mergeCell ref="V30:W30"/>
    <mergeCell ref="V31:W31"/>
    <mergeCell ref="V32:W32"/>
    <mergeCell ref="V23:W23"/>
    <mergeCell ref="V24:W24"/>
    <mergeCell ref="V25:W25"/>
    <mergeCell ref="V26:W26"/>
    <mergeCell ref="V27:W27"/>
    <mergeCell ref="V1:Y2"/>
    <mergeCell ref="V3:W3"/>
    <mergeCell ref="X3:Y3"/>
    <mergeCell ref="V4:W4"/>
    <mergeCell ref="X4:Y4"/>
    <mergeCell ref="V11:W11"/>
    <mergeCell ref="X11:Y11"/>
    <mergeCell ref="V12:W12"/>
    <mergeCell ref="X12:Y12"/>
    <mergeCell ref="V8:W8"/>
    <mergeCell ref="X8:Y8"/>
    <mergeCell ref="V9:W9"/>
    <mergeCell ref="X9:Y9"/>
    <mergeCell ref="V10:W10"/>
    <mergeCell ref="X10:Y10"/>
    <mergeCell ref="L33:M33"/>
    <mergeCell ref="F34:H35"/>
    <mergeCell ref="I34:K35"/>
    <mergeCell ref="L34:N35"/>
    <mergeCell ref="V5:W5"/>
    <mergeCell ref="X5:Y5"/>
    <mergeCell ref="V6:W6"/>
    <mergeCell ref="X6:Y6"/>
    <mergeCell ref="V7:W7"/>
    <mergeCell ref="X7:Y7"/>
    <mergeCell ref="V13:W13"/>
    <mergeCell ref="X13:Y13"/>
    <mergeCell ref="V18:W18"/>
    <mergeCell ref="V19:W19"/>
    <mergeCell ref="V20:W20"/>
    <mergeCell ref="V21:W21"/>
    <mergeCell ref="V22:W22"/>
    <mergeCell ref="V14:W14"/>
    <mergeCell ref="X14:Y14"/>
    <mergeCell ref="V15:W15"/>
    <mergeCell ref="V16:W16"/>
    <mergeCell ref="V17:W17"/>
    <mergeCell ref="V33:W33"/>
    <mergeCell ref="V34:W34"/>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F36:N36"/>
    <mergeCell ref="F37:G37"/>
    <mergeCell ref="I37:J37"/>
    <mergeCell ref="L37:M37"/>
    <mergeCell ref="F38:H39"/>
    <mergeCell ref="I38:K39"/>
    <mergeCell ref="L38:N39"/>
    <mergeCell ref="I33:J33"/>
    <mergeCell ref="I17:J17"/>
    <mergeCell ref="L17:M17"/>
    <mergeCell ref="C12:D12"/>
    <mergeCell ref="F12:N12"/>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C10:D10"/>
    <mergeCell ref="F10:H10"/>
    <mergeCell ref="I10:K10"/>
    <mergeCell ref="L10:N10"/>
    <mergeCell ref="C11:D11"/>
    <mergeCell ref="F11:H11"/>
    <mergeCell ref="I11:K11"/>
    <mergeCell ref="L11:N11"/>
    <mergeCell ref="O1:U2"/>
    <mergeCell ref="A3:B3"/>
    <mergeCell ref="C3:E3"/>
    <mergeCell ref="F3:N3"/>
    <mergeCell ref="A4:B4"/>
    <mergeCell ref="C4:E5"/>
    <mergeCell ref="F4:G4"/>
    <mergeCell ref="I4:J4"/>
    <mergeCell ref="L4:M4"/>
    <mergeCell ref="F5:H6"/>
    <mergeCell ref="I5:K6"/>
    <mergeCell ref="L5:N6"/>
    <mergeCell ref="C6:D6"/>
    <mergeCell ref="A40:B41"/>
    <mergeCell ref="C40:E41"/>
    <mergeCell ref="A42:B42"/>
    <mergeCell ref="C42:D42"/>
    <mergeCell ref="E42:F42"/>
    <mergeCell ref="A1:B2"/>
    <mergeCell ref="C1:E2"/>
    <mergeCell ref="F1:N2"/>
    <mergeCell ref="C7:D7"/>
    <mergeCell ref="F7:G7"/>
    <mergeCell ref="I7:J7"/>
    <mergeCell ref="L7:M7"/>
    <mergeCell ref="C8:D8"/>
    <mergeCell ref="F8:H9"/>
    <mergeCell ref="I8:K9"/>
    <mergeCell ref="L8:N9"/>
    <mergeCell ref="C9:D9"/>
    <mergeCell ref="F14:H15"/>
    <mergeCell ref="I14:K15"/>
    <mergeCell ref="L14:N15"/>
    <mergeCell ref="F16:N16"/>
    <mergeCell ref="F17:G17"/>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84993"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84994"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84995"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84996"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84997"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84998"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84999"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85000"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85001"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85002"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85003"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85004"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85005"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90" t="s">
        <v>308</v>
      </c>
      <c r="B1" s="91"/>
      <c r="C1" s="94" t="s">
        <v>473</v>
      </c>
      <c r="D1" s="95"/>
      <c r="E1" s="95"/>
      <c r="F1" s="98" t="s">
        <v>324</v>
      </c>
      <c r="G1" s="99"/>
      <c r="H1" s="99"/>
      <c r="I1" s="99"/>
      <c r="J1" s="99"/>
      <c r="K1" s="99"/>
      <c r="L1" s="99"/>
      <c r="M1" s="99"/>
      <c r="N1" s="99"/>
      <c r="O1" s="100" t="s">
        <v>325</v>
      </c>
      <c r="P1" s="101"/>
      <c r="Q1" s="101"/>
      <c r="R1" s="101"/>
      <c r="S1" s="101"/>
      <c r="T1" s="101"/>
      <c r="U1" s="102"/>
      <c r="V1" s="196" t="s">
        <v>776</v>
      </c>
      <c r="W1" s="197"/>
      <c r="X1" s="197"/>
      <c r="Y1" s="197"/>
    </row>
    <row r="2" spans="1:25" ht="15" customHeight="1" thickBot="1" x14ac:dyDescent="0.3">
      <c r="A2" s="92"/>
      <c r="B2" s="93"/>
      <c r="C2" s="96"/>
      <c r="D2" s="97"/>
      <c r="E2" s="97"/>
      <c r="F2" s="98"/>
      <c r="G2" s="99"/>
      <c r="H2" s="99"/>
      <c r="I2" s="99"/>
      <c r="J2" s="99"/>
      <c r="K2" s="99"/>
      <c r="L2" s="99"/>
      <c r="M2" s="99"/>
      <c r="N2" s="99"/>
      <c r="O2" s="103"/>
      <c r="P2" s="104"/>
      <c r="Q2" s="104"/>
      <c r="R2" s="104"/>
      <c r="S2" s="104"/>
      <c r="T2" s="104"/>
      <c r="U2" s="105"/>
      <c r="V2" s="198"/>
      <c r="W2" s="199"/>
      <c r="X2" s="199"/>
      <c r="Y2" s="199"/>
    </row>
    <row r="3" spans="1:25" ht="18" thickBot="1" x14ac:dyDescent="0.35">
      <c r="A3" s="106" t="s">
        <v>309</v>
      </c>
      <c r="B3" s="107"/>
      <c r="C3" s="108" t="str">
        <f>Output!$L$1&amp;SUBSTITUTE(C1," ","")</f>
        <v>LWD_Fireman</v>
      </c>
      <c r="D3" s="109"/>
      <c r="E3" s="109"/>
      <c r="F3" s="110" t="s">
        <v>12</v>
      </c>
      <c r="G3" s="111"/>
      <c r="H3" s="111"/>
      <c r="I3" s="111"/>
      <c r="J3" s="111"/>
      <c r="K3" s="111"/>
      <c r="L3" s="111"/>
      <c r="M3" s="111"/>
      <c r="N3" s="112"/>
      <c r="O3" s="15"/>
      <c r="P3" s="16" t="s">
        <v>79</v>
      </c>
      <c r="Q3" s="17" t="s">
        <v>326</v>
      </c>
      <c r="R3" s="17" t="s">
        <v>328</v>
      </c>
      <c r="S3" s="17" t="s">
        <v>327</v>
      </c>
      <c r="T3" s="17" t="s">
        <v>330</v>
      </c>
      <c r="U3" s="18" t="s">
        <v>329</v>
      </c>
      <c r="V3" s="200" t="s">
        <v>810</v>
      </c>
      <c r="W3" s="201"/>
      <c r="X3" s="200" t="s">
        <v>811</v>
      </c>
      <c r="Y3" s="201"/>
    </row>
    <row r="4" spans="1:25" ht="18" thickTop="1" x14ac:dyDescent="0.3">
      <c r="A4" s="113" t="s">
        <v>310</v>
      </c>
      <c r="B4" s="114"/>
      <c r="C4" s="115" t="s">
        <v>314</v>
      </c>
      <c r="D4" s="116"/>
      <c r="E4" s="116"/>
      <c r="F4" s="119" t="s">
        <v>433</v>
      </c>
      <c r="G4" s="120"/>
      <c r="H4" s="4" t="str">
        <f>IFERROR(VLOOKUP(F4,Abilities,4,FALSE),"")</f>
        <v>LW2</v>
      </c>
      <c r="I4" s="121"/>
      <c r="J4" s="120"/>
      <c r="K4" s="35" t="str">
        <f>IFERROR(VLOOKUP(I4,Abilities,4,FALSE),"")</f>
        <v/>
      </c>
      <c r="L4" s="122"/>
      <c r="M4" s="120"/>
      <c r="N4" s="10" t="str">
        <f>IFERROR(VLOOKUP(L4,Abilities,4,FALSE),"")</f>
        <v/>
      </c>
      <c r="O4" s="19" t="s">
        <v>12</v>
      </c>
      <c r="P4" s="4">
        <v>2</v>
      </c>
      <c r="Q4" s="20">
        <v>0</v>
      </c>
      <c r="R4" s="20"/>
      <c r="S4" s="4">
        <v>0</v>
      </c>
      <c r="T4" s="4">
        <v>1</v>
      </c>
      <c r="U4" s="10"/>
      <c r="V4" s="192" t="s">
        <v>777</v>
      </c>
      <c r="W4" s="193"/>
      <c r="X4" s="192" t="s">
        <v>840</v>
      </c>
      <c r="Y4" s="193"/>
    </row>
    <row r="5" spans="1:25" ht="15" customHeight="1" x14ac:dyDescent="0.25">
      <c r="A5" s="6"/>
      <c r="B5" s="5" t="b">
        <v>1</v>
      </c>
      <c r="C5" s="117"/>
      <c r="D5" s="118"/>
      <c r="E5" s="118"/>
      <c r="F5" s="123" t="str">
        <f>IFERROR(VLOOKUP(F4,Abilities,7,FALSE),"")</f>
        <v>This soldier is trained to use the XCOM gauntlet, a combination rocket launcher and flamethrower.</v>
      </c>
      <c r="G5" s="124"/>
      <c r="H5" s="125"/>
      <c r="I5" s="129" t="str">
        <f>IFERROR(VLOOKUP(I4,Abilities,7,FALSE),"")</f>
        <v/>
      </c>
      <c r="J5" s="130"/>
      <c r="K5" s="131"/>
      <c r="L5" s="130" t="str">
        <f>IFERROR(VLOOKUP(L4,Abilities,7,FALSE),"")</f>
        <v/>
      </c>
      <c r="M5" s="130"/>
      <c r="N5" s="135"/>
      <c r="O5" s="26" t="s">
        <v>456</v>
      </c>
      <c r="P5" s="27">
        <v>2</v>
      </c>
      <c r="Q5" s="28">
        <v>1</v>
      </c>
      <c r="R5" s="28"/>
      <c r="S5" s="27">
        <v>0</v>
      </c>
      <c r="T5" s="27"/>
      <c r="U5" s="29"/>
      <c r="V5" s="190" t="s">
        <v>821</v>
      </c>
      <c r="W5" s="191"/>
      <c r="X5" s="190" t="s">
        <v>802</v>
      </c>
      <c r="Y5" s="191"/>
    </row>
    <row r="6" spans="1:25" ht="15" customHeight="1" x14ac:dyDescent="0.25">
      <c r="A6" s="6"/>
      <c r="B6" s="5" t="b">
        <v>0</v>
      </c>
      <c r="C6" s="137" t="s">
        <v>315</v>
      </c>
      <c r="D6" s="138"/>
      <c r="E6" s="11">
        <v>0</v>
      </c>
      <c r="F6" s="126"/>
      <c r="G6" s="127"/>
      <c r="H6" s="128"/>
      <c r="I6" s="132"/>
      <c r="J6" s="133"/>
      <c r="K6" s="134"/>
      <c r="L6" s="133"/>
      <c r="M6" s="133"/>
      <c r="N6" s="136"/>
      <c r="O6" s="19" t="s">
        <v>15</v>
      </c>
      <c r="P6" s="4">
        <v>2</v>
      </c>
      <c r="Q6" s="20">
        <v>0</v>
      </c>
      <c r="R6" s="20"/>
      <c r="S6" s="4">
        <v>0</v>
      </c>
      <c r="T6" s="4"/>
      <c r="U6" s="10"/>
      <c r="V6" s="190" t="s">
        <v>778</v>
      </c>
      <c r="W6" s="191"/>
      <c r="X6" s="192" t="s">
        <v>803</v>
      </c>
      <c r="Y6" s="193"/>
    </row>
    <row r="7" spans="1:25" ht="15" customHeight="1" x14ac:dyDescent="0.25">
      <c r="A7" s="6"/>
      <c r="B7" s="5" t="b">
        <v>1</v>
      </c>
      <c r="C7" s="137" t="s">
        <v>316</v>
      </c>
      <c r="D7" s="138"/>
      <c r="E7" s="11">
        <v>4</v>
      </c>
      <c r="F7" s="139"/>
      <c r="G7" s="140"/>
      <c r="H7" s="4" t="str">
        <f>IFERROR(VLOOKUP(F7,Abilities,4,FALSE),"")</f>
        <v/>
      </c>
      <c r="I7" s="141"/>
      <c r="J7" s="140"/>
      <c r="K7" s="4" t="str">
        <f>IFERROR(VLOOKUP(I7,Abilities,4,FALSE),"")</f>
        <v/>
      </c>
      <c r="L7" s="142"/>
      <c r="M7" s="140"/>
      <c r="N7" s="10" t="str">
        <f>IFERROR(VLOOKUP(L7,Abilities,4,FALSE),"")</f>
        <v/>
      </c>
      <c r="O7" s="26" t="s">
        <v>21</v>
      </c>
      <c r="P7" s="27">
        <v>2</v>
      </c>
      <c r="Q7" s="28">
        <v>1</v>
      </c>
      <c r="R7" s="28"/>
      <c r="S7" s="27">
        <v>0</v>
      </c>
      <c r="T7" s="27"/>
      <c r="U7" s="29"/>
      <c r="V7" s="192" t="s">
        <v>779</v>
      </c>
      <c r="W7" s="193"/>
      <c r="X7" s="190" t="s">
        <v>804</v>
      </c>
      <c r="Y7" s="191"/>
    </row>
    <row r="8" spans="1:25" ht="15" customHeight="1" thickBot="1" x14ac:dyDescent="0.3">
      <c r="A8" s="6"/>
      <c r="B8" s="5" t="b">
        <v>0</v>
      </c>
      <c r="C8" s="137" t="s">
        <v>317</v>
      </c>
      <c r="D8" s="143"/>
      <c r="E8" s="12" t="s">
        <v>763</v>
      </c>
      <c r="F8" s="144" t="str">
        <f>IFERROR(VLOOKUP(F7,Abilities,7,FALSE),"")</f>
        <v/>
      </c>
      <c r="G8" s="130"/>
      <c r="H8" s="131"/>
      <c r="I8" s="129" t="str">
        <f>IFERROR(VLOOKUP(I7,Abilities,7,FALSE),"")</f>
        <v/>
      </c>
      <c r="J8" s="130"/>
      <c r="K8" s="131"/>
      <c r="L8" s="130" t="str">
        <f>IFERROR(VLOOKUP(L7,Abilities,7,FALSE),"")</f>
        <v/>
      </c>
      <c r="M8" s="130"/>
      <c r="N8" s="135"/>
      <c r="O8" s="21" t="s">
        <v>457</v>
      </c>
      <c r="P8" s="4">
        <v>2</v>
      </c>
      <c r="Q8" s="20">
        <v>0</v>
      </c>
      <c r="R8" s="20"/>
      <c r="S8" s="4">
        <v>0</v>
      </c>
      <c r="T8" s="4"/>
      <c r="U8" s="10"/>
      <c r="V8" s="190" t="s">
        <v>780</v>
      </c>
      <c r="W8" s="191"/>
      <c r="X8" s="192" t="s">
        <v>805</v>
      </c>
      <c r="Y8" s="193"/>
    </row>
    <row r="9" spans="1:25" ht="15.75" thickBot="1" x14ac:dyDescent="0.3">
      <c r="A9" s="6"/>
      <c r="B9" s="5" t="b">
        <v>1</v>
      </c>
      <c r="C9" s="137" t="s">
        <v>319</v>
      </c>
      <c r="D9" s="143"/>
      <c r="E9" s="12">
        <v>1</v>
      </c>
      <c r="F9" s="145"/>
      <c r="G9" s="133"/>
      <c r="H9" s="134"/>
      <c r="I9" s="146"/>
      <c r="J9" s="147"/>
      <c r="K9" s="148"/>
      <c r="L9" s="133"/>
      <c r="M9" s="133"/>
      <c r="N9" s="136"/>
      <c r="O9" s="26" t="s">
        <v>458</v>
      </c>
      <c r="P9" s="27">
        <v>2</v>
      </c>
      <c r="Q9" s="28">
        <v>1</v>
      </c>
      <c r="R9" s="28"/>
      <c r="S9" s="27">
        <v>0</v>
      </c>
      <c r="T9" s="27"/>
      <c r="U9" s="29"/>
      <c r="V9" s="192" t="s">
        <v>781</v>
      </c>
      <c r="W9" s="193"/>
      <c r="X9" s="200" t="s">
        <v>812</v>
      </c>
      <c r="Y9" s="201"/>
    </row>
    <row r="10" spans="1:25" ht="18.75" x14ac:dyDescent="0.3">
      <c r="A10" s="6"/>
      <c r="B10" s="5" t="b">
        <v>0</v>
      </c>
      <c r="C10" s="137" t="s">
        <v>318</v>
      </c>
      <c r="D10" s="143"/>
      <c r="E10" s="12">
        <v>4</v>
      </c>
      <c r="F10" s="157" t="s">
        <v>311</v>
      </c>
      <c r="G10" s="158"/>
      <c r="H10" s="159"/>
      <c r="I10" s="160" t="s">
        <v>349</v>
      </c>
      <c r="J10" s="158"/>
      <c r="K10" s="159"/>
      <c r="L10" s="158" t="s">
        <v>312</v>
      </c>
      <c r="M10" s="158"/>
      <c r="N10" s="161"/>
      <c r="O10" s="36" t="s">
        <v>459</v>
      </c>
      <c r="P10" s="37">
        <v>2</v>
      </c>
      <c r="Q10" s="37">
        <v>0</v>
      </c>
      <c r="R10" s="37"/>
      <c r="S10" s="37">
        <v>0</v>
      </c>
      <c r="T10" s="37"/>
      <c r="U10" s="38"/>
      <c r="V10" s="190" t="s">
        <v>782</v>
      </c>
      <c r="W10" s="191"/>
      <c r="X10" s="192" t="s">
        <v>806</v>
      </c>
      <c r="Y10" s="193"/>
    </row>
    <row r="11" spans="1:25" ht="15.75" customHeight="1" thickBot="1" x14ac:dyDescent="0.3">
      <c r="A11" s="6"/>
      <c r="B11" s="5" t="b">
        <v>0</v>
      </c>
      <c r="C11" s="137" t="s">
        <v>320</v>
      </c>
      <c r="D11" s="143"/>
      <c r="E11" s="12">
        <v>4</v>
      </c>
      <c r="F11" s="162" t="s">
        <v>748</v>
      </c>
      <c r="G11" s="163"/>
      <c r="H11" s="164"/>
      <c r="I11" s="165"/>
      <c r="J11" s="163"/>
      <c r="K11" s="164"/>
      <c r="L11" s="163" t="s">
        <v>749</v>
      </c>
      <c r="M11" s="163"/>
      <c r="N11" s="166"/>
      <c r="O11" s="39" t="s">
        <v>460</v>
      </c>
      <c r="P11" s="40">
        <v>2</v>
      </c>
      <c r="Q11" s="41">
        <v>1</v>
      </c>
      <c r="R11" s="41"/>
      <c r="S11" s="40">
        <v>0</v>
      </c>
      <c r="T11" s="40"/>
      <c r="U11" s="42"/>
      <c r="V11" s="192" t="s">
        <v>824</v>
      </c>
      <c r="W11" s="193"/>
      <c r="X11" s="190" t="s">
        <v>807</v>
      </c>
      <c r="Y11" s="191"/>
    </row>
    <row r="12" spans="1:25" ht="18" customHeight="1" thickBot="1" x14ac:dyDescent="0.35">
      <c r="A12" s="6"/>
      <c r="B12" s="5" t="b">
        <v>0</v>
      </c>
      <c r="C12" s="137" t="s">
        <v>321</v>
      </c>
      <c r="D12" s="143"/>
      <c r="E12" s="12">
        <v>1</v>
      </c>
      <c r="F12" s="169" t="s">
        <v>443</v>
      </c>
      <c r="G12" s="170"/>
      <c r="H12" s="170"/>
      <c r="I12" s="170"/>
      <c r="J12" s="170"/>
      <c r="K12" s="170"/>
      <c r="L12" s="170"/>
      <c r="M12" s="170"/>
      <c r="N12" s="171"/>
      <c r="O12" s="149" t="s">
        <v>813</v>
      </c>
      <c r="P12" s="150"/>
      <c r="Q12" s="150"/>
      <c r="R12" s="150"/>
      <c r="S12" s="150"/>
      <c r="T12" s="150"/>
      <c r="U12" s="151"/>
      <c r="V12" s="192" t="s">
        <v>783</v>
      </c>
      <c r="W12" s="193"/>
      <c r="X12" s="192" t="s">
        <v>808</v>
      </c>
      <c r="Y12" s="193"/>
    </row>
    <row r="13" spans="1:25" ht="16.5" thickTop="1" thickBot="1" x14ac:dyDescent="0.3">
      <c r="A13" s="6"/>
      <c r="B13" s="5" t="b">
        <v>0</v>
      </c>
      <c r="C13" s="155" t="s">
        <v>322</v>
      </c>
      <c r="D13" s="156"/>
      <c r="E13" s="13" t="s">
        <v>323</v>
      </c>
      <c r="F13" s="119" t="s">
        <v>620</v>
      </c>
      <c r="G13" s="120"/>
      <c r="H13" s="4" t="str">
        <f>IFERROR(VLOOKUP(F13,Abilities,4,FALSE),"")</f>
        <v>SOLW</v>
      </c>
      <c r="I13" s="121" t="s">
        <v>962</v>
      </c>
      <c r="J13" s="120"/>
      <c r="K13" s="35" t="str">
        <f>IFERROR(VLOOKUP(I13,Abilities,4,FALSE),"")</f>
        <v>BLANK</v>
      </c>
      <c r="L13" s="122" t="s">
        <v>360</v>
      </c>
      <c r="M13" s="120"/>
      <c r="N13" s="10" t="str">
        <f>IFERROR(VLOOKUP(L13,Abilities,4,FALSE),"")</f>
        <v>LW2</v>
      </c>
      <c r="O13" s="152"/>
      <c r="P13" s="153"/>
      <c r="Q13" s="153"/>
      <c r="R13" s="153"/>
      <c r="S13" s="153"/>
      <c r="T13" s="153"/>
      <c r="U13" s="154"/>
      <c r="V13" s="192" t="s">
        <v>839</v>
      </c>
      <c r="W13" s="193"/>
      <c r="X13" s="190" t="s">
        <v>809</v>
      </c>
      <c r="Y13" s="191"/>
    </row>
    <row r="14" spans="1:25" ht="15.75" thickBot="1" x14ac:dyDescent="0.3">
      <c r="A14" s="6"/>
      <c r="B14" s="7" t="b">
        <v>0</v>
      </c>
      <c r="F14" s="144" t="str">
        <f>IFERROR(VLOOKUP(F13,Abilities,7,FALSE),"")</f>
        <v>Grants 1 free incendiary grenade item to your inventory.</v>
      </c>
      <c r="G14" s="130"/>
      <c r="H14" s="131"/>
      <c r="I14" s="129" t="str">
        <f>IFERROR(VLOOKUP(I13,Abilities,7,FALSE),"")</f>
        <v xml:space="preserve"> </v>
      </c>
      <c r="J14" s="130"/>
      <c r="K14" s="131"/>
      <c r="L14" s="130" t="str">
        <f>IFERROR(VLOOKUP(L13,Abilities,7,FALSE),"")</f>
        <v>Special Flamethrower shot that does limited damage but forces enemies to change their position.</v>
      </c>
      <c r="M14" s="130"/>
      <c r="N14" s="135"/>
      <c r="O14" s="22"/>
      <c r="P14" s="23" t="s">
        <v>331</v>
      </c>
      <c r="Q14" s="24" t="s">
        <v>332</v>
      </c>
      <c r="R14" s="24" t="s">
        <v>333</v>
      </c>
      <c r="S14" s="24" t="s">
        <v>334</v>
      </c>
      <c r="T14" s="24" t="s">
        <v>336</v>
      </c>
      <c r="U14" s="25" t="s">
        <v>335</v>
      </c>
      <c r="V14" s="190" t="s">
        <v>784</v>
      </c>
      <c r="W14" s="191"/>
      <c r="X14" s="194" t="s">
        <v>814</v>
      </c>
      <c r="Y14" s="195"/>
    </row>
    <row r="15" spans="1:25" ht="15.75" thickBot="1" x14ac:dyDescent="0.3">
      <c r="A15" s="6"/>
      <c r="B15" s="7" t="b">
        <v>0</v>
      </c>
      <c r="F15" s="167"/>
      <c r="G15" s="147"/>
      <c r="H15" s="148"/>
      <c r="I15" s="146"/>
      <c r="J15" s="147"/>
      <c r="K15" s="148"/>
      <c r="L15" s="147"/>
      <c r="M15" s="147"/>
      <c r="N15" s="168"/>
      <c r="O15" s="19" t="s">
        <v>12</v>
      </c>
      <c r="P15" s="4"/>
      <c r="Q15" s="20">
        <v>4</v>
      </c>
      <c r="R15" s="20"/>
      <c r="S15" s="4"/>
      <c r="T15" s="4"/>
      <c r="U15" s="10"/>
      <c r="V15" s="190" t="s">
        <v>823</v>
      </c>
      <c r="W15" s="191"/>
    </row>
    <row r="16" spans="1:25" ht="18" thickBot="1" x14ac:dyDescent="0.35">
      <c r="A16" s="6"/>
      <c r="B16" s="7" t="b">
        <v>0</v>
      </c>
      <c r="F16" s="169" t="s">
        <v>15</v>
      </c>
      <c r="G16" s="170"/>
      <c r="H16" s="170"/>
      <c r="I16" s="170"/>
      <c r="J16" s="170"/>
      <c r="K16" s="170"/>
      <c r="L16" s="170"/>
      <c r="M16" s="170"/>
      <c r="N16" s="171"/>
      <c r="O16" s="26" t="s">
        <v>456</v>
      </c>
      <c r="P16" s="27"/>
      <c r="Q16" s="28">
        <v>4</v>
      </c>
      <c r="R16" s="28"/>
      <c r="S16" s="27"/>
      <c r="T16" s="27"/>
      <c r="U16" s="29"/>
      <c r="V16" s="190" t="s">
        <v>786</v>
      </c>
      <c r="W16" s="191"/>
    </row>
    <row r="17" spans="1:23" ht="16.5" thickTop="1" thickBot="1" x14ac:dyDescent="0.3">
      <c r="A17" s="8"/>
      <c r="B17" s="9" t="b">
        <v>0</v>
      </c>
      <c r="F17" s="121" t="s">
        <v>962</v>
      </c>
      <c r="G17" s="120"/>
      <c r="H17" s="4" t="str">
        <f>IFERROR(VLOOKUP(F17,Abilities,4,FALSE),"")</f>
        <v>BLANK</v>
      </c>
      <c r="I17" s="121" t="s">
        <v>434</v>
      </c>
      <c r="J17" s="120"/>
      <c r="K17" s="35" t="str">
        <f>IFERROR(VLOOKUP(I17,Abilities,4,FALSE),"")</f>
        <v>LW2</v>
      </c>
      <c r="L17" s="121" t="s">
        <v>962</v>
      </c>
      <c r="M17" s="120"/>
      <c r="N17" s="10" t="str">
        <f>IFERROR(VLOOKUP(L17,Abilities,4,FALSE),"")</f>
        <v>BLANK</v>
      </c>
      <c r="O17" s="19" t="s">
        <v>15</v>
      </c>
      <c r="P17" s="4"/>
      <c r="Q17" s="20"/>
      <c r="R17" s="20"/>
      <c r="S17" s="4"/>
      <c r="T17" s="4"/>
      <c r="U17" s="10"/>
      <c r="V17" s="192" t="s">
        <v>787</v>
      </c>
      <c r="W17" s="193"/>
    </row>
    <row r="18" spans="1:23" x14ac:dyDescent="0.25">
      <c r="A18" s="172" t="s">
        <v>344</v>
      </c>
      <c r="B18" s="173"/>
      <c r="F18" s="144" t="str">
        <f>IFERROR(VLOOKUP(F17,Abilities,7,FALSE),"")</f>
        <v xml:space="preserve"> </v>
      </c>
      <c r="G18" s="130"/>
      <c r="H18" s="131"/>
      <c r="I18" s="129" t="str">
        <f>IFERROR(VLOOKUP(I17,Abilities,7,FALSE),"")</f>
        <v>Your Flamethrower can now disorient enemies.</v>
      </c>
      <c r="J18" s="130"/>
      <c r="K18" s="131"/>
      <c r="L18" s="130" t="str">
        <f>IFERROR(VLOOKUP(L17,Abilities,7,FALSE),"")</f>
        <v xml:space="preserve"> </v>
      </c>
      <c r="M18" s="130"/>
      <c r="N18" s="135"/>
      <c r="O18" s="26" t="s">
        <v>21</v>
      </c>
      <c r="P18" s="27"/>
      <c r="Q18" s="28"/>
      <c r="R18" s="28"/>
      <c r="S18" s="27"/>
      <c r="T18" s="27"/>
      <c r="U18" s="29"/>
      <c r="V18" s="190" t="s">
        <v>834</v>
      </c>
      <c r="W18" s="191"/>
    </row>
    <row r="19" spans="1:23" ht="15.75" thickBot="1" x14ac:dyDescent="0.3">
      <c r="A19" s="174"/>
      <c r="B19" s="175"/>
      <c r="D19" s="3"/>
      <c r="F19" s="167"/>
      <c r="G19" s="147"/>
      <c r="H19" s="148"/>
      <c r="I19" s="146"/>
      <c r="J19" s="147"/>
      <c r="K19" s="148"/>
      <c r="L19" s="147"/>
      <c r="M19" s="147"/>
      <c r="N19" s="168"/>
      <c r="O19" s="21" t="s">
        <v>457</v>
      </c>
      <c r="P19" s="4"/>
      <c r="Q19" s="20"/>
      <c r="R19" s="20"/>
      <c r="S19" s="4"/>
      <c r="T19" s="4"/>
      <c r="U19" s="10"/>
      <c r="V19" s="192" t="s">
        <v>838</v>
      </c>
      <c r="W19" s="193"/>
    </row>
    <row r="20" spans="1:23" ht="18" thickBot="1" x14ac:dyDescent="0.35">
      <c r="A20" s="176" t="s">
        <v>913</v>
      </c>
      <c r="B20" s="177"/>
      <c r="C20" s="178"/>
      <c r="D20" s="178"/>
      <c r="E20" s="179"/>
      <c r="F20" s="169" t="s">
        <v>21</v>
      </c>
      <c r="G20" s="170"/>
      <c r="H20" s="170"/>
      <c r="I20" s="170"/>
      <c r="J20" s="170"/>
      <c r="K20" s="170"/>
      <c r="L20" s="170"/>
      <c r="M20" s="170"/>
      <c r="N20" s="171"/>
      <c r="O20" s="26" t="s">
        <v>458</v>
      </c>
      <c r="P20" s="27"/>
      <c r="Q20" s="28"/>
      <c r="R20" s="28"/>
      <c r="S20" s="27"/>
      <c r="T20" s="27"/>
      <c r="U20" s="29"/>
      <c r="V20" s="192" t="s">
        <v>790</v>
      </c>
      <c r="W20" s="193"/>
    </row>
    <row r="21" spans="1:23" ht="15.75" thickTop="1" x14ac:dyDescent="0.25">
      <c r="A21" s="176"/>
      <c r="B21" s="177"/>
      <c r="C21" s="177"/>
      <c r="D21" s="177"/>
      <c r="E21" s="180"/>
      <c r="F21" s="119" t="s">
        <v>589</v>
      </c>
      <c r="G21" s="120"/>
      <c r="H21" s="4" t="str">
        <f>IFERROR(VLOOKUP(F21,Abilities,4,FALSE),"")</f>
        <v>SOLW</v>
      </c>
      <c r="I21" s="121" t="s">
        <v>962</v>
      </c>
      <c r="J21" s="120"/>
      <c r="K21" s="35" t="str">
        <f>IFERROR(VLOOKUP(I21,Abilities,4,FALSE),"")</f>
        <v>BLANK</v>
      </c>
      <c r="L21" s="122" t="s">
        <v>363</v>
      </c>
      <c r="M21" s="120"/>
      <c r="N21" s="10" t="str">
        <f>IFERROR(VLOOKUP(L21,Abilities,4,FALSE),"")</f>
        <v>LW2</v>
      </c>
      <c r="O21" s="36" t="s">
        <v>459</v>
      </c>
      <c r="P21" s="37"/>
      <c r="Q21" s="37"/>
      <c r="R21" s="37"/>
      <c r="S21" s="37"/>
      <c r="T21" s="37"/>
      <c r="U21" s="38"/>
      <c r="V21" s="190" t="s">
        <v>791</v>
      </c>
      <c r="W21" s="191"/>
    </row>
    <row r="22" spans="1:23" ht="15.75" thickBot="1" x14ac:dyDescent="0.3">
      <c r="A22" s="181"/>
      <c r="B22" s="182"/>
      <c r="C22" s="182"/>
      <c r="D22" s="182"/>
      <c r="E22" s="183"/>
      <c r="F22" s="144" t="str">
        <f>IFERROR(VLOOKUP(F21,Abilities,7,FALSE),"")</f>
        <v>Your explosive grenades destroy most cover objects.</v>
      </c>
      <c r="G22" s="130"/>
      <c r="H22" s="131"/>
      <c r="I22" s="129" t="str">
        <f>IFERROR(VLOOKUP(I21,Abilities,7,FALSE),"")</f>
        <v xml:space="preserve"> </v>
      </c>
      <c r="J22" s="130"/>
      <c r="K22" s="131"/>
      <c r="L22" s="130">
        <f>IFERROR(VLOOKUP(L21,Abilities,7,FALSE),"")</f>
        <v>0</v>
      </c>
      <c r="M22" s="130"/>
      <c r="N22" s="135"/>
      <c r="O22" s="39" t="s">
        <v>460</v>
      </c>
      <c r="P22" s="40"/>
      <c r="Q22" s="41"/>
      <c r="R22" s="41"/>
      <c r="S22" s="40"/>
      <c r="T22" s="40"/>
      <c r="U22" s="42"/>
      <c r="V22" s="192" t="s">
        <v>792</v>
      </c>
      <c r="W22" s="193"/>
    </row>
    <row r="23" spans="1:23" ht="15.75" thickBot="1" x14ac:dyDescent="0.3">
      <c r="A23" s="184" t="s">
        <v>352</v>
      </c>
      <c r="B23" s="185"/>
      <c r="C23" s="185"/>
      <c r="D23" s="185"/>
      <c r="E23" s="186"/>
      <c r="F23" s="167"/>
      <c r="G23" s="147"/>
      <c r="H23" s="148"/>
      <c r="I23" s="146"/>
      <c r="J23" s="147"/>
      <c r="K23" s="148"/>
      <c r="L23" s="147"/>
      <c r="M23" s="147"/>
      <c r="N23" s="168"/>
      <c r="O23" s="14"/>
      <c r="P23" s="14"/>
      <c r="Q23" s="3"/>
      <c r="V23" s="190" t="s">
        <v>793</v>
      </c>
      <c r="W23" s="191"/>
    </row>
    <row r="24" spans="1:23" ht="18" thickBot="1" x14ac:dyDescent="0.35">
      <c r="A24" s="187"/>
      <c r="B24" s="188"/>
      <c r="C24" s="188"/>
      <c r="D24" s="188"/>
      <c r="E24" s="189"/>
      <c r="F24" s="169" t="s">
        <v>444</v>
      </c>
      <c r="G24" s="170"/>
      <c r="H24" s="170"/>
      <c r="I24" s="170"/>
      <c r="J24" s="170"/>
      <c r="K24" s="170"/>
      <c r="L24" s="170"/>
      <c r="M24" s="170"/>
      <c r="N24" s="171"/>
      <c r="O24" s="14"/>
      <c r="P24" s="14"/>
      <c r="Q24" s="3"/>
      <c r="V24" s="192" t="s">
        <v>837</v>
      </c>
      <c r="W24" s="193"/>
    </row>
    <row r="25" spans="1:23" ht="15.75" thickTop="1" x14ac:dyDescent="0.25">
      <c r="A25" s="50"/>
      <c r="B25" s="51"/>
      <c r="C25" s="51"/>
      <c r="D25" s="51"/>
      <c r="E25" s="52"/>
      <c r="F25" s="119" t="s">
        <v>729</v>
      </c>
      <c r="G25" s="120"/>
      <c r="H25" s="4" t="str">
        <f>IFERROR(VLOOKUP(F25,Abilities,4,FALSE),"")</f>
        <v>SOLW</v>
      </c>
      <c r="I25" s="121" t="s">
        <v>962</v>
      </c>
      <c r="J25" s="120"/>
      <c r="K25" s="35" t="str">
        <f>IFERROR(VLOOKUP(I25,Abilities,4,FALSE),"")</f>
        <v>BLANK</v>
      </c>
      <c r="L25" s="122" t="s">
        <v>438</v>
      </c>
      <c r="M25" s="120"/>
      <c r="N25" s="10" t="str">
        <f>IFERROR(VLOOKUP(L25,Abilities,4,FALSE),"")</f>
        <v>LW2</v>
      </c>
      <c r="O25" s="14"/>
      <c r="P25" s="14"/>
      <c r="Q25" s="3"/>
      <c r="V25" s="190" t="s">
        <v>795</v>
      </c>
      <c r="W25" s="191"/>
    </row>
    <row r="26" spans="1:23" x14ac:dyDescent="0.25">
      <c r="A26" s="50"/>
      <c r="B26" s="51"/>
      <c r="C26" s="51"/>
      <c r="D26" s="51"/>
      <c r="E26" s="52"/>
      <c r="F26" s="144" t="str">
        <f>IFERROR(VLOOKUP(F25,Abilities,7,FALSE),"")</f>
        <v>You have one free smoke grenade use on every mission. Launching or throwing a smoke grenade as your first action does not end your turn.</v>
      </c>
      <c r="G26" s="130"/>
      <c r="H26" s="131"/>
      <c r="I26" s="129" t="str">
        <f>IFERROR(VLOOKUP(I25,Abilities,7,FALSE),"")</f>
        <v xml:space="preserve"> </v>
      </c>
      <c r="J26" s="130"/>
      <c r="K26" s="131"/>
      <c r="L26" s="130">
        <f>IFERROR(VLOOKUP(L25,Abilities,7,FALSE),"")</f>
        <v>0</v>
      </c>
      <c r="M26" s="130"/>
      <c r="N26" s="135"/>
      <c r="O26" s="14"/>
      <c r="P26" s="14"/>
      <c r="Q26" s="3"/>
      <c r="V26" s="190" t="s">
        <v>797</v>
      </c>
      <c r="W26" s="191"/>
    </row>
    <row r="27" spans="1:23" ht="15.75" thickBot="1" x14ac:dyDescent="0.3">
      <c r="A27" s="50"/>
      <c r="B27" s="51"/>
      <c r="C27" s="51"/>
      <c r="D27" s="51"/>
      <c r="E27" s="52"/>
      <c r="F27" s="167"/>
      <c r="G27" s="147"/>
      <c r="H27" s="148"/>
      <c r="I27" s="146"/>
      <c r="J27" s="147"/>
      <c r="K27" s="148"/>
      <c r="L27" s="147"/>
      <c r="M27" s="147"/>
      <c r="N27" s="168"/>
      <c r="O27" s="14"/>
      <c r="P27" s="14"/>
      <c r="Q27" s="3"/>
      <c r="V27" s="192" t="s">
        <v>798</v>
      </c>
      <c r="W27" s="193"/>
    </row>
    <row r="28" spans="1:23" ht="18" thickBot="1" x14ac:dyDescent="0.35">
      <c r="A28" s="50"/>
      <c r="B28" s="51"/>
      <c r="C28" s="51"/>
      <c r="D28" s="51"/>
      <c r="E28" s="52"/>
      <c r="F28" s="169" t="s">
        <v>445</v>
      </c>
      <c r="G28" s="170"/>
      <c r="H28" s="170"/>
      <c r="I28" s="170"/>
      <c r="J28" s="170"/>
      <c r="K28" s="170"/>
      <c r="L28" s="170"/>
      <c r="M28" s="170"/>
      <c r="N28" s="171"/>
      <c r="O28" s="14"/>
      <c r="P28" s="14"/>
      <c r="Q28" s="3"/>
      <c r="V28" s="190" t="s">
        <v>799</v>
      </c>
      <c r="W28" s="191"/>
    </row>
    <row r="29" spans="1:23" ht="15.75" thickTop="1" x14ac:dyDescent="0.25">
      <c r="A29" s="50"/>
      <c r="B29" s="51"/>
      <c r="C29" s="51"/>
      <c r="D29" s="51"/>
      <c r="E29" s="52"/>
      <c r="F29" s="119" t="s">
        <v>693</v>
      </c>
      <c r="G29" s="120"/>
      <c r="H29" s="4" t="str">
        <f>IFERROR(VLOOKUP(F29,Abilities,4,FALSE),"")</f>
        <v>SOLW</v>
      </c>
      <c r="I29" s="121" t="s">
        <v>962</v>
      </c>
      <c r="J29" s="120"/>
      <c r="K29" s="35" t="str">
        <f>IFERROR(VLOOKUP(I29,Abilities,4,FALSE),"")</f>
        <v>BLANK</v>
      </c>
      <c r="L29" s="122" t="s">
        <v>439</v>
      </c>
      <c r="M29" s="120"/>
      <c r="N29" s="10" t="str">
        <f>IFERROR(VLOOKUP(L29,Abilities,4,FALSE),"")</f>
        <v>LW2</v>
      </c>
      <c r="O29" s="14"/>
      <c r="P29" s="14"/>
      <c r="Q29" s="3"/>
      <c r="V29" s="190" t="s">
        <v>825</v>
      </c>
      <c r="W29" s="191"/>
    </row>
    <row r="30" spans="1:23" x14ac:dyDescent="0.25">
      <c r="A30" s="50"/>
      <c r="B30" s="51"/>
      <c r="C30" s="51"/>
      <c r="D30" s="51"/>
      <c r="E30" s="52"/>
      <c r="F30" s="144" t="str">
        <f>IFERROR(VLOOKUP(F29,Abilities,7,FALSE),"")</f>
        <v>You are immune to multi-target and area attacks.</v>
      </c>
      <c r="G30" s="130"/>
      <c r="H30" s="131"/>
      <c r="I30" s="129" t="str">
        <f>IFERROR(VLOOKUP(I29,Abilities,7,FALSE),"")</f>
        <v xml:space="preserve"> </v>
      </c>
      <c r="J30" s="130"/>
      <c r="K30" s="131"/>
      <c r="L30" s="130">
        <f>IFERROR(VLOOKUP(L29,Abilities,7,FALSE),"")</f>
        <v>0</v>
      </c>
      <c r="M30" s="130"/>
      <c r="N30" s="135"/>
      <c r="O30" s="14"/>
      <c r="P30" s="14"/>
      <c r="Q30" s="3"/>
      <c r="V30" s="190" t="s">
        <v>509</v>
      </c>
      <c r="W30" s="191"/>
    </row>
    <row r="31" spans="1:23" ht="15.75" thickBot="1" x14ac:dyDescent="0.3">
      <c r="A31" s="50"/>
      <c r="B31" s="51"/>
      <c r="C31" s="51"/>
      <c r="D31" s="51"/>
      <c r="E31" s="52"/>
      <c r="F31" s="167"/>
      <c r="G31" s="147"/>
      <c r="H31" s="148"/>
      <c r="I31" s="146"/>
      <c r="J31" s="147"/>
      <c r="K31" s="148"/>
      <c r="L31" s="147"/>
      <c r="M31" s="147"/>
      <c r="N31" s="168"/>
      <c r="O31" s="14"/>
      <c r="P31" s="14"/>
      <c r="Q31" s="3"/>
      <c r="V31" s="192" t="s">
        <v>820</v>
      </c>
      <c r="W31" s="193"/>
    </row>
    <row r="32" spans="1:23" ht="18" thickBot="1" x14ac:dyDescent="0.35">
      <c r="A32" s="50"/>
      <c r="B32" s="51"/>
      <c r="C32" s="51"/>
      <c r="D32" s="51"/>
      <c r="E32" s="52"/>
      <c r="F32" s="169" t="s">
        <v>446</v>
      </c>
      <c r="G32" s="170"/>
      <c r="H32" s="170"/>
      <c r="I32" s="170"/>
      <c r="J32" s="170"/>
      <c r="K32" s="170"/>
      <c r="L32" s="170"/>
      <c r="M32" s="170"/>
      <c r="N32" s="171"/>
      <c r="O32" s="14"/>
      <c r="P32" s="14"/>
      <c r="Q32" s="3"/>
      <c r="V32" s="192" t="s">
        <v>815</v>
      </c>
      <c r="W32" s="193"/>
    </row>
    <row r="33" spans="1:23" ht="15.75" thickTop="1" x14ac:dyDescent="0.25">
      <c r="A33" s="50"/>
      <c r="B33" s="51"/>
      <c r="C33" s="51"/>
      <c r="D33" s="51"/>
      <c r="E33" s="52"/>
      <c r="F33" s="121" t="s">
        <v>962</v>
      </c>
      <c r="G33" s="120"/>
      <c r="H33" s="4" t="str">
        <f>IFERROR(VLOOKUP(F33,Abilities,4,FALSE),"")</f>
        <v>BLANK</v>
      </c>
      <c r="I33" s="121" t="s">
        <v>367</v>
      </c>
      <c r="J33" s="120"/>
      <c r="K33" s="35" t="str">
        <f>IFERROR(VLOOKUP(I33,Abilities,4,FALSE),"")</f>
        <v>LW2</v>
      </c>
      <c r="L33" s="121" t="s">
        <v>962</v>
      </c>
      <c r="M33" s="120"/>
      <c r="N33" s="10" t="str">
        <f>IFERROR(VLOOKUP(L33,Abilities,4,FALSE),"")</f>
        <v>BLANK</v>
      </c>
      <c r="O33" s="14"/>
      <c r="P33" s="14"/>
      <c r="Q33" s="3"/>
      <c r="V33" s="192" t="s">
        <v>822</v>
      </c>
      <c r="W33" s="193"/>
    </row>
    <row r="34" spans="1:23" x14ac:dyDescent="0.25">
      <c r="A34" s="50"/>
      <c r="B34" s="51"/>
      <c r="C34" s="51"/>
      <c r="D34" s="51"/>
      <c r="E34" s="52"/>
      <c r="F34" s="144" t="str">
        <f>IFERROR(VLOOKUP(F33,Abilities,7,FALSE),"")</f>
        <v xml:space="preserve"> </v>
      </c>
      <c r="G34" s="130"/>
      <c r="H34" s="131"/>
      <c r="I34" s="129">
        <f>IFERROR(VLOOKUP(I33,Abilities,7,FALSE),"")</f>
        <v>0</v>
      </c>
      <c r="J34" s="130"/>
      <c r="K34" s="131"/>
      <c r="L34" s="130" t="str">
        <f>IFERROR(VLOOKUP(L33,Abilities,7,FALSE),"")</f>
        <v xml:space="preserve"> </v>
      </c>
      <c r="M34" s="130"/>
      <c r="N34" s="135"/>
      <c r="O34" s="14"/>
      <c r="P34" s="14"/>
      <c r="Q34" s="3"/>
      <c r="V34" s="190" t="s">
        <v>836</v>
      </c>
      <c r="W34" s="191"/>
    </row>
    <row r="35" spans="1:23" ht="15.75" thickBot="1" x14ac:dyDescent="0.3">
      <c r="A35" s="50"/>
      <c r="B35" s="51"/>
      <c r="C35" s="51"/>
      <c r="D35" s="51"/>
      <c r="E35" s="52"/>
      <c r="F35" s="167"/>
      <c r="G35" s="147"/>
      <c r="H35" s="148"/>
      <c r="I35" s="146"/>
      <c r="J35" s="147"/>
      <c r="K35" s="148"/>
      <c r="L35" s="147"/>
      <c r="M35" s="147"/>
      <c r="N35" s="168"/>
      <c r="O35" s="14"/>
      <c r="P35" s="14"/>
      <c r="Q35" s="3"/>
      <c r="V35" s="194" t="s">
        <v>800</v>
      </c>
      <c r="W35" s="195"/>
    </row>
    <row r="36" spans="1:23" ht="18" thickBot="1" x14ac:dyDescent="0.35">
      <c r="A36" s="50"/>
      <c r="B36" s="51"/>
      <c r="C36" s="51"/>
      <c r="D36" s="51"/>
      <c r="E36" s="52"/>
      <c r="F36" s="169" t="s">
        <v>447</v>
      </c>
      <c r="G36" s="170"/>
      <c r="H36" s="170"/>
      <c r="I36" s="170"/>
      <c r="J36" s="170"/>
      <c r="K36" s="170"/>
      <c r="L36" s="170"/>
      <c r="M36" s="170"/>
      <c r="N36" s="171"/>
    </row>
    <row r="37" spans="1:23" ht="15.75" thickTop="1" x14ac:dyDescent="0.25">
      <c r="A37" s="50"/>
      <c r="B37" s="51"/>
      <c r="C37" s="51"/>
      <c r="D37" s="51"/>
      <c r="E37" s="52"/>
      <c r="F37" s="119" t="s">
        <v>368</v>
      </c>
      <c r="G37" s="120"/>
      <c r="H37" s="4" t="str">
        <f>IFERROR(VLOOKUP(F37,Abilities,4,FALSE),"")</f>
        <v>LW2</v>
      </c>
      <c r="I37" s="121" t="s">
        <v>962</v>
      </c>
      <c r="J37" s="120"/>
      <c r="K37" s="35" t="str">
        <f>IFERROR(VLOOKUP(I37,Abilities,4,FALSE),"")</f>
        <v>BLANK</v>
      </c>
      <c r="L37" s="122" t="s">
        <v>370</v>
      </c>
      <c r="M37" s="120"/>
      <c r="N37" s="10" t="str">
        <f>IFERROR(VLOOKUP(L37,Abilities,4,FALSE),"")</f>
        <v>LW2</v>
      </c>
    </row>
    <row r="38" spans="1:23" x14ac:dyDescent="0.25">
      <c r="A38" s="50"/>
      <c r="B38" s="51"/>
      <c r="C38" s="51"/>
      <c r="D38" s="51"/>
      <c r="E38" s="52"/>
      <c r="F38" s="144">
        <f>IFERROR(VLOOKUP(F37,Abilities,7,FALSE),"")</f>
        <v>0</v>
      </c>
      <c r="G38" s="130"/>
      <c r="H38" s="131"/>
      <c r="I38" s="129" t="str">
        <f>IFERROR(VLOOKUP(I37,Abilities,7,FALSE),"")</f>
        <v xml:space="preserve"> </v>
      </c>
      <c r="J38" s="130"/>
      <c r="K38" s="131"/>
      <c r="L38" s="130">
        <f>IFERROR(VLOOKUP(L37,Abilities,7,FALSE),"")</f>
        <v>0</v>
      </c>
      <c r="M38" s="130"/>
      <c r="N38" s="135"/>
    </row>
    <row r="39" spans="1:23" ht="15.75" thickBot="1" x14ac:dyDescent="0.3">
      <c r="A39" s="53"/>
      <c r="B39" s="54"/>
      <c r="C39" s="54"/>
      <c r="D39" s="54"/>
      <c r="E39" s="55"/>
      <c r="F39" s="167"/>
      <c r="G39" s="147"/>
      <c r="H39" s="148"/>
      <c r="I39" s="146"/>
      <c r="J39" s="147"/>
      <c r="K39" s="148"/>
      <c r="L39" s="147"/>
      <c r="M39" s="147"/>
      <c r="N39" s="168"/>
    </row>
    <row r="40" spans="1:23" ht="15" customHeight="1" x14ac:dyDescent="0.25">
      <c r="A40" s="86" t="s">
        <v>1200</v>
      </c>
      <c r="B40" s="86"/>
      <c r="C40" s="88" t="str">
        <f>SUBSTITUTE(C1," ","")</f>
        <v>Fireman</v>
      </c>
      <c r="D40" s="88"/>
      <c r="E40" s="88"/>
      <c r="F40" s="238"/>
      <c r="G40" s="238"/>
      <c r="H40" s="237"/>
      <c r="I40" s="237"/>
      <c r="J40" s="237"/>
    </row>
    <row r="41" spans="1:23" ht="15" customHeight="1" thickBot="1" x14ac:dyDescent="0.3">
      <c r="A41" s="87"/>
      <c r="B41" s="87"/>
      <c r="C41" s="89"/>
      <c r="D41" s="89"/>
      <c r="E41" s="89"/>
      <c r="F41" s="239"/>
      <c r="G41" s="239"/>
      <c r="H41" s="237"/>
      <c r="I41" s="237"/>
      <c r="J41" s="237"/>
    </row>
    <row r="42" spans="1:23" ht="16.5" thickBot="1" x14ac:dyDescent="0.3">
      <c r="A42" s="242" t="s">
        <v>339</v>
      </c>
      <c r="B42" s="244"/>
      <c r="C42" s="253" t="s">
        <v>342</v>
      </c>
      <c r="D42" s="247"/>
      <c r="E42" s="251" t="s">
        <v>343</v>
      </c>
      <c r="F42" s="250"/>
      <c r="G42" s="234"/>
      <c r="H42" s="235"/>
      <c r="I42" s="235"/>
      <c r="J42" s="235"/>
    </row>
    <row r="43" spans="1:23" x14ac:dyDescent="0.25">
      <c r="A43" s="243" t="str">
        <f ca="1">"; "&amp;INDIRECT("C1")&amp;" class data"</f>
        <v>; Fireman class data</v>
      </c>
      <c r="B43" s="234" t="s">
        <v>340</v>
      </c>
      <c r="C43" s="254" t="str">
        <f ca="1">"; "&amp;INDIRECT("C1")&amp;" class loadout"</f>
        <v>; Fireman class loadout</v>
      </c>
      <c r="D43" s="234" t="s">
        <v>340</v>
      </c>
      <c r="E43" s="252" t="str">
        <f ca="1">"["&amp;INDIRECT("C3")&amp;" X2SoldierClassTemplate]"</f>
        <v>[LWD_Fireman X2SoldierClassTemplate]</v>
      </c>
      <c r="F43" s="234" t="s">
        <v>340</v>
      </c>
      <c r="G43" s="234"/>
      <c r="H43" s="235"/>
      <c r="I43" s="235"/>
      <c r="J43" s="235"/>
    </row>
    <row r="44" spans="1:23" x14ac:dyDescent="0.25">
      <c r="A44" s="240"/>
      <c r="B44" s="234"/>
      <c r="C44" s="245"/>
      <c r="D44" s="234" t="s">
        <v>340</v>
      </c>
      <c r="E44" s="248" t="str">
        <f ca="1">"+DisplayName="""&amp;INDIRECT("C1")&amp;""""</f>
        <v>+DisplayName="Fireman"</v>
      </c>
      <c r="F44" s="234" t="s">
        <v>340</v>
      </c>
      <c r="G44" s="234"/>
      <c r="H44" s="235"/>
      <c r="I44" s="235"/>
      <c r="J44" s="235"/>
    </row>
    <row r="45" spans="1:23" x14ac:dyDescent="0.25">
      <c r="A45" s="240" t="str">
        <f>"[XComGame.X2SoldierClass_DefaultClasses]"</f>
        <v>[XComGame.X2SoldierClass_DefaultClasses]</v>
      </c>
      <c r="B45" s="234" t="s">
        <v>340</v>
      </c>
      <c r="C45" s="245" t="s">
        <v>341</v>
      </c>
      <c r="D45" s="234" t="s">
        <v>340</v>
      </c>
      <c r="E45" s="248" t="str">
        <f ca="1">"+ClassSummary="""&amp;INDIRECT("A20")&amp;""""</f>
        <v>+ClassSummary="Specializing in their gauntlet's flamethrower, Firemen can clear entire rooms of enemies, as well as blocking off chokepoints with walls of flame."</v>
      </c>
      <c r="F45" s="234" t="s">
        <v>340</v>
      </c>
      <c r="G45" s="234"/>
      <c r="H45" s="235"/>
      <c r="I45" s="235"/>
      <c r="J45" s="235"/>
    </row>
    <row r="46" spans="1:23" x14ac:dyDescent="0.25">
      <c r="A46" s="240" t="str">
        <f ca="1">"+SoldierClasses="&amp;INDIRECT("C3")</f>
        <v>+SoldierClasses=LWD_Fireman</v>
      </c>
      <c r="B46" s="234" t="s">
        <v>340</v>
      </c>
      <c r="C46" s="245"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+Loadouts=(LoadoutName="SquaddieLWD_Fireman", Items[0]=(Item="Shotgun_CV"), Items[1]=(Item="LWGauntlet_CV"))</v>
      </c>
      <c r="D46" s="234" t="s">
        <v>340</v>
      </c>
      <c r="E46" s="248" t="str">
        <f ca="1">"+LeftAbilityTreeTitle="""&amp;INDIRECT("F11")&amp;""""</f>
        <v>+LeftAbilityTreeTitle="Explosions"</v>
      </c>
      <c r="F46" s="234" t="s">
        <v>340</v>
      </c>
      <c r="G46" s="234"/>
      <c r="H46" s="235"/>
      <c r="I46" s="234"/>
      <c r="J46" s="234"/>
    </row>
    <row r="47" spans="1:23" x14ac:dyDescent="0.25">
      <c r="A47" s="240"/>
      <c r="B47" s="234" t="s">
        <v>340</v>
      </c>
      <c r="C47" s="245"/>
      <c r="D47" s="234" t="s">
        <v>340</v>
      </c>
      <c r="E47" s="248" t="str">
        <f ca="1">"+RightAbilityTreeTitle="""&amp;INDIRECT("L11")&amp;""""</f>
        <v>+RightAbilityTreeTitle="Flames"</v>
      </c>
      <c r="F47" s="234" t="s">
        <v>340</v>
      </c>
      <c r="G47" s="234"/>
      <c r="H47" s="235"/>
      <c r="I47" s="234"/>
      <c r="J47" s="234"/>
    </row>
    <row r="48" spans="1:23" x14ac:dyDescent="0.25">
      <c r="A48" s="240" t="str">
        <f ca="1">"["&amp;INDIRECT("C3")&amp;" X2SoldierClassTemplate]"</f>
        <v>[LWD_Fireman X2SoldierClassTemplate]</v>
      </c>
      <c r="B48" s="234" t="s">
        <v>340</v>
      </c>
      <c r="C48" s="245" t="s">
        <v>351</v>
      </c>
      <c r="D48" s="234" t="s">
        <v>340</v>
      </c>
      <c r="E48" s="248" t="str">
        <f>"; Nicknames"</f>
        <v>; Nicknames</v>
      </c>
      <c r="F48" s="234" t="s">
        <v>340</v>
      </c>
      <c r="G48" s="234"/>
      <c r="H48" s="234"/>
      <c r="I48" s="234"/>
      <c r="J48" s="234"/>
    </row>
    <row r="49" spans="1:10" ht="15.75" thickBot="1" x14ac:dyDescent="0.3">
      <c r="A49" s="240" t="str">
        <f ca="1">"+bMultiplayerOnly="&amp;INDIRECT("E6")</f>
        <v>+bMultiplayerOnly=0</v>
      </c>
      <c r="B49" s="234" t="s">
        <v>340</v>
      </c>
      <c r="C49" s="246" t="str">
        <f ca="1">"+DEBUG_StartingSoldierClasses="""&amp;INDIRECT("C3")&amp;""""</f>
        <v>+DEBUG_StartingSoldierClasses="LWD_Fireman"</v>
      </c>
      <c r="D49" s="234" t="s">
        <v>340</v>
      </c>
      <c r="E49" s="248" t="str">
        <f ca="1">IF(INDIRECT("V4")&lt;&gt;"","RandomNickNames[0]="""&amp;INDIRECT("V4")&amp;"""","")</f>
        <v>RandomNickNames[0]="Angel"</v>
      </c>
      <c r="F49" s="234" t="s">
        <v>340</v>
      </c>
      <c r="G49" s="234"/>
      <c r="H49" s="234"/>
      <c r="I49" s="234"/>
      <c r="J49" s="234"/>
    </row>
    <row r="50" spans="1:10" x14ac:dyDescent="0.25">
      <c r="A50" s="240" t="str">
        <f ca="1">"+ClassPoints="&amp;INDIRECT("E7")</f>
        <v>+ClassPoints=4</v>
      </c>
      <c r="B50" s="234" t="s">
        <v>340</v>
      </c>
      <c r="C50" s="234"/>
      <c r="D50" s="234"/>
      <c r="E50" s="248" t="str">
        <f ca="1">IF(INDIRECT("V5")&lt;&gt;"","RandomNickNames[1]="""&amp;INDIRECT("V5")&amp;"""","")</f>
        <v>RandomNickNames[1]="Bargain"</v>
      </c>
      <c r="F50" s="234" t="s">
        <v>340</v>
      </c>
      <c r="G50" s="234"/>
      <c r="H50" s="234"/>
      <c r="I50" s="234"/>
      <c r="J50" s="234"/>
    </row>
    <row r="51" spans="1:10" x14ac:dyDescent="0.25">
      <c r="A51" s="240" t="str">
        <f ca="1">"+IconImage="&amp;""""&amp;INDIRECT("E8")&amp;""""</f>
        <v>+IconImage="img:///UILibrary_LWD.class_fireman"</v>
      </c>
      <c r="B51" s="234" t="s">
        <v>340</v>
      </c>
      <c r="C51" s="234"/>
      <c r="D51" s="234"/>
      <c r="E51" s="248" t="str">
        <f ca="1">IF(INDIRECT("V6")&lt;&gt;"","RandomNickNames[2]="""&amp;INDIRECT("V6")&amp;"""","")</f>
        <v>RandomNickNames[2]="Beta"</v>
      </c>
      <c r="F51" s="234" t="s">
        <v>340</v>
      </c>
      <c r="G51" s="234"/>
      <c r="H51" s="234"/>
      <c r="I51" s="234"/>
      <c r="J51" s="234"/>
    </row>
    <row r="52" spans="1:10" x14ac:dyDescent="0.25">
      <c r="A52" s="240" t="str">
        <f ca="1">"+NumInForcedDeck="&amp;INDIRECT("E9")</f>
        <v>+NumInForcedDeck=1</v>
      </c>
      <c r="B52" s="234" t="s">
        <v>340</v>
      </c>
      <c r="C52" s="234"/>
      <c r="D52" s="234"/>
      <c r="E52" s="248" t="str">
        <f ca="1">IF(INDIRECT("V7")&lt;&gt;"","RandomNickNames[3]="""&amp;INDIRECT("V7")&amp;"""","")</f>
        <v>RandomNickNames[3]="Bishop"</v>
      </c>
      <c r="F52" s="234" t="s">
        <v>340</v>
      </c>
      <c r="G52" s="234"/>
      <c r="H52" s="234"/>
      <c r="I52" s="234"/>
      <c r="J52" s="234"/>
    </row>
    <row r="53" spans="1:10" x14ac:dyDescent="0.25">
      <c r="A53" s="240" t="str">
        <f ca="1">"+NumInDeck="&amp;INDIRECT("E10")</f>
        <v>+NumInDeck=4</v>
      </c>
      <c r="B53" s="234" t="s">
        <v>340</v>
      </c>
      <c r="C53" s="234"/>
      <c r="D53" s="234"/>
      <c r="E53" s="248" t="str">
        <f ca="1">IF(INDIRECT("V8")&lt;&gt;"","RandomNickNames[4]="""&amp;INDIRECT("V8")&amp;"""","")</f>
        <v>RandomNickNames[4]="Bones"</v>
      </c>
      <c r="F53" s="234" t="s">
        <v>340</v>
      </c>
      <c r="G53" s="234"/>
      <c r="H53" s="234"/>
      <c r="I53" s="234"/>
      <c r="J53" s="234"/>
    </row>
    <row r="54" spans="1:10" x14ac:dyDescent="0.25">
      <c r="A54" s="240" t="str">
        <f ca="1">"+KillAssistsPerKill="&amp;INDIRECT("E11")</f>
        <v>+KillAssistsPerKill=4</v>
      </c>
      <c r="B54" s="234" t="s">
        <v>340</v>
      </c>
      <c r="C54" s="234"/>
      <c r="D54" s="234"/>
      <c r="E54" s="248" t="str">
        <f ca="1">IF(INDIRECT("V9")&lt;&gt;"","RandomNickNames[5]="""&amp;INDIRECT("V9")&amp;"""","")</f>
        <v>RandomNickNames[5]="Breaker"</v>
      </c>
      <c r="F54" s="234" t="s">
        <v>340</v>
      </c>
      <c r="G54" s="234"/>
      <c r="H54" s="234"/>
      <c r="I54" s="234"/>
      <c r="J54" s="234"/>
    </row>
    <row r="55" spans="1:10" x14ac:dyDescent="0.25">
      <c r="A55" s="240" t="str">
        <f ca="1">"+SquaddieLoadout=Squaddie"&amp;INDIRECT("C3")</f>
        <v>+SquaddieLoadout=SquaddieLWD_Fireman</v>
      </c>
      <c r="B55" s="234" t="s">
        <v>340</v>
      </c>
      <c r="C55" s="234"/>
      <c r="D55" s="234"/>
      <c r="E55" s="248" t="str">
        <f ca="1">IF(INDIRECT("V10")&lt;&gt;"","RandomNickNames[6]="""&amp;INDIRECT("V10")&amp;"""","")</f>
        <v>RandomNickNames[6]="Broker"</v>
      </c>
      <c r="F55" s="234" t="s">
        <v>340</v>
      </c>
      <c r="G55" s="234"/>
      <c r="H55" s="234"/>
      <c r="I55" s="234"/>
      <c r="J55" s="234"/>
    </row>
    <row r="56" spans="1:10" x14ac:dyDescent="0.25">
      <c r="A56" s="240" t="str">
        <f ca="1">";+bAllowAWCAbilities="&amp;INDIRECT("E12")&amp;" ; Not a thing in LW2"</f>
        <v>;+bAllowAWCAbilities=1 ; Not a thing in LW2</v>
      </c>
      <c r="B56" s="234" t="s">
        <v>340</v>
      </c>
      <c r="C56" s="234"/>
      <c r="D56" s="234"/>
      <c r="E56" s="248" t="str">
        <f ca="1">IF(INDIRECT("V11")&lt;&gt;"","RandomNickNames[7]="""&amp;INDIRECT("V11")&amp;"""","")</f>
        <v>RandomNickNames[7]="Conquest"</v>
      </c>
      <c r="F56" s="234" t="s">
        <v>340</v>
      </c>
      <c r="G56" s="234"/>
      <c r="H56" s="234"/>
      <c r="I56" s="234"/>
      <c r="J56" s="234"/>
    </row>
    <row r="57" spans="1:10" x14ac:dyDescent="0.25">
      <c r="A57" s="240" t="str">
        <f ca="1">IF(INDIRECT("B5")=FALSE,";","")&amp;"+AllowedWeapons=(SlotType=eInvSlot_PrimaryWeapon, WeaponType=""rifle"")"</f>
        <v>+AllowedWeapons=(SlotType=eInvSlot_PrimaryWeapon, WeaponType="rifle")</v>
      </c>
      <c r="B57" s="234" t="s">
        <v>340</v>
      </c>
      <c r="C57" s="234"/>
      <c r="D57" s="234"/>
      <c r="E57" s="248" t="str">
        <f ca="1">IF(INDIRECT("V12")&lt;&gt;"","RandomNickNames[8]="""&amp;INDIRECT("V12")&amp;"""","")</f>
        <v>RandomNickNames[8]="Deacon"</v>
      </c>
      <c r="F57" s="234" t="s">
        <v>340</v>
      </c>
      <c r="G57" s="234"/>
      <c r="H57" s="234"/>
      <c r="I57" s="234"/>
      <c r="J57" s="234"/>
    </row>
    <row r="58" spans="1:10" x14ac:dyDescent="0.25">
      <c r="A58" s="240" t="str">
        <f ca="1">IF(INDIRECT("B6")=FALSE,";","")&amp;"+AllowedWeapons=(SlotType=eInvSlot_PrimaryWeapon, WeaponType=""cannon"")"</f>
        <v>;+AllowedWeapons=(SlotType=eInvSlot_PrimaryWeapon, WeaponType="cannon")</v>
      </c>
      <c r="B58" s="234" t="s">
        <v>340</v>
      </c>
      <c r="C58" s="234"/>
      <c r="D58" s="234"/>
      <c r="E58" s="248" t="str">
        <f ca="1">IF(INDIRECT("V13")&lt;&gt;"","RandomNickNames[9]="""&amp;INDIRECT("V13")&amp;"""","")</f>
        <v>RandomNickNames[9]="Lamp"</v>
      </c>
      <c r="F58" s="234" t="s">
        <v>340</v>
      </c>
      <c r="G58" s="234"/>
      <c r="H58" s="234"/>
      <c r="I58" s="234"/>
      <c r="J58" s="234"/>
    </row>
    <row r="59" spans="1:10" x14ac:dyDescent="0.25">
      <c r="A59" s="240" t="str">
        <f ca="1">IF(INDIRECT("B7")=FALSE,";","")&amp;"+AllowedWeapons=(SlotType=eInvSlot_PrimaryWeapon, WeaponType=""shotgun"")"</f>
        <v>+AllowedWeapons=(SlotType=eInvSlot_PrimaryWeapon, WeaponType="shotgun")</v>
      </c>
      <c r="B59" s="234" t="s">
        <v>340</v>
      </c>
      <c r="C59" s="234"/>
      <c r="D59" s="234"/>
      <c r="E59" s="248" t="str">
        <f ca="1">IF(INDIRECT("V14")&lt;&gt;"","RandomNickNames[10]="""&amp;INDIRECT("V14")&amp;"""","")</f>
        <v>RandomNickNames[10]="Dr. Feelgood"</v>
      </c>
      <c r="F59" s="234" t="s">
        <v>340</v>
      </c>
      <c r="G59" s="234"/>
      <c r="H59" s="234"/>
      <c r="I59" s="234"/>
      <c r="J59" s="234"/>
    </row>
    <row r="60" spans="1:10" x14ac:dyDescent="0.25">
      <c r="A60" s="240" t="str">
        <f ca="1">IF(INDIRECT("B8")=FALSE,";","")&amp;"+AllowedWeapons=(SlotType=eInvSlot_PrimaryWeapon, WeaponType=""sniper_rifle"")"</f>
        <v>;+AllowedWeapons=(SlotType=eInvSlot_PrimaryWeapon, WeaponType="sniper_rifle")</v>
      </c>
      <c r="B60" s="234" t="s">
        <v>340</v>
      </c>
      <c r="C60" s="234"/>
      <c r="D60" s="234"/>
      <c r="E60" s="248" t="str">
        <f ca="1">IF(INDIRECT("V15")&lt;&gt;"","RandomNickNames[11]="""&amp;INDIRECT("V15")&amp;"""","")</f>
        <v>RandomNickNames[11]="Famine"</v>
      </c>
      <c r="F60" s="234" t="s">
        <v>340</v>
      </c>
      <c r="G60" s="234"/>
      <c r="H60" s="234"/>
      <c r="I60" s="234"/>
      <c r="J60" s="234"/>
    </row>
    <row r="61" spans="1:10" x14ac:dyDescent="0.25">
      <c r="A61" s="240" t="str">
        <f ca="1">IF(INDIRECT("B9")=FALSE,";","")&amp;"+AllowedWeapons=(SlotType=eInvSlot_SecondaryWeapon, WeaponType=""gauntlet"")"</f>
        <v>+AllowedWeapons=(SlotType=eInvSlot_SecondaryWeapon, WeaponType="gauntlet")</v>
      </c>
      <c r="B61" s="234" t="s">
        <v>340</v>
      </c>
      <c r="C61" s="234"/>
      <c r="D61" s="234"/>
      <c r="E61" s="248" t="str">
        <f ca="1">IF(INDIRECT("V16")&lt;&gt;"","RandomNickNames[12]="""&amp;INDIRECT("V16")&amp;"""","")</f>
        <v>RandomNickNames[12]="Feedback"</v>
      </c>
      <c r="F61" s="234" t="s">
        <v>340</v>
      </c>
      <c r="G61" s="234"/>
      <c r="H61" s="234"/>
      <c r="I61" s="234"/>
      <c r="J61" s="234"/>
    </row>
    <row r="62" spans="1:10" x14ac:dyDescent="0.25">
      <c r="A62" s="240" t="str">
        <f ca="1">IF(INDIRECT("B10")=FALSE,";","")&amp;"+AllowedWeapons=(SlotType=eInvSlot_SecondaryWeapon, WeaponType=""combatknife"")"</f>
        <v>;+AllowedWeapons=(SlotType=eInvSlot_SecondaryWeapon, WeaponType="combatknife")</v>
      </c>
      <c r="B62" s="234" t="s">
        <v>340</v>
      </c>
      <c r="C62" s="234"/>
      <c r="D62" s="234"/>
      <c r="E62" s="248" t="str">
        <f ca="1">IF(INDIRECT("V17")&lt;&gt;"","RandomNickNames[13]="""&amp;INDIRECT("V17")&amp;"""","")</f>
        <v>RandomNickNames[13]="Firewall"</v>
      </c>
      <c r="F62" s="234" t="s">
        <v>340</v>
      </c>
      <c r="G62" s="234"/>
      <c r="H62" s="234"/>
      <c r="I62" s="234"/>
      <c r="J62" s="234"/>
    </row>
    <row r="63" spans="1:10" x14ac:dyDescent="0.25">
      <c r="A63" s="240" t="str">
        <f ca="1">IF(INDIRECT("B11")=FALSE,";","")&amp;"+AllowedWeapons=(SlotType=eInvSlot_SecondaryWeapon, WeaponType=""grenade_launcher"")"</f>
        <v>;+AllowedWeapons=(SlotType=eInvSlot_SecondaryWeapon, WeaponType="grenade_launcher")</v>
      </c>
      <c r="B63" s="234" t="s">
        <v>340</v>
      </c>
      <c r="C63" s="234"/>
      <c r="D63" s="234"/>
      <c r="E63" s="248" t="str">
        <f ca="1">IF(INDIRECT("V18")&lt;&gt;"","RandomNickNames[14]="""&amp;INDIRECT("V18")&amp;"""","")</f>
        <v>RandomNickNames[14]="Boomtown"</v>
      </c>
      <c r="F63" s="234" t="s">
        <v>340</v>
      </c>
      <c r="G63" s="234"/>
      <c r="H63" s="234"/>
      <c r="I63" s="234"/>
      <c r="J63" s="234"/>
    </row>
    <row r="64" spans="1:10" x14ac:dyDescent="0.25">
      <c r="A64" s="240" t="str">
        <f ca="1">IF(INDIRECT("B12")=FALSE,";","")&amp;"+AllowedWeapons=(SlotType=eInvSlot_SecondaryWeapon, WeaponType=""gremlin"")"</f>
        <v>;+AllowedWeapons=(SlotType=eInvSlot_SecondaryWeapon, WeaponType="gremlin")</v>
      </c>
      <c r="B64" s="234" t="s">
        <v>340</v>
      </c>
      <c r="C64" s="234"/>
      <c r="D64" s="234"/>
      <c r="E64" s="248" t="str">
        <f ca="1">IF(INDIRECT("V19")&lt;&gt;"","RandomNickNames[15]="""&amp;INDIRECT("V19")&amp;"""","")</f>
        <v>RandomNickNames[15]="Flamer"</v>
      </c>
      <c r="F64" s="234" t="s">
        <v>340</v>
      </c>
      <c r="G64" s="234"/>
      <c r="H64" s="234"/>
      <c r="I64" s="234"/>
      <c r="J64" s="234"/>
    </row>
    <row r="65" spans="1:10" x14ac:dyDescent="0.25">
      <c r="A65" s="240" t="str">
        <f ca="1">IF(INDIRECT("B13")=FALSE,";","")&amp;"+AllowedWeapons=(SlotType=eInvSlot_SecondaryWeapon, WeaponType=""sword"")"</f>
        <v>;+AllowedWeapons=(SlotType=eInvSlot_SecondaryWeapon, WeaponType="sword")</v>
      </c>
      <c r="B65" s="234" t="s">
        <v>340</v>
      </c>
      <c r="C65" s="234"/>
      <c r="D65" s="234"/>
      <c r="E65" s="248" t="str">
        <f ca="1">IF(INDIRECT("V20")&lt;&gt;"","RandomNickNames[16]="""&amp;INDIRECT("V20")&amp;"""","")</f>
        <v>RandomNickNames[16]="Jester"</v>
      </c>
      <c r="F65" s="234" t="s">
        <v>340</v>
      </c>
      <c r="G65" s="234"/>
      <c r="H65" s="234"/>
      <c r="I65" s="234"/>
      <c r="J65" s="234"/>
    </row>
    <row r="66" spans="1:10" x14ac:dyDescent="0.25">
      <c r="A66" s="240" t="str">
        <f ca="1">IF(INDIRECT("B14")=FALSE,";","")&amp;"+AllowedWeapons=(SlotType=eInvSlot_SecondaryWeapon, WeaponType=""sawedoffshotgun"")"</f>
        <v>;+AllowedWeapons=(SlotType=eInvSlot_SecondaryWeapon, WeaponType="sawedoffshotgun")</v>
      </c>
      <c r="B66" s="234" t="s">
        <v>340</v>
      </c>
      <c r="C66" s="234"/>
      <c r="D66" s="234"/>
      <c r="E66" s="248" t="str">
        <f ca="1">IF(INDIRECT("V21")&lt;&gt;"","RandomNickNames[17]="""&amp;INDIRECT("V21")&amp;"""","")</f>
        <v>RandomNickNames[17]="Jolt"</v>
      </c>
      <c r="F66" s="234" t="s">
        <v>340</v>
      </c>
      <c r="G66" s="234"/>
      <c r="H66" s="234"/>
      <c r="I66" s="234"/>
      <c r="J66" s="234"/>
    </row>
    <row r="67" spans="1:10" x14ac:dyDescent="0.25">
      <c r="A67" s="240" t="str">
        <f ca="1">IF(INDIRECT("B15")=FALSE,";","")&amp;"+AllowedWeapons=(SlotType=eInvSlot_SecondaryWeapon, WeaponType=""arcthrower"")"</f>
        <v>;+AllowedWeapons=(SlotType=eInvSlot_SecondaryWeapon, WeaponType="arcthrower")</v>
      </c>
      <c r="B67" s="234" t="s">
        <v>340</v>
      </c>
      <c r="C67" s="234"/>
      <c r="D67" s="234"/>
      <c r="E67" s="248" t="str">
        <f ca="1">IF(INDIRECT("V22")&lt;&gt;"","RandomNickNames[18]="""&amp;INDIRECT("V22")&amp;"""","")</f>
        <v>RandomNickNames[18]="Lightning"</v>
      </c>
      <c r="F67" s="234" t="s">
        <v>340</v>
      </c>
      <c r="G67" s="234"/>
      <c r="H67" s="234"/>
      <c r="I67" s="234"/>
      <c r="J67" s="234"/>
    </row>
    <row r="68" spans="1:10" x14ac:dyDescent="0.25">
      <c r="A68" s="240" t="str">
        <f ca="1">IF(INDIRECT("B16")=FALSE,";","")&amp;"+AllowedWeapons=(SlotType=eInvSlot_SecondaryWeapon, WeaponType=""holotargeter"")"</f>
        <v>;+AllowedWeapons=(SlotType=eInvSlot_SecondaryWeapon, WeaponType="holotargeter")</v>
      </c>
      <c r="B68" s="234" t="s">
        <v>340</v>
      </c>
      <c r="C68" s="234"/>
      <c r="D68" s="234"/>
      <c r="E68" s="248" t="str">
        <f ca="1">IF(INDIRECT("V23")&lt;&gt;"","RandomNickNames[19]="""&amp;INDIRECT("V23")&amp;"""","")</f>
        <v>RandomNickNames[19]="Mayday"</v>
      </c>
      <c r="F68" s="234" t="s">
        <v>340</v>
      </c>
      <c r="G68" s="234"/>
      <c r="H68" s="234"/>
      <c r="I68" s="234"/>
      <c r="J68" s="234"/>
    </row>
    <row r="69" spans="1:10" x14ac:dyDescent="0.25">
      <c r="A69" s="240" t="str">
        <f ca="1">IF(INDIRECT("B17")=FALSE,";","")&amp;"+AllowedWeapons=(SlotType=eInvSlot_SecondaryWeapon, WeaponType=""psiamp"")"</f>
        <v>;+AllowedWeapons=(SlotType=eInvSlot_SecondaryWeapon, WeaponType="psiamp")</v>
      </c>
      <c r="B69" s="234" t="s">
        <v>340</v>
      </c>
      <c r="C69" s="234"/>
      <c r="D69" s="234"/>
      <c r="E69" s="248" t="str">
        <f ca="1">IF(INDIRECT("V24")&lt;&gt;"","RandomNickNames[20]="""&amp;INDIRECT("V24")&amp;"""","")</f>
        <v>RandomNickNames[20]="The Truck"</v>
      </c>
      <c r="F69" s="234" t="s">
        <v>340</v>
      </c>
      <c r="G69" s="234"/>
      <c r="H69" s="234"/>
      <c r="I69" s="234"/>
      <c r="J69" s="234"/>
    </row>
    <row r="70" spans="1:10" x14ac:dyDescent="0.25">
      <c r="A70" s="240" t="str">
        <f ca="1">IF(INDIRECT("B9")=FALSE,";","")&amp;"+AllowedWeapons=(SlotType=eInvSlot_HeavyWeapon, WeaponType=""heavyammo"")"</f>
        <v>+AllowedWeapons=(SlotType=eInvSlot_HeavyWeapon, WeaponType="heavyammo")</v>
      </c>
      <c r="B70" s="234" t="s">
        <v>340</v>
      </c>
      <c r="C70" s="234"/>
      <c r="D70" s="234"/>
      <c r="E70" s="248" t="str">
        <f ca="1">IF(INDIRECT("V25")&lt;&gt;"","RandomNickNames[21]="""&amp;INDIRECT("V25")&amp;"""","")</f>
        <v>RandomNickNames[21]="Newton"</v>
      </c>
      <c r="F70" s="234" t="s">
        <v>340</v>
      </c>
      <c r="G70" s="234"/>
      <c r="H70" s="234"/>
      <c r="I70" s="234"/>
      <c r="J70" s="234"/>
    </row>
    <row r="71" spans="1:10" x14ac:dyDescent="0.25">
      <c r="A71" s="240" t="str">
        <f ca="1">IF(INDIRECT("B9")=TRUE,";","")&amp;"+AllowedWeapons=(SlotType=eInvSlot_HeavyWeapon, WeaponType=""heavy"")"</f>
        <v>;+AllowedWeapons=(SlotType=eInvSlot_HeavyWeapon, WeaponType="heavy")</v>
      </c>
      <c r="B71" s="234" t="s">
        <v>340</v>
      </c>
      <c r="C71" s="234"/>
      <c r="D71" s="234"/>
      <c r="E71" s="248" t="str">
        <f ca="1">IF(INDIRECT("V26")&lt;&gt;"","RandomNickNames[22]="""&amp;INDIRECT("V26")&amp;"""","")</f>
        <v>RandomNickNames[22]="Ragtime"</v>
      </c>
      <c r="F71" s="234" t="s">
        <v>340</v>
      </c>
      <c r="G71" s="234"/>
      <c r="H71" s="234"/>
      <c r="I71" s="234"/>
      <c r="J71" s="234"/>
    </row>
    <row r="72" spans="1:10" x14ac:dyDescent="0.25">
      <c r="A72" s="240" t="str">
        <f ca="1">"+AllowedArmors="&amp;INDIRECT("E13")</f>
        <v>+AllowedArmors=soldier</v>
      </c>
      <c r="B72" s="234" t="s">
        <v>340</v>
      </c>
      <c r="C72" s="234"/>
      <c r="D72" s="234"/>
      <c r="E72" s="248" t="str">
        <f ca="1">IF(INDIRECT("V27")&lt;&gt;"","RandomNickNames[23]="""&amp;INDIRECT("V27")&amp;"""","")</f>
        <v>RandomNickNames[23]="Rascal"</v>
      </c>
      <c r="F72" s="234" t="s">
        <v>340</v>
      </c>
      <c r="G72" s="234"/>
      <c r="H72" s="234"/>
      <c r="I72" s="234"/>
      <c r="J72" s="234"/>
    </row>
    <row r="73" spans="1:10" x14ac:dyDescent="0.25">
      <c r="A73" s="240" t="str">
        <f>"; squaddie"</f>
        <v>; squaddie</v>
      </c>
      <c r="B73" s="234" t="s">
        <v>340</v>
      </c>
      <c r="C73" s="234"/>
      <c r="D73" s="234"/>
      <c r="E73" s="248" t="str">
        <f ca="1">IF(INDIRECT("V28")&lt;&gt;"","RandomNickNames[24]="""&amp;INDIRECT("V28")&amp;"""","")</f>
        <v>RandomNickNames[24]="Rattler"</v>
      </c>
      <c r="F73" s="234" t="s">
        <v>340</v>
      </c>
      <c r="G73" s="234"/>
      <c r="H73" s="234"/>
      <c r="I73" s="234"/>
      <c r="J73" s="234"/>
    </row>
    <row r="74" spans="1:10" x14ac:dyDescent="0.25">
      <c r="A74" s="240" t="str">
        <f ca="1">"+SoldierRanks=(  aAbilityTree=( (AbilityName="""&amp;VLOOKUP(INDIRECT("F4"),Abilities,2,FALSE)&amp;""""&amp;IF(VLOOKUP(INDIRECT("F4"),Abilities,3,FALSE)="","",", ApplyToWeaponSlot=eInvSlot_"&amp;VLOOKUP(INDIRECT("F4"),Abilities,3,FALSE))&amp;"), \\"</f>
        <v>+SoldierRanks=(  aAbilityTree=( (AbilityName="HeavyArmaments", ApplyToWeaponSlot=eInvSlot_Unknown), \\</v>
      </c>
      <c r="B74" s="234" t="s">
        <v>340</v>
      </c>
      <c r="C74" s="234"/>
      <c r="D74" s="234"/>
      <c r="E74" s="248" t="str">
        <f ca="1">IF(INDIRECT("V29")&lt;&gt;"","RandomNickNames[25]="""&amp;INDIRECT("V29")&amp;"""","")</f>
        <v>RandomNickNames[25]="Revelation"</v>
      </c>
      <c r="F74" s="234" t="s">
        <v>340</v>
      </c>
      <c r="G74" s="234"/>
      <c r="H74" s="234"/>
      <c r="I74" s="234"/>
      <c r="J74" s="234"/>
    </row>
    <row r="75" spans="1:10" x14ac:dyDescent="0.25">
      <c r="A75" s="240" t="str">
        <f ca="1">IF(INDIRECT("I4")="","\\","(AbilityName="""&amp;VLOOKUP(INDIRECT("I4"),Abilities,2,FALSE)&amp;""""&amp;IF(VLOOKUP(INDIRECT("I4"),Abilities,3,FALSE)="","",", ApplyToWeaponSlot=eInvSlot_"&amp;VLOOKUP(INDIRECT("I4"),Abilities,3,FALSE))&amp;"), \\")</f>
        <v>\\</v>
      </c>
      <c r="B75" s="234" t="s">
        <v>340</v>
      </c>
      <c r="C75" s="234"/>
      <c r="D75" s="234"/>
      <c r="E75" s="248" t="str">
        <f ca="1">IF(INDIRECT("V30")&lt;&gt;"","RandomNickNames[26]="""&amp;INDIRECT("V30")&amp;"""","")</f>
        <v>RandomNickNames[26]="Spark"</v>
      </c>
      <c r="F75" s="234" t="s">
        <v>340</v>
      </c>
      <c r="G75" s="234"/>
      <c r="H75" s="234"/>
      <c r="I75" s="234"/>
      <c r="J75" s="234"/>
    </row>
    <row r="76" spans="1:10" x14ac:dyDescent="0.25">
      <c r="A76" s="240" t="str">
        <f ca="1">IF(INDIRECT("L4")="","\\","(AbilityName="""&amp;VLOOKUP(INDIRECT("L4"),Abilities,2,FALSE)&amp;""""&amp;IF(VLOOKUP(INDIRECT("L4"),Abilities,3,FALSE)="","",", ApplyToWeaponSlot=eInvSlot_"&amp;VLOOKUP(INDIRECT("L4"),Abilities,3,FALSE))&amp;"), \\")</f>
        <v>\\</v>
      </c>
      <c r="B76" s="234" t="s">
        <v>340</v>
      </c>
      <c r="C76" s="234"/>
      <c r="D76" s="234"/>
      <c r="E76" s="248" t="str">
        <f ca="1">IF(INDIRECT("V31")&lt;&gt;"","RandomNickNames[27]="""&amp;INDIRECT("V31")&amp;"""","")</f>
        <v>RandomNickNames[27]="Thunder"</v>
      </c>
      <c r="F76" s="234" t="s">
        <v>340</v>
      </c>
      <c r="G76" s="234"/>
      <c r="H76" s="234"/>
      <c r="I76" s="234"/>
      <c r="J76" s="234"/>
    </row>
    <row r="77" spans="1:10" x14ac:dyDescent="0.25">
      <c r="A77" s="240" t="str">
        <f ca="1">IF(INDIRECT("F7")="","\\","(AbilityName="""&amp;VLOOKUP(INDIRECT("F7"),Abilities,2,FALSE)&amp;""""&amp;IF(VLOOKUP(INDIRECT("F7"),Abilities,3,FALSE)="","",", ApplyToWeaponSlot=eInvSlot_"&amp;VLOOKUP(INDIRECT("F7"),Abilities,3,FALSE))&amp;"), \\")</f>
        <v>\\</v>
      </c>
      <c r="B77" s="234" t="s">
        <v>340</v>
      </c>
      <c r="C77" s="234"/>
      <c r="D77" s="234"/>
      <c r="E77" s="248" t="str">
        <f ca="1">IF(INDIRECT("V32")&lt;&gt;"","RandomNickNames[28]="""&amp;INDIRECT("V32")&amp;"""","")</f>
        <v>RandomNickNames[28]="Undertaker"</v>
      </c>
      <c r="F77" s="234" t="s">
        <v>340</v>
      </c>
      <c r="G77" s="234"/>
      <c r="H77" s="234"/>
      <c r="I77" s="234"/>
      <c r="J77" s="234"/>
    </row>
    <row r="78" spans="1:10" x14ac:dyDescent="0.25">
      <c r="A78" s="240" t="str">
        <f ca="1">IF(INDIRECT("I7")="","\\","(AbilityName="""&amp;VLOOKUP(INDIRECT("I7"),Abilities,2,FALSE)&amp;""""&amp;IF(VLOOKUP(INDIRECT("I7"),Abilities,3,FALSE)="","",", ApplyToWeaponSlot=eInvSlot_"&amp;VLOOKUP(INDIRECT("I7"),Abilities,3,FALSE))&amp;"), \\")</f>
        <v>\\</v>
      </c>
      <c r="B78" s="234" t="s">
        <v>340</v>
      </c>
      <c r="C78" s="234"/>
      <c r="D78" s="234"/>
      <c r="E78" s="248" t="str">
        <f ca="1">IF(INDIRECT("V33")&lt;&gt;"","RandomNickNames[29]="""&amp;INDIRECT("V33")&amp;"""","")</f>
        <v>RandomNickNames[29]="War"</v>
      </c>
      <c r="F78" s="234" t="s">
        <v>340</v>
      </c>
      <c r="G78" s="234"/>
      <c r="H78" s="234"/>
      <c r="I78" s="234"/>
      <c r="J78" s="234"/>
    </row>
    <row r="79" spans="1:10" x14ac:dyDescent="0.25">
      <c r="A79" s="240" t="str">
        <f ca="1">IF(INDIRECT("L7")="","\\","(AbilityName="""&amp;VLOOKUP(INDIRECT("L7"),Abilities,2,FALSE)&amp;""""&amp;IF(VLOOKUP(INDIRECT("L7"),Abilities,3,FALSE)="","",", ApplyToWeaponSlot=eInvSlot_"&amp;VLOOKUP(INDIRECT("L7"),Abilities,3,FALSE))&amp;"), \\")</f>
        <v>\\</v>
      </c>
      <c r="B79" s="234" t="s">
        <v>340</v>
      </c>
      <c r="C79" s="234"/>
      <c r="D79" s="234"/>
      <c r="E79" s="248" t="str">
        <f ca="1">IF(INDIRECT("V34")&lt;&gt;"","RandomNickNames[30]="""&amp;INDIRECT("V34")&amp;"""","")</f>
        <v>RandomNickNames[30]="Torch"</v>
      </c>
      <c r="F79" s="234" t="s">
        <v>340</v>
      </c>
      <c r="G79" s="234"/>
      <c r="H79" s="234"/>
      <c r="I79" s="234"/>
      <c r="J79" s="234"/>
    </row>
    <row r="80" spans="1:10" x14ac:dyDescent="0.25">
      <c r="A80" s="240" t="s">
        <v>337</v>
      </c>
      <c r="B80" s="234" t="s">
        <v>340</v>
      </c>
      <c r="C80" s="234"/>
      <c r="D80" s="234"/>
      <c r="E80" s="248" t="str">
        <f ca="1">IF(INDIRECT("V35")&lt;&gt;"","RandomNickNames[31]="""&amp;INDIRECT("V35")&amp;"""","")</f>
        <v>RandomNickNames[31]="Zulu"</v>
      </c>
      <c r="F80" s="234" t="s">
        <v>340</v>
      </c>
      <c r="G80" s="234"/>
      <c r="H80" s="234"/>
      <c r="I80" s="234"/>
      <c r="J80" s="234"/>
    </row>
    <row r="81" spans="1:10" x14ac:dyDescent="0.25">
      <c r="A81" s="240"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(StatType=eStat_Will,StatAmount=4)),\\</v>
      </c>
      <c r="B81" s="234" t="s">
        <v>340</v>
      </c>
      <c r="C81" s="234"/>
      <c r="D81" s="234"/>
      <c r="E81" s="248" t="str">
        <f>"; Male Nicknames"</f>
        <v>; Male Nicknames</v>
      </c>
      <c r="F81" s="234" t="s">
        <v>340</v>
      </c>
      <c r="G81" s="234"/>
      <c r="H81" s="234"/>
      <c r="I81" s="234"/>
      <c r="J81" s="234"/>
    </row>
    <row r="82" spans="1:10" x14ac:dyDescent="0.25">
      <c r="A82" s="240" t="s">
        <v>338</v>
      </c>
      <c r="B82" s="234" t="s">
        <v>340</v>
      </c>
      <c r="C82" s="234"/>
      <c r="D82" s="234"/>
      <c r="E82" s="248" t="str">
        <f ca="1">IF(INDIRECT("X4")&lt;&gt;"","RandomNickNames_Male[0]="""&amp;INDIRECT("X4")&amp;"""","")</f>
        <v>RandomNickNames_Male[0]="Waterboy"</v>
      </c>
      <c r="F82" s="234" t="s">
        <v>340</v>
      </c>
      <c r="G82" s="234"/>
      <c r="H82" s="234"/>
      <c r="I82" s="234"/>
      <c r="J82" s="234"/>
    </row>
    <row r="83" spans="1:10" x14ac:dyDescent="0.25">
      <c r="A83" s="240" t="str">
        <f>"; lance corporal"</f>
        <v>; lance corporal</v>
      </c>
      <c r="B83" s="234" t="s">
        <v>340</v>
      </c>
      <c r="C83" s="234"/>
      <c r="D83" s="234"/>
      <c r="E83" s="248" t="str">
        <f ca="1">IF(INDIRECT("X5")&lt;&gt;"","RandomNickNames_Male[1]="""&amp;INDIRECT("X5")&amp;"""","")</f>
        <v>RandomNickNames_Male[1]="Magic Man"</v>
      </c>
      <c r="F83" s="234" t="s">
        <v>340</v>
      </c>
      <c r="G83" s="234"/>
      <c r="H83" s="234"/>
      <c r="I83" s="234"/>
      <c r="J83" s="234"/>
    </row>
    <row r="84" spans="1:10" x14ac:dyDescent="0.25">
      <c r="A84" s="240" t="str">
        <f ca="1">"+SoldierRanks=(  aAbilityTree=( (AbilityName="""&amp;VLOOKUP(INDIRECT("F13"),Abilities,2,FALSE)&amp;""""&amp;IF(VLOOKUP(INDIRECT("F13"),Abilities,3,FALSE)="","",", ApplyToWeaponSlot=eInvSlot_"&amp;VLOOKUP(INDIRECT("F13"),Abilities,3,FALSE))&amp;"), \\"</f>
        <v>+SoldierRanks=(  aAbilityTree=( (AbilityName="ShadowOps_Pyromaniac"), \\</v>
      </c>
      <c r="B84" s="234" t="s">
        <v>340</v>
      </c>
      <c r="C84" s="234"/>
      <c r="D84" s="234"/>
      <c r="E84" s="248" t="str">
        <f ca="1">IF(INDIRECT("X6")&lt;&gt;"","RandomNickNames_Male[2]="""&amp;INDIRECT("X6")&amp;"""","")</f>
        <v>RandomNickNames_Male[2]="Priest"</v>
      </c>
      <c r="F84" s="234" t="s">
        <v>340</v>
      </c>
      <c r="G84" s="234"/>
      <c r="H84" s="234"/>
      <c r="I84" s="234"/>
      <c r="J84" s="234"/>
    </row>
    <row r="85" spans="1:10" x14ac:dyDescent="0.25">
      <c r="A85" s="240" t="str">
        <f ca="1">IF(INDIRECT("I13")="","\\","(AbilityName="""&amp;VLOOKUP(INDIRECT("I13"),Abilities,2,FALSE)&amp;""""&amp;IF(VLOOKUP(INDIRECT("I13"),Abilities,3,FALSE)="","",", ApplyToWeaponSlot=eInvSlot_"&amp;VLOOKUP(INDIRECT("I13"),Abilities,3,FALSE))&amp;"), \\")</f>
        <v>(AbilityName=" "), \\</v>
      </c>
      <c r="B85" s="234" t="s">
        <v>340</v>
      </c>
      <c r="C85" s="234"/>
      <c r="D85" s="234"/>
      <c r="E85" s="248" t="str">
        <f ca="1">IF(INDIRECT("X7")&lt;&gt;"","RandomNickNames_Male[3]="""&amp;INDIRECT("X7")&amp;"""","")</f>
        <v>RandomNickNames_Male[3]="Rainman"</v>
      </c>
      <c r="F85" s="234" t="s">
        <v>340</v>
      </c>
      <c r="G85" s="234"/>
      <c r="H85" s="234"/>
      <c r="I85" s="234"/>
      <c r="J85" s="234"/>
    </row>
    <row r="86" spans="1:10" x14ac:dyDescent="0.25">
      <c r="A86" s="240" t="str">
        <f ca="1">IF(INDIRECT("L13")="","\\","(AbilityName="""&amp;VLOOKUP(INDIRECT("L13"),Abilities,2,FALSE)&amp;""""&amp;IF(VLOOKUP(INDIRECT("L13"),Abilities,3,FALSE)="","",", ApplyToWeaponSlot=eInvSlot_"&amp;VLOOKUP(INDIRECT("L13"),Abilities,3,FALSE))&amp;"), \\")</f>
        <v>(AbilityName="Roust", ApplyToWeaponSlot=eInvSlot_SecondaryWeapon), \\</v>
      </c>
      <c r="B86" s="234" t="s">
        <v>340</v>
      </c>
      <c r="C86" s="234"/>
      <c r="D86" s="234"/>
      <c r="E86" s="248" t="str">
        <f ca="1">IF(INDIRECT("X8")&lt;&gt;"","RandomNickNames_Male[4]="""&amp;INDIRECT("X8")&amp;"""","")</f>
        <v>RandomNickNames_Male[4]="Rooster"</v>
      </c>
      <c r="F86" s="234" t="s">
        <v>340</v>
      </c>
      <c r="G86" s="234"/>
      <c r="H86" s="234"/>
      <c r="I86" s="234"/>
      <c r="J86" s="234"/>
    </row>
    <row r="87" spans="1:10" x14ac:dyDescent="0.25">
      <c r="A87" s="240" t="s">
        <v>337</v>
      </c>
      <c r="B87" s="234" t="s">
        <v>340</v>
      </c>
      <c r="C87" s="234"/>
      <c r="D87" s="234"/>
      <c r="E87" s="248" t="str">
        <f>"; Female Nicknames"</f>
        <v>; Female Nicknames</v>
      </c>
      <c r="F87" s="234" t="s">
        <v>340</v>
      </c>
      <c r="G87" s="234"/>
      <c r="H87" s="234"/>
      <c r="I87" s="234"/>
      <c r="J87" s="234"/>
    </row>
    <row r="88" spans="1:10" x14ac:dyDescent="0.25">
      <c r="A88" s="240"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(StatType=eStat_Will,StatAmount=4)),\\</v>
      </c>
      <c r="B88" s="234" t="s">
        <v>340</v>
      </c>
      <c r="C88" s="234"/>
      <c r="D88" s="234"/>
      <c r="E88" s="248" t="str">
        <f ca="1">IF(INDIRECT("X10")&lt;&gt;"","RandomNickNames_Female[0]="""&amp;INDIRECT("X10")&amp;"""","")</f>
        <v>RandomNickNames_Female[0]="Priestess"</v>
      </c>
      <c r="F88" s="234" t="s">
        <v>340</v>
      </c>
      <c r="G88" s="234"/>
      <c r="H88" s="234"/>
      <c r="I88" s="234"/>
      <c r="J88" s="234"/>
    </row>
    <row r="89" spans="1:10" x14ac:dyDescent="0.25">
      <c r="A89" s="240" t="s">
        <v>338</v>
      </c>
      <c r="B89" s="234" t="s">
        <v>340</v>
      </c>
      <c r="C89" s="234"/>
      <c r="D89" s="234"/>
      <c r="E89" s="248" t="str">
        <f ca="1">IF(INDIRECT("X11")&lt;&gt;"","RandomNickNames_Female[1]="""&amp;INDIRECT("X11")&amp;"""","")</f>
        <v>RandomNickNames_Female[1]="Wolfmother"</v>
      </c>
      <c r="F89" s="234" t="s">
        <v>340</v>
      </c>
      <c r="G89" s="234"/>
      <c r="H89" s="234"/>
      <c r="I89" s="234"/>
      <c r="J89" s="234"/>
    </row>
    <row r="90" spans="1:10" x14ac:dyDescent="0.25">
      <c r="A90" s="240" t="str">
        <f>"; corporal"</f>
        <v>; corporal</v>
      </c>
      <c r="B90" s="234" t="s">
        <v>340</v>
      </c>
      <c r="C90" s="234"/>
      <c r="D90" s="234"/>
      <c r="E90" s="248" t="str">
        <f ca="1">IF(INDIRECT("X12")&lt;&gt;"","RandomNickNames_Female[2]="""&amp;INDIRECT("X12")&amp;"""","")</f>
        <v>RandomNickNames_Female[2]="Black Widow"</v>
      </c>
      <c r="F90" s="234" t="s">
        <v>340</v>
      </c>
      <c r="G90" s="234"/>
      <c r="H90" s="234"/>
      <c r="I90" s="234"/>
      <c r="J90" s="234"/>
    </row>
    <row r="91" spans="1:10" x14ac:dyDescent="0.25">
      <c r="A91" s="240" t="str">
        <f ca="1">"+SoldierRanks=(  aAbilityTree=( (AbilityName="""&amp;VLOOKUP(INDIRECT("F17"),Abilities,2,FALSE)&amp;""""&amp;IF(VLOOKUP(INDIRECT("F17"),Abilities,3,FALSE)="","",", ApplyToWeaponSlot=eInvSlot_"&amp;VLOOKUP(INDIRECT("F17"),Abilities,3,FALSE))&amp;"), \\"</f>
        <v>+SoldierRanks=(  aAbilityTree=( (AbilityName=" "), \\</v>
      </c>
      <c r="B91" s="234" t="s">
        <v>340</v>
      </c>
      <c r="C91" s="234"/>
      <c r="D91" s="234"/>
      <c r="E91" s="248" t="str">
        <f ca="1">IF(INDIRECT("X13")&lt;&gt;"","RandomNickNames_Female[3]="""&amp;INDIRECT("X13")&amp;"""","")</f>
        <v>RandomNickNames_Female[3]="Duchess"</v>
      </c>
      <c r="F91" s="234" t="s">
        <v>340</v>
      </c>
      <c r="G91" s="234"/>
      <c r="H91" s="234"/>
      <c r="I91" s="234"/>
      <c r="J91" s="234"/>
    </row>
    <row r="92" spans="1:10" ht="15.75" thickBot="1" x14ac:dyDescent="0.3">
      <c r="A92" s="240" t="str">
        <f ca="1">IF(INDIRECT("I17")="","\\","(AbilityName="""&amp;VLOOKUP(INDIRECT("I17"),Abilities,2,FALSE)&amp;""""&amp;IF(VLOOKUP(INDIRECT("I17"),Abilities,3,FALSE)="","",", ApplyToWeaponSlot=eInvSlot_"&amp;VLOOKUP(INDIRECT("I17"),Abilities,3,FALSE))&amp;"), \\")</f>
        <v>(AbilityName="NapalmX", ApplyToWeaponSlot=eInvSlot_SecondaryWeapon), \\</v>
      </c>
      <c r="B92" s="234" t="s">
        <v>340</v>
      </c>
      <c r="C92" s="234"/>
      <c r="D92" s="234"/>
      <c r="E92" s="249" t="str">
        <f ca="1">IF(INDIRECT("X14")&lt;&gt;"","RandomNickNames_Female[4]="""&amp;INDIRECT("X14")&amp;"""","")</f>
        <v>RandomNickNames_Female[4]="Queen"</v>
      </c>
      <c r="F92" s="234" t="s">
        <v>340</v>
      </c>
      <c r="G92" s="234"/>
      <c r="H92" s="234"/>
      <c r="I92" s="234"/>
      <c r="J92" s="234"/>
    </row>
    <row r="93" spans="1:10" x14ac:dyDescent="0.25">
      <c r="A93" s="240" t="str">
        <f ca="1">IF(INDIRECT("L17")="","\\","(AbilityName="""&amp;VLOOKUP(INDIRECT("L17"),Abilities,2,FALSE)&amp;""""&amp;IF(VLOOKUP(INDIRECT("L17"),Abilities,3,FALSE)="","",", ApplyToWeaponSlot=eInvSlot_"&amp;VLOOKUP(INDIRECT("L17"),Abilities,3,FALSE))&amp;"), \\")</f>
        <v>(AbilityName=" "), \\</v>
      </c>
      <c r="B93" s="234" t="s">
        <v>340</v>
      </c>
      <c r="C93" s="234"/>
      <c r="D93" s="234"/>
      <c r="E93" s="234"/>
      <c r="F93" s="234"/>
      <c r="G93" s="234"/>
      <c r="H93" s="234"/>
      <c r="I93" s="234"/>
      <c r="J93" s="234"/>
    </row>
    <row r="94" spans="1:10" x14ac:dyDescent="0.25">
      <c r="A94" s="240" t="s">
        <v>337</v>
      </c>
      <c r="B94" s="234" t="s">
        <v>340</v>
      </c>
      <c r="C94" s="234"/>
      <c r="D94" s="234"/>
      <c r="E94" s="234"/>
      <c r="F94" s="234"/>
      <c r="G94" s="234"/>
      <c r="H94" s="234"/>
      <c r="I94" s="234"/>
      <c r="J94" s="234"/>
    </row>
    <row r="95" spans="1:10" x14ac:dyDescent="0.25">
      <c r="A95" s="240"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234" t="s">
        <v>340</v>
      </c>
      <c r="C95" s="234"/>
      <c r="D95" s="234"/>
      <c r="E95" s="234"/>
      <c r="F95" s="234"/>
      <c r="G95" s="234"/>
      <c r="H95" s="234"/>
      <c r="I95" s="234"/>
      <c r="J95" s="234"/>
    </row>
    <row r="96" spans="1:10" x14ac:dyDescent="0.25">
      <c r="A96" s="240" t="s">
        <v>338</v>
      </c>
      <c r="B96" s="234" t="s">
        <v>340</v>
      </c>
      <c r="C96" s="234"/>
      <c r="D96" s="234"/>
      <c r="E96" s="234"/>
      <c r="F96" s="234"/>
      <c r="G96" s="234"/>
      <c r="H96" s="234"/>
      <c r="I96" s="234"/>
      <c r="J96" s="234"/>
    </row>
    <row r="97" spans="1:10" x14ac:dyDescent="0.25">
      <c r="A97" s="240" t="str">
        <f>"; sergeant"</f>
        <v>; sergeant</v>
      </c>
      <c r="B97" s="234" t="s">
        <v>340</v>
      </c>
      <c r="C97" s="234"/>
      <c r="D97" s="234"/>
      <c r="E97" s="234"/>
      <c r="F97" s="234"/>
      <c r="G97" s="234"/>
      <c r="H97" s="234"/>
      <c r="I97" s="234"/>
      <c r="J97" s="234"/>
    </row>
    <row r="98" spans="1:10" x14ac:dyDescent="0.25">
      <c r="A98" s="240" t="str">
        <f ca="1">"+SoldierRanks=(  aAbilityTree=( (AbilityName="""&amp;VLOOKUP(INDIRECT("F21"),Abilities,2,FALSE)&amp;""""&amp;IF(VLOOKUP(INDIRECT("F21"),Abilities,3,FALSE)="","",", ApplyToWeaponSlot=eInvSlot_"&amp;VLOOKUP(INDIRECT("F21"),Abilities,3,FALSE))&amp;"), \\"</f>
        <v>+SoldierRanks=(  aAbilityTree=( (AbilityName="ShadowOps_DemoGrenades"), \\</v>
      </c>
      <c r="B98" s="234" t="s">
        <v>340</v>
      </c>
      <c r="C98" s="234"/>
      <c r="D98" s="234"/>
      <c r="E98" s="234"/>
      <c r="F98" s="234"/>
      <c r="G98" s="234"/>
      <c r="H98" s="234"/>
      <c r="I98" s="234"/>
      <c r="J98" s="234"/>
    </row>
    <row r="99" spans="1:10" x14ac:dyDescent="0.25">
      <c r="A99" s="240" t="str">
        <f ca="1">IF(INDIRECT("I21")="","\\","(AbilityName="""&amp;VLOOKUP(INDIRECT("I21"),Abilities,2,FALSE)&amp;""""&amp;IF(VLOOKUP(INDIRECT("I21"),Abilities,3,FALSE)="","",", ApplyToWeaponSlot=eInvSlot_"&amp;VLOOKUP(INDIRECT("I21"),Abilities,3,FALSE))&amp;"), \\")</f>
        <v>(AbilityName=" "), \\</v>
      </c>
      <c r="B99" s="234" t="s">
        <v>340</v>
      </c>
      <c r="C99" s="234"/>
      <c r="D99" s="234"/>
      <c r="E99" s="234"/>
      <c r="F99" s="234"/>
      <c r="G99" s="234"/>
      <c r="H99" s="234"/>
      <c r="I99" s="234"/>
      <c r="J99" s="234"/>
    </row>
    <row r="100" spans="1:10" x14ac:dyDescent="0.25">
      <c r="A100" s="240" t="str">
        <f ca="1">IF(INDIRECT("L21")="","\\","(AbilityName="""&amp;VLOOKUP(INDIRECT("L21"),Abilities,2,FALSE)&amp;""""&amp;IF(VLOOKUP(INDIRECT("L21"),Abilities,3,FALSE)="","",", ApplyToWeaponSlot=eInvSlot_"&amp;VLOOKUP(INDIRECT("L21"),Abilities,3,FALSE))&amp;"), \\")</f>
        <v>(AbilityName="Burnout", ApplyToWeaponSlot=eInvSlot_SecondaryWeapon), \\</v>
      </c>
      <c r="B100" s="234" t="s">
        <v>340</v>
      </c>
      <c r="C100" s="234"/>
      <c r="D100" s="234"/>
      <c r="E100" s="234"/>
      <c r="F100" s="234"/>
      <c r="G100" s="234"/>
      <c r="H100" s="234"/>
      <c r="I100" s="234"/>
      <c r="J100" s="234"/>
    </row>
    <row r="101" spans="1:10" x14ac:dyDescent="0.25">
      <c r="A101" s="240" t="s">
        <v>337</v>
      </c>
      <c r="B101" s="234" t="s">
        <v>340</v>
      </c>
      <c r="C101" s="234"/>
      <c r="D101" s="234"/>
      <c r="E101" s="234"/>
      <c r="F101" s="234"/>
      <c r="G101" s="234"/>
      <c r="H101" s="234"/>
      <c r="I101" s="234"/>
      <c r="J101" s="234"/>
    </row>
    <row r="102" spans="1:10" x14ac:dyDescent="0.25">
      <c r="A102" s="240"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234" t="s">
        <v>340</v>
      </c>
      <c r="C102" s="234"/>
      <c r="D102" s="234"/>
      <c r="E102" s="234"/>
      <c r="F102" s="234"/>
      <c r="G102" s="234"/>
      <c r="H102" s="234"/>
      <c r="I102" s="234"/>
      <c r="J102" s="234"/>
    </row>
    <row r="103" spans="1:10" x14ac:dyDescent="0.25">
      <c r="A103" s="240" t="s">
        <v>338</v>
      </c>
      <c r="B103" s="234" t="s">
        <v>340</v>
      </c>
      <c r="C103" s="234"/>
      <c r="D103" s="234"/>
      <c r="E103" s="234"/>
      <c r="F103" s="234"/>
      <c r="G103" s="234"/>
      <c r="H103" s="234"/>
      <c r="I103" s="234"/>
      <c r="J103" s="234"/>
    </row>
    <row r="104" spans="1:10" x14ac:dyDescent="0.25">
      <c r="A104" s="240" t="str">
        <f>"; staff sergeant"</f>
        <v>; staff sergeant</v>
      </c>
      <c r="B104" s="234" t="s">
        <v>340</v>
      </c>
      <c r="C104" s="234"/>
      <c r="D104" s="234"/>
      <c r="E104" s="234"/>
      <c r="F104" s="234"/>
      <c r="G104" s="234"/>
      <c r="H104" s="234"/>
      <c r="I104" s="234"/>
      <c r="J104" s="234"/>
    </row>
    <row r="105" spans="1:10" x14ac:dyDescent="0.25">
      <c r="A105" s="240" t="str">
        <f ca="1">"+SoldierRanks=(  aAbilityTree=( (AbilityName="""&amp;VLOOKUP(INDIRECT("F25"),Abilities,2,FALSE)&amp;""""&amp;IF(VLOOKUP(INDIRECT("F25"),Abilities,3,FALSE)="","",", ApplyToWeaponSlot=eInvSlot_"&amp;VLOOKUP(INDIRECT("F25"),Abilities,3,FALSE))&amp;"), \\"</f>
        <v>+SoldierRanks=(  aAbilityTree=( (AbilityName="ShadowOps_SmokeAndMirrors_LW2", ApplyToWeaponSlot=eInvSlot_SecondaryWeapon), \\</v>
      </c>
      <c r="B105" s="234" t="s">
        <v>340</v>
      </c>
      <c r="C105" s="234"/>
      <c r="D105" s="234"/>
      <c r="E105" s="234"/>
      <c r="F105" s="234"/>
      <c r="G105" s="234"/>
      <c r="H105" s="234"/>
      <c r="I105" s="234"/>
      <c r="J105" s="234"/>
    </row>
    <row r="106" spans="1:10" x14ac:dyDescent="0.25">
      <c r="A106" s="240" t="str">
        <f ca="1">IF(INDIRECT("I25")="","\\","(AbilityName="""&amp;VLOOKUP(INDIRECT("I25"),Abilities,2,FALSE)&amp;""""&amp;IF(VLOOKUP(INDIRECT("I25"),Abilities,3,FALSE)="","",", ApplyToWeaponSlot=eInvSlot_"&amp;VLOOKUP(INDIRECT("I25"),Abilities,3,FALSE))&amp;"), \\")</f>
        <v>(AbilityName=" "), \\</v>
      </c>
      <c r="B106" s="234" t="s">
        <v>340</v>
      </c>
      <c r="C106" s="234"/>
      <c r="D106" s="234"/>
      <c r="E106" s="234"/>
      <c r="F106" s="234"/>
      <c r="G106" s="234"/>
      <c r="H106" s="234"/>
      <c r="I106" s="234"/>
      <c r="J106" s="234"/>
    </row>
    <row r="107" spans="1:10" x14ac:dyDescent="0.25">
      <c r="A107" s="240" t="str">
        <f ca="1">IF(INDIRECT("L25")="","\\","(AbilityName="""&amp;VLOOKUP(INDIRECT("L25"),Abilities,2,FALSE)&amp;""""&amp;IF(VLOOKUP(INDIRECT("L25"),Abilities,3,FALSE)="","",", ApplyToWeaponSlot=eInvSlot_"&amp;VLOOKUP(INDIRECT("L25"),Abilities,3,FALSE))&amp;"), \\")</f>
        <v>(AbilityName="PhosphorusPassive", ApplyToWeaponSlot=eInvSlot_SecondaryWeapon), \\</v>
      </c>
      <c r="B107" s="234" t="s">
        <v>340</v>
      </c>
      <c r="C107" s="234"/>
      <c r="D107" s="234"/>
      <c r="E107" s="234"/>
      <c r="F107" s="234"/>
      <c r="G107" s="234"/>
      <c r="H107" s="234"/>
      <c r="I107" s="234"/>
      <c r="J107" s="234"/>
    </row>
    <row r="108" spans="1:10" x14ac:dyDescent="0.25">
      <c r="A108" s="240" t="s">
        <v>337</v>
      </c>
      <c r="B108" s="234" t="s">
        <v>340</v>
      </c>
      <c r="C108" s="234"/>
      <c r="D108" s="234"/>
      <c r="E108" s="234"/>
      <c r="F108" s="234"/>
      <c r="G108" s="234"/>
      <c r="H108" s="234"/>
      <c r="I108" s="234"/>
      <c r="J108" s="234"/>
    </row>
    <row r="109" spans="1:10" x14ac:dyDescent="0.25">
      <c r="A109" s="240"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234" t="s">
        <v>340</v>
      </c>
      <c r="C109" s="234"/>
      <c r="D109" s="234"/>
      <c r="E109" s="234"/>
      <c r="F109" s="234"/>
      <c r="G109" s="234"/>
      <c r="H109" s="234"/>
      <c r="I109" s="234"/>
      <c r="J109" s="234"/>
    </row>
    <row r="110" spans="1:10" x14ac:dyDescent="0.25">
      <c r="A110" s="240" t="s">
        <v>338</v>
      </c>
      <c r="B110" s="234" t="s">
        <v>340</v>
      </c>
      <c r="C110" s="234"/>
      <c r="D110" s="234"/>
      <c r="E110" s="234"/>
      <c r="F110" s="234"/>
      <c r="G110" s="234"/>
      <c r="H110" s="234"/>
      <c r="I110" s="234"/>
      <c r="J110" s="234"/>
    </row>
    <row r="111" spans="1:10" x14ac:dyDescent="0.25">
      <c r="A111" s="240" t="str">
        <f>"; tech sergeant"</f>
        <v>; tech sergeant</v>
      </c>
      <c r="B111" s="234" t="s">
        <v>340</v>
      </c>
      <c r="C111" s="234"/>
      <c r="D111" s="234"/>
      <c r="E111" s="234"/>
      <c r="F111" s="234"/>
      <c r="G111" s="234"/>
      <c r="H111" s="234"/>
      <c r="I111" s="234"/>
      <c r="J111" s="234"/>
    </row>
    <row r="112" spans="1:10" x14ac:dyDescent="0.25">
      <c r="A112" s="240" t="str">
        <f ca="1">"+SoldierRanks=(  aAbilityTree=( (AbilityName="""&amp;VLOOKUP(INDIRECT("F29"),Abilities,2,FALSE)&amp;""""&amp;IF(VLOOKUP(INDIRECT("F29"),Abilities,3,FALSE)="","",", ApplyToWeaponSlot=eInvSlot_"&amp;VLOOKUP(INDIRECT("F29"),Abilities,3,FALSE))&amp;"), \\"</f>
        <v>+SoldierRanks=(  aAbilityTree=( (AbilityName="ShadowOps_Evasive"), \\</v>
      </c>
      <c r="B112" s="234" t="s">
        <v>340</v>
      </c>
      <c r="C112" s="234"/>
      <c r="D112" s="234"/>
      <c r="E112" s="234"/>
      <c r="F112" s="234"/>
      <c r="G112" s="234"/>
      <c r="H112" s="234"/>
      <c r="I112" s="234"/>
      <c r="J112" s="234"/>
    </row>
    <row r="113" spans="1:10" x14ac:dyDescent="0.25">
      <c r="A113" s="240" t="str">
        <f ca="1">IF(INDIRECT("I29")="","\\","(AbilityName="""&amp;VLOOKUP(INDIRECT("I29"),Abilities,2,FALSE)&amp;""""&amp;IF(VLOOKUP(INDIRECT("I29"),Abilities,3,FALSE)="","",", ApplyToWeaponSlot=eInvSlot_"&amp;VLOOKUP(INDIRECT("I29"),Abilities,3,FALSE))&amp;"), \\")</f>
        <v>(AbilityName=" "), \\</v>
      </c>
      <c r="B113" s="234" t="s">
        <v>340</v>
      </c>
      <c r="C113" s="234"/>
      <c r="D113" s="234"/>
      <c r="E113" s="234"/>
      <c r="F113" s="234"/>
      <c r="G113" s="234"/>
      <c r="H113" s="234"/>
      <c r="I113" s="234"/>
      <c r="J113" s="234"/>
    </row>
    <row r="114" spans="1:10" x14ac:dyDescent="0.25">
      <c r="A114" s="240" t="str">
        <f ca="1">IF(INDIRECT("L29")="","\\","(AbilityName="""&amp;VLOOKUP(INDIRECT("L29"),Abilities,2,FALSE)&amp;""""&amp;IF(VLOOKUP(INDIRECT("L29"),Abilities,3,FALSE)="","",", ApplyToWeaponSlot=eInvSlot_"&amp;VLOOKUP(INDIRECT("L29"),Abilities,3,FALSE))&amp;"), \\")</f>
        <v>(AbilityName="FireandSteel", ApplyToWeaponSlot=eInvSlot_SecondaryWeapon), \\</v>
      </c>
      <c r="B114" s="234" t="s">
        <v>340</v>
      </c>
      <c r="C114" s="234"/>
      <c r="D114" s="234"/>
      <c r="E114" s="234"/>
      <c r="F114" s="234"/>
      <c r="G114" s="234"/>
      <c r="H114" s="234"/>
      <c r="I114" s="234"/>
      <c r="J114" s="234"/>
    </row>
    <row r="115" spans="1:10" x14ac:dyDescent="0.25">
      <c r="A115" s="240" t="s">
        <v>337</v>
      </c>
      <c r="B115" s="234" t="s">
        <v>340</v>
      </c>
      <c r="C115" s="234"/>
      <c r="D115" s="234"/>
      <c r="E115" s="234"/>
      <c r="F115" s="234"/>
      <c r="G115" s="234"/>
      <c r="H115" s="234"/>
      <c r="I115" s="234"/>
      <c r="J115" s="234"/>
    </row>
    <row r="116" spans="1:10" x14ac:dyDescent="0.25">
      <c r="A116" s="240"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(StatType=eStat_HP,StatAmount=1), (StatType=eStat_Hacking,StatAmount=0)),\\</v>
      </c>
      <c r="B116" s="234" t="s">
        <v>340</v>
      </c>
      <c r="C116" s="234"/>
      <c r="D116" s="234"/>
      <c r="E116" s="234"/>
      <c r="F116" s="234"/>
      <c r="G116" s="234"/>
      <c r="H116" s="234"/>
      <c r="I116" s="234"/>
      <c r="J116" s="234"/>
    </row>
    <row r="117" spans="1:10" x14ac:dyDescent="0.25">
      <c r="A117" s="240" t="s">
        <v>338</v>
      </c>
      <c r="B117" s="234" t="s">
        <v>340</v>
      </c>
      <c r="C117" s="234"/>
      <c r="D117" s="234"/>
      <c r="E117" s="234"/>
      <c r="F117" s="234"/>
      <c r="G117" s="234"/>
      <c r="H117" s="234"/>
      <c r="I117" s="234"/>
      <c r="J117" s="234"/>
    </row>
    <row r="118" spans="1:10" x14ac:dyDescent="0.25">
      <c r="A118" s="240" t="str">
        <f>";  gunnery sergeant"</f>
        <v>;  gunnery sergeant</v>
      </c>
      <c r="B118" s="234" t="s">
        <v>340</v>
      </c>
      <c r="C118" s="234"/>
      <c r="D118" s="234"/>
      <c r="E118" s="234"/>
      <c r="F118" s="234"/>
      <c r="G118" s="234"/>
      <c r="H118" s="234"/>
      <c r="I118" s="234"/>
      <c r="J118" s="234"/>
    </row>
    <row r="119" spans="1:10" x14ac:dyDescent="0.25">
      <c r="A119" s="240" t="str">
        <f ca="1">"+SoldierRanks=(  aAbilityTree=( (AbilityName="""&amp;VLOOKUP(INDIRECT("F33"),Abilities,2,FALSE)&amp;""""&amp;IF(VLOOKUP(INDIRECT("F33"),Abilities,3,FALSE)="","",", ApplyToWeaponSlot=eInvSlot_"&amp;VLOOKUP(INDIRECT("F33"),Abilities,3,FALSE))&amp;"), \\"</f>
        <v>+SoldierRanks=(  aAbilityTree=( (AbilityName=" "), \\</v>
      </c>
      <c r="B119" s="234" t="s">
        <v>340</v>
      </c>
      <c r="C119" s="234"/>
      <c r="D119" s="234"/>
      <c r="E119" s="234"/>
      <c r="F119" s="234"/>
      <c r="G119" s="234"/>
      <c r="H119" s="234"/>
      <c r="I119" s="234"/>
      <c r="J119" s="234"/>
    </row>
    <row r="120" spans="1:10" x14ac:dyDescent="0.25">
      <c r="A120" s="240" t="str">
        <f ca="1">IF(INDIRECT("I33")="","\\","(AbilityName="""&amp;VLOOKUP(INDIRECT("I33"),Abilities,2,FALSE)&amp;""""&amp;IF(VLOOKUP(INDIRECT("I33"),Abilities,3,FALSE)="","",", ApplyToWeaponSlot=eInvSlot_"&amp;VLOOKUP(INDIRECT("I33"),Abilities,3,FALSE))&amp;"), \\")</f>
        <v>(AbilityName="Incinerator", ApplyToWeaponSlot=eInvSlot_SecondaryWeapon), \\</v>
      </c>
      <c r="B120" s="234" t="s">
        <v>340</v>
      </c>
      <c r="C120" s="234"/>
      <c r="D120" s="234"/>
      <c r="E120" s="234"/>
      <c r="F120" s="234"/>
      <c r="G120" s="234"/>
      <c r="H120" s="234"/>
      <c r="I120" s="234"/>
      <c r="J120" s="234"/>
    </row>
    <row r="121" spans="1:10" x14ac:dyDescent="0.25">
      <c r="A121" s="240" t="str">
        <f ca="1">IF(INDIRECT("L33")="","\\","(AbilityName="""&amp;VLOOKUP(INDIRECT("L33"),Abilities,2,FALSE)&amp;""""&amp;IF(VLOOKUP(INDIRECT("L33"),Abilities,3,FALSE)="","",", ApplyToWeaponSlot=eInvSlot_"&amp;VLOOKUP(INDIRECT("L33"),Abilities,3,FALSE))&amp;"), \\")</f>
        <v>(AbilityName=" "), \\</v>
      </c>
      <c r="B121" s="234" t="s">
        <v>340</v>
      </c>
      <c r="C121" s="234"/>
      <c r="D121" s="234"/>
      <c r="E121" s="234"/>
      <c r="F121" s="234"/>
      <c r="G121" s="234"/>
      <c r="H121" s="234"/>
      <c r="I121" s="234"/>
      <c r="J121" s="234"/>
    </row>
    <row r="122" spans="1:10" x14ac:dyDescent="0.25">
      <c r="A122" s="240" t="s">
        <v>337</v>
      </c>
      <c r="B122" s="234" t="s">
        <v>340</v>
      </c>
      <c r="C122" s="234"/>
      <c r="D122" s="234"/>
      <c r="E122" s="234"/>
      <c r="F122" s="234"/>
      <c r="G122" s="234"/>
      <c r="H122" s="234"/>
      <c r="I122" s="234"/>
      <c r="J122" s="234"/>
    </row>
    <row r="123" spans="1:10" x14ac:dyDescent="0.25">
      <c r="A123" s="240"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234" t="s">
        <v>340</v>
      </c>
      <c r="C123" s="234"/>
      <c r="D123" s="234"/>
      <c r="E123" s="234"/>
      <c r="F123" s="234"/>
      <c r="G123" s="234"/>
      <c r="H123" s="234"/>
      <c r="I123" s="234"/>
      <c r="J123" s="234"/>
    </row>
    <row r="124" spans="1:10" x14ac:dyDescent="0.25">
      <c r="A124" s="240" t="s">
        <v>338</v>
      </c>
      <c r="B124" s="234" t="s">
        <v>340</v>
      </c>
      <c r="C124" s="234"/>
      <c r="D124" s="234"/>
      <c r="E124" s="234"/>
      <c r="F124" s="234"/>
      <c r="G124" s="234"/>
      <c r="H124" s="234"/>
      <c r="I124" s="234"/>
      <c r="J124" s="234"/>
    </row>
    <row r="125" spans="1:10" x14ac:dyDescent="0.25">
      <c r="A125" s="240" t="str">
        <f>"; master sergeant"</f>
        <v>; master sergeant</v>
      </c>
      <c r="B125" s="234" t="s">
        <v>340</v>
      </c>
      <c r="C125" s="234"/>
      <c r="D125" s="234"/>
      <c r="E125" s="234"/>
      <c r="F125" s="234"/>
      <c r="G125" s="234"/>
      <c r="H125" s="234"/>
      <c r="I125" s="234"/>
      <c r="J125" s="234"/>
    </row>
    <row r="126" spans="1:10" x14ac:dyDescent="0.25">
      <c r="A126" s="240" t="str">
        <f ca="1">"+SoldierRanks=(  aAbilityTree=( (AbilityName="""&amp;VLOOKUP(INDIRECT("F37"),Abilities,2,FALSE)&amp;""""&amp;IF(VLOOKUP(INDIRECT("F37"),Abilities,3,FALSE)="","",", ApplyToWeaponSlot=eInvSlot_"&amp;VLOOKUP(INDIRECT("F37"),Abilities,3,FALSE))&amp;"), \\"</f>
        <v>+SoldierRanks=(  aAbilityTree=( (AbilityName="Quickburn", ApplyToWeaponSlot=eInvSlot_SecondaryWeapon), \\</v>
      </c>
      <c r="B126" s="234" t="s">
        <v>340</v>
      </c>
      <c r="C126" s="234"/>
      <c r="D126" s="234"/>
      <c r="E126" s="234"/>
      <c r="F126" s="234"/>
      <c r="G126" s="234"/>
      <c r="H126" s="234"/>
      <c r="I126" s="234"/>
      <c r="J126" s="234"/>
    </row>
    <row r="127" spans="1:10" x14ac:dyDescent="0.25">
      <c r="A127" s="240" t="str">
        <f ca="1">IF(INDIRECT("I37")="","\\","(AbilityName="""&amp;VLOOKUP(INDIRECT("I37"),Abilities,2,FALSE)&amp;""""&amp;IF(VLOOKUP(INDIRECT("I37"),Abilities,3,FALSE)="","",", ApplyToWeaponSlot=eInvSlot_"&amp;VLOOKUP(INDIRECT("I37"),Abilities,3,FALSE))&amp;"), \\")</f>
        <v>(AbilityName=" "), \\</v>
      </c>
      <c r="B127" s="234" t="s">
        <v>340</v>
      </c>
      <c r="C127" s="234"/>
      <c r="D127" s="234"/>
      <c r="E127" s="234"/>
      <c r="F127" s="234"/>
      <c r="G127" s="234"/>
      <c r="H127" s="234"/>
      <c r="I127" s="234"/>
      <c r="J127" s="234"/>
    </row>
    <row r="128" spans="1:10" x14ac:dyDescent="0.25">
      <c r="A128" s="240" t="str">
        <f ca="1">IF(INDIRECT("L37")="","\\","(AbilityName="""&amp;VLOOKUP(INDIRECT("L37"),Abilities,2,FALSE)&amp;""""&amp;IF(VLOOKUP(INDIRECT("L37"),Abilities,3,FALSE)="","",", ApplyToWeaponSlot=eInvSlot_"&amp;VLOOKUP(INDIRECT("L37"),Abilities,3,FALSE))&amp;"), \\")</f>
        <v>(AbilityName="Firestorm", ApplyToWeaponSlot=eInvSlot_SecondaryWeapon), \\</v>
      </c>
      <c r="B128" s="234" t="s">
        <v>340</v>
      </c>
      <c r="C128" s="234"/>
      <c r="D128" s="234"/>
      <c r="E128" s="234"/>
      <c r="F128" s="234"/>
      <c r="G128" s="234"/>
      <c r="H128" s="234"/>
      <c r="I128" s="234"/>
      <c r="J128" s="234"/>
    </row>
    <row r="129" spans="1:10" x14ac:dyDescent="0.25">
      <c r="A129" s="240" t="s">
        <v>337</v>
      </c>
      <c r="B129" s="234" t="s">
        <v>340</v>
      </c>
      <c r="C129" s="234"/>
      <c r="D129" s="234"/>
      <c r="E129" s="234"/>
      <c r="F129" s="234"/>
      <c r="G129" s="234"/>
      <c r="H129" s="234"/>
      <c r="I129" s="234"/>
      <c r="J129" s="234"/>
    </row>
    <row r="130" spans="1:10" x14ac:dyDescent="0.25">
      <c r="A130" s="240"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234" t="s">
        <v>340</v>
      </c>
      <c r="C130" s="234"/>
      <c r="D130" s="234"/>
      <c r="E130" s="234"/>
      <c r="F130" s="234"/>
      <c r="G130" s="234"/>
      <c r="H130" s="234"/>
      <c r="I130" s="234"/>
      <c r="J130" s="234"/>
    </row>
    <row r="131" spans="1:10" ht="15.75" thickBot="1" x14ac:dyDescent="0.3">
      <c r="A131" s="241" t="s">
        <v>338</v>
      </c>
      <c r="B131" s="234" t="s">
        <v>340</v>
      </c>
      <c r="C131" s="234"/>
      <c r="D131" s="234"/>
      <c r="E131" s="234"/>
      <c r="F131" s="234"/>
      <c r="G131" s="234"/>
      <c r="H131" s="234"/>
      <c r="I131" s="234"/>
      <c r="J131" s="234"/>
    </row>
  </sheetData>
  <mergeCells count="140">
    <mergeCell ref="V35:W35"/>
    <mergeCell ref="V28:W28"/>
    <mergeCell ref="V29:W29"/>
    <mergeCell ref="V30:W30"/>
    <mergeCell ref="V31:W31"/>
    <mergeCell ref="V32:W32"/>
    <mergeCell ref="V23:W23"/>
    <mergeCell ref="V24:W24"/>
    <mergeCell ref="V25:W25"/>
    <mergeCell ref="V26:W26"/>
    <mergeCell ref="V27:W27"/>
    <mergeCell ref="V1:Y2"/>
    <mergeCell ref="V3:W3"/>
    <mergeCell ref="X3:Y3"/>
    <mergeCell ref="V4:W4"/>
    <mergeCell ref="X4:Y4"/>
    <mergeCell ref="V11:W11"/>
    <mergeCell ref="X11:Y11"/>
    <mergeCell ref="V12:W12"/>
    <mergeCell ref="X12:Y12"/>
    <mergeCell ref="V8:W8"/>
    <mergeCell ref="X8:Y8"/>
    <mergeCell ref="V9:W9"/>
    <mergeCell ref="X9:Y9"/>
    <mergeCell ref="V10:W10"/>
    <mergeCell ref="X10:Y10"/>
    <mergeCell ref="L33:M33"/>
    <mergeCell ref="F34:H35"/>
    <mergeCell ref="I34:K35"/>
    <mergeCell ref="L34:N35"/>
    <mergeCell ref="V5:W5"/>
    <mergeCell ref="X5:Y5"/>
    <mergeCell ref="V6:W6"/>
    <mergeCell ref="X6:Y6"/>
    <mergeCell ref="V7:W7"/>
    <mergeCell ref="X7:Y7"/>
    <mergeCell ref="V13:W13"/>
    <mergeCell ref="X13:Y13"/>
    <mergeCell ref="V18:W18"/>
    <mergeCell ref="V19:W19"/>
    <mergeCell ref="V20:W20"/>
    <mergeCell ref="V21:W21"/>
    <mergeCell ref="V22:W22"/>
    <mergeCell ref="V14:W14"/>
    <mergeCell ref="X14:Y14"/>
    <mergeCell ref="V15:W15"/>
    <mergeCell ref="V16:W16"/>
    <mergeCell ref="V17:W17"/>
    <mergeCell ref="V33:W33"/>
    <mergeCell ref="V34:W34"/>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F36:N36"/>
    <mergeCell ref="F37:G37"/>
    <mergeCell ref="I37:J37"/>
    <mergeCell ref="L37:M37"/>
    <mergeCell ref="F38:H39"/>
    <mergeCell ref="I38:K39"/>
    <mergeCell ref="L38:N39"/>
    <mergeCell ref="I33:J33"/>
    <mergeCell ref="I17:J17"/>
    <mergeCell ref="L17:M17"/>
    <mergeCell ref="C12:D12"/>
    <mergeCell ref="F12:N12"/>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C10:D10"/>
    <mergeCell ref="F10:H10"/>
    <mergeCell ref="I10:K10"/>
    <mergeCell ref="L10:N10"/>
    <mergeCell ref="C11:D11"/>
    <mergeCell ref="F11:H11"/>
    <mergeCell ref="I11:K11"/>
    <mergeCell ref="L11:N11"/>
    <mergeCell ref="O1:U2"/>
    <mergeCell ref="A3:B3"/>
    <mergeCell ref="C3:E3"/>
    <mergeCell ref="F3:N3"/>
    <mergeCell ref="A4:B4"/>
    <mergeCell ref="C4:E5"/>
    <mergeCell ref="F4:G4"/>
    <mergeCell ref="I4:J4"/>
    <mergeCell ref="L4:M4"/>
    <mergeCell ref="F5:H6"/>
    <mergeCell ref="I5:K6"/>
    <mergeCell ref="L5:N6"/>
    <mergeCell ref="C6:D6"/>
    <mergeCell ref="A40:B41"/>
    <mergeCell ref="C40:E41"/>
    <mergeCell ref="A42:B42"/>
    <mergeCell ref="C42:D42"/>
    <mergeCell ref="E42:F42"/>
    <mergeCell ref="A1:B2"/>
    <mergeCell ref="C1:E2"/>
    <mergeCell ref="F1:N2"/>
    <mergeCell ref="C7:D7"/>
    <mergeCell ref="F7:G7"/>
    <mergeCell ref="I7:J7"/>
    <mergeCell ref="L7:M7"/>
    <mergeCell ref="C8:D8"/>
    <mergeCell ref="F8:H9"/>
    <mergeCell ref="I8:K9"/>
    <mergeCell ref="L8:N9"/>
    <mergeCell ref="C9:D9"/>
    <mergeCell ref="F14:H15"/>
    <mergeCell ref="I14:K15"/>
    <mergeCell ref="L14:N15"/>
    <mergeCell ref="F16:N16"/>
    <mergeCell ref="F17:G1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0113"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90114"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90115"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90116"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90117"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90118"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90119"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90120"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90121"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90122"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90123"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90124"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90125"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90" t="s">
        <v>308</v>
      </c>
      <c r="B1" s="91"/>
      <c r="C1" s="94" t="s">
        <v>722</v>
      </c>
      <c r="D1" s="95"/>
      <c r="E1" s="95"/>
      <c r="F1" s="98" t="s">
        <v>324</v>
      </c>
      <c r="G1" s="99"/>
      <c r="H1" s="99"/>
      <c r="I1" s="99"/>
      <c r="J1" s="99"/>
      <c r="K1" s="99"/>
      <c r="L1" s="99"/>
      <c r="M1" s="99"/>
      <c r="N1" s="99"/>
      <c r="O1" s="100" t="s">
        <v>325</v>
      </c>
      <c r="P1" s="101"/>
      <c r="Q1" s="101"/>
      <c r="R1" s="101"/>
      <c r="S1" s="101"/>
      <c r="T1" s="101"/>
      <c r="U1" s="102"/>
      <c r="V1" s="196" t="s">
        <v>776</v>
      </c>
      <c r="W1" s="197"/>
      <c r="X1" s="197"/>
      <c r="Y1" s="197"/>
    </row>
    <row r="2" spans="1:25" ht="15" customHeight="1" thickBot="1" x14ac:dyDescent="0.3">
      <c r="A2" s="92"/>
      <c r="B2" s="93"/>
      <c r="C2" s="96"/>
      <c r="D2" s="97"/>
      <c r="E2" s="97"/>
      <c r="F2" s="98"/>
      <c r="G2" s="99"/>
      <c r="H2" s="99"/>
      <c r="I2" s="99"/>
      <c r="J2" s="99"/>
      <c r="K2" s="99"/>
      <c r="L2" s="99"/>
      <c r="M2" s="99"/>
      <c r="N2" s="99"/>
      <c r="O2" s="103"/>
      <c r="P2" s="104"/>
      <c r="Q2" s="104"/>
      <c r="R2" s="104"/>
      <c r="S2" s="104"/>
      <c r="T2" s="104"/>
      <c r="U2" s="105"/>
      <c r="V2" s="198"/>
      <c r="W2" s="199"/>
      <c r="X2" s="199"/>
      <c r="Y2" s="199"/>
    </row>
    <row r="3" spans="1:25" ht="18" thickBot="1" x14ac:dyDescent="0.35">
      <c r="A3" s="106" t="s">
        <v>309</v>
      </c>
      <c r="B3" s="107"/>
      <c r="C3" s="108" t="str">
        <f>Output!$L$1&amp;SUBSTITUTE(C1," ","")</f>
        <v>LWD_Guerrilla</v>
      </c>
      <c r="D3" s="109"/>
      <c r="E3" s="109"/>
      <c r="F3" s="110" t="s">
        <v>12</v>
      </c>
      <c r="G3" s="111"/>
      <c r="H3" s="111"/>
      <c r="I3" s="111"/>
      <c r="J3" s="111"/>
      <c r="K3" s="111"/>
      <c r="L3" s="111"/>
      <c r="M3" s="111"/>
      <c r="N3" s="112"/>
      <c r="O3" s="15"/>
      <c r="P3" s="16" t="s">
        <v>79</v>
      </c>
      <c r="Q3" s="17" t="s">
        <v>326</v>
      </c>
      <c r="R3" s="17" t="s">
        <v>328</v>
      </c>
      <c r="S3" s="17" t="s">
        <v>327</v>
      </c>
      <c r="T3" s="17" t="s">
        <v>330</v>
      </c>
      <c r="U3" s="18" t="s">
        <v>329</v>
      </c>
      <c r="V3" s="200" t="s">
        <v>810</v>
      </c>
      <c r="W3" s="201"/>
      <c r="X3" s="200" t="s">
        <v>811</v>
      </c>
      <c r="Y3" s="201"/>
    </row>
    <row r="4" spans="1:25" ht="18" thickTop="1" x14ac:dyDescent="0.3">
      <c r="A4" s="113" t="s">
        <v>310</v>
      </c>
      <c r="B4" s="114"/>
      <c r="C4" s="115" t="s">
        <v>314</v>
      </c>
      <c r="D4" s="116"/>
      <c r="E4" s="116"/>
      <c r="F4" s="119" t="s">
        <v>944</v>
      </c>
      <c r="G4" s="120"/>
      <c r="H4" s="4" t="str">
        <f>IFERROR(VLOOKUP(F4,Abilities,4,FALSE),"")</f>
        <v>LWD</v>
      </c>
      <c r="I4" s="121" t="s">
        <v>604</v>
      </c>
      <c r="J4" s="120"/>
      <c r="K4" s="35" t="str">
        <f>IFERROR(VLOOKUP(I4,Abilities,4,FALSE),"")</f>
        <v>SOLW</v>
      </c>
      <c r="L4" s="122"/>
      <c r="M4" s="120"/>
      <c r="N4" s="10" t="str">
        <f>IFERROR(VLOOKUP(L4,Abilities,4,FALSE),"")</f>
        <v/>
      </c>
      <c r="O4" s="19" t="s">
        <v>12</v>
      </c>
      <c r="P4" s="4">
        <v>4</v>
      </c>
      <c r="Q4" s="20">
        <v>0</v>
      </c>
      <c r="R4" s="20"/>
      <c r="S4" s="4">
        <v>0</v>
      </c>
      <c r="T4" s="4">
        <v>1</v>
      </c>
      <c r="U4" s="10"/>
      <c r="V4" s="192" t="s">
        <v>841</v>
      </c>
      <c r="W4" s="193"/>
      <c r="X4" s="192" t="s">
        <v>801</v>
      </c>
      <c r="Y4" s="193"/>
    </row>
    <row r="5" spans="1:25" ht="15" customHeight="1" x14ac:dyDescent="0.25">
      <c r="A5" s="6"/>
      <c r="B5" s="5" t="b">
        <v>1</v>
      </c>
      <c r="C5" s="117"/>
      <c r="D5" s="118"/>
      <c r="E5" s="118"/>
      <c r="F5" s="123" t="str">
        <f>IFERROR(VLOOKUP(F4,Abilities,7,FALSE),"")</f>
        <v>Move a short range and attack with your knife. Doesn't end your turn.</v>
      </c>
      <c r="G5" s="124"/>
      <c r="H5" s="125"/>
      <c r="I5" s="129" t="str">
        <f>IFERROR(VLOOKUP(I4,Abilities,7,FALSE),"")</f>
        <v>You can take a standard move action after firing your &lt;Ability:WeaponName/&gt;.</v>
      </c>
      <c r="J5" s="130"/>
      <c r="K5" s="131"/>
      <c r="L5" s="130" t="str">
        <f>IFERROR(VLOOKUP(L4,Abilities,7,FALSE),"")</f>
        <v/>
      </c>
      <c r="M5" s="130"/>
      <c r="N5" s="135"/>
      <c r="O5" s="26" t="s">
        <v>456</v>
      </c>
      <c r="P5" s="27">
        <v>3</v>
      </c>
      <c r="Q5" s="28">
        <v>0</v>
      </c>
      <c r="R5" s="28"/>
      <c r="S5" s="27">
        <v>0</v>
      </c>
      <c r="T5" s="27"/>
      <c r="U5" s="29"/>
      <c r="V5" s="190" t="s">
        <v>842</v>
      </c>
      <c r="W5" s="191"/>
      <c r="X5" s="190" t="s">
        <v>802</v>
      </c>
      <c r="Y5" s="191"/>
    </row>
    <row r="6" spans="1:25" ht="15" customHeight="1" x14ac:dyDescent="0.25">
      <c r="A6" s="6"/>
      <c r="B6" s="5" t="b">
        <v>0</v>
      </c>
      <c r="C6" s="137" t="s">
        <v>315</v>
      </c>
      <c r="D6" s="138"/>
      <c r="E6" s="11">
        <v>0</v>
      </c>
      <c r="F6" s="126"/>
      <c r="G6" s="127"/>
      <c r="H6" s="128"/>
      <c r="I6" s="132"/>
      <c r="J6" s="133"/>
      <c r="K6" s="134"/>
      <c r="L6" s="133"/>
      <c r="M6" s="133"/>
      <c r="N6" s="136"/>
      <c r="O6" s="19" t="s">
        <v>15</v>
      </c>
      <c r="P6" s="4">
        <v>2</v>
      </c>
      <c r="Q6" s="20">
        <v>0</v>
      </c>
      <c r="R6" s="20"/>
      <c r="S6" s="4">
        <v>0</v>
      </c>
      <c r="T6" s="4"/>
      <c r="U6" s="10"/>
      <c r="V6" s="190" t="s">
        <v>843</v>
      </c>
      <c r="W6" s="191"/>
      <c r="X6" s="192" t="s">
        <v>803</v>
      </c>
      <c r="Y6" s="193"/>
    </row>
    <row r="7" spans="1:25" ht="15" customHeight="1" x14ac:dyDescent="0.25">
      <c r="A7" s="6"/>
      <c r="B7" s="5" t="b">
        <v>1</v>
      </c>
      <c r="C7" s="137" t="s">
        <v>316</v>
      </c>
      <c r="D7" s="138"/>
      <c r="E7" s="11">
        <v>4</v>
      </c>
      <c r="F7" s="139"/>
      <c r="G7" s="140"/>
      <c r="H7" s="4" t="str">
        <f>IFERROR(VLOOKUP(F7,Abilities,4,FALSE),"")</f>
        <v/>
      </c>
      <c r="I7" s="141"/>
      <c r="J7" s="140"/>
      <c r="K7" s="4" t="str">
        <f>IFERROR(VLOOKUP(I7,Abilities,4,FALSE),"")</f>
        <v/>
      </c>
      <c r="L7" s="142"/>
      <c r="M7" s="140"/>
      <c r="N7" s="10" t="str">
        <f>IFERROR(VLOOKUP(L7,Abilities,4,FALSE),"")</f>
        <v/>
      </c>
      <c r="O7" s="26" t="s">
        <v>21</v>
      </c>
      <c r="P7" s="27">
        <v>3</v>
      </c>
      <c r="Q7" s="28">
        <v>1</v>
      </c>
      <c r="R7" s="28"/>
      <c r="S7" s="27">
        <v>0</v>
      </c>
      <c r="T7" s="27"/>
      <c r="U7" s="29"/>
      <c r="V7" s="192" t="s">
        <v>779</v>
      </c>
      <c r="W7" s="193"/>
      <c r="X7" s="190" t="s">
        <v>804</v>
      </c>
      <c r="Y7" s="191"/>
    </row>
    <row r="8" spans="1:25" ht="15" customHeight="1" thickBot="1" x14ac:dyDescent="0.3">
      <c r="A8" s="6"/>
      <c r="B8" s="5" t="b">
        <v>1</v>
      </c>
      <c r="C8" s="137" t="s">
        <v>317</v>
      </c>
      <c r="D8" s="143"/>
      <c r="E8" s="12" t="s">
        <v>761</v>
      </c>
      <c r="F8" s="144" t="str">
        <f>IFERROR(VLOOKUP(F7,Abilities,7,FALSE),"")</f>
        <v/>
      </c>
      <c r="G8" s="130"/>
      <c r="H8" s="131"/>
      <c r="I8" s="129" t="str">
        <f>IFERROR(VLOOKUP(I7,Abilities,7,FALSE),"")</f>
        <v/>
      </c>
      <c r="J8" s="130"/>
      <c r="K8" s="131"/>
      <c r="L8" s="130" t="str">
        <f>IFERROR(VLOOKUP(L7,Abilities,7,FALSE),"")</f>
        <v/>
      </c>
      <c r="M8" s="130"/>
      <c r="N8" s="135"/>
      <c r="O8" s="21" t="s">
        <v>457</v>
      </c>
      <c r="P8" s="4">
        <v>2</v>
      </c>
      <c r="Q8" s="20">
        <v>0</v>
      </c>
      <c r="R8" s="20"/>
      <c r="S8" s="4">
        <v>0</v>
      </c>
      <c r="T8" s="4"/>
      <c r="U8" s="10"/>
      <c r="V8" s="190" t="s">
        <v>844</v>
      </c>
      <c r="W8" s="191"/>
      <c r="X8" s="192" t="s">
        <v>805</v>
      </c>
      <c r="Y8" s="193"/>
    </row>
    <row r="9" spans="1:25" ht="15.75" thickBot="1" x14ac:dyDescent="0.3">
      <c r="A9" s="6"/>
      <c r="B9" s="5" t="b">
        <v>0</v>
      </c>
      <c r="C9" s="137" t="s">
        <v>319</v>
      </c>
      <c r="D9" s="143"/>
      <c r="E9" s="12">
        <v>1</v>
      </c>
      <c r="F9" s="145"/>
      <c r="G9" s="133"/>
      <c r="H9" s="134"/>
      <c r="I9" s="146"/>
      <c r="J9" s="147"/>
      <c r="K9" s="148"/>
      <c r="L9" s="133"/>
      <c r="M9" s="133"/>
      <c r="N9" s="136"/>
      <c r="O9" s="26" t="s">
        <v>458</v>
      </c>
      <c r="P9" s="27">
        <v>3</v>
      </c>
      <c r="Q9" s="28">
        <v>0</v>
      </c>
      <c r="R9" s="28"/>
      <c r="S9" s="27">
        <v>0</v>
      </c>
      <c r="T9" s="27"/>
      <c r="U9" s="29"/>
      <c r="V9" s="192" t="s">
        <v>781</v>
      </c>
      <c r="W9" s="193"/>
      <c r="X9" s="200" t="s">
        <v>812</v>
      </c>
      <c r="Y9" s="201"/>
    </row>
    <row r="10" spans="1:25" ht="18.75" x14ac:dyDescent="0.3">
      <c r="A10" s="6"/>
      <c r="B10" s="5" t="b">
        <v>1</v>
      </c>
      <c r="C10" s="137" t="s">
        <v>318</v>
      </c>
      <c r="D10" s="143"/>
      <c r="E10" s="12">
        <v>4</v>
      </c>
      <c r="F10" s="157" t="s">
        <v>311</v>
      </c>
      <c r="G10" s="158"/>
      <c r="H10" s="159"/>
      <c r="I10" s="160" t="s">
        <v>349</v>
      </c>
      <c r="J10" s="158"/>
      <c r="K10" s="159"/>
      <c r="L10" s="158" t="s">
        <v>312</v>
      </c>
      <c r="M10" s="158"/>
      <c r="N10" s="161"/>
      <c r="O10" s="36" t="s">
        <v>459</v>
      </c>
      <c r="P10" s="37">
        <v>2</v>
      </c>
      <c r="Q10" s="37">
        <v>0</v>
      </c>
      <c r="R10" s="37"/>
      <c r="S10" s="37">
        <v>0</v>
      </c>
      <c r="T10" s="37"/>
      <c r="U10" s="38"/>
      <c r="V10" s="190" t="s">
        <v>782</v>
      </c>
      <c r="W10" s="191"/>
      <c r="X10" s="192" t="s">
        <v>806</v>
      </c>
      <c r="Y10" s="193"/>
    </row>
    <row r="11" spans="1:25" ht="15.75" customHeight="1" thickBot="1" x14ac:dyDescent="0.3">
      <c r="A11" s="6"/>
      <c r="B11" s="5" t="b">
        <v>0</v>
      </c>
      <c r="C11" s="137" t="s">
        <v>320</v>
      </c>
      <c r="D11" s="143"/>
      <c r="E11" s="12">
        <v>4</v>
      </c>
      <c r="F11" s="162" t="s">
        <v>732</v>
      </c>
      <c r="G11" s="163"/>
      <c r="H11" s="164"/>
      <c r="I11" s="165"/>
      <c r="J11" s="163"/>
      <c r="K11" s="164"/>
      <c r="L11" s="163" t="s">
        <v>733</v>
      </c>
      <c r="M11" s="163"/>
      <c r="N11" s="166"/>
      <c r="O11" s="39" t="s">
        <v>460</v>
      </c>
      <c r="P11" s="40">
        <v>3</v>
      </c>
      <c r="Q11" s="41">
        <v>1</v>
      </c>
      <c r="R11" s="41"/>
      <c r="S11" s="40">
        <v>0</v>
      </c>
      <c r="T11" s="40"/>
      <c r="U11" s="42"/>
      <c r="V11" s="192" t="s">
        <v>824</v>
      </c>
      <c r="W11" s="193"/>
      <c r="X11" s="190" t="s">
        <v>807</v>
      </c>
      <c r="Y11" s="191"/>
    </row>
    <row r="12" spans="1:25" ht="18" customHeight="1" thickBot="1" x14ac:dyDescent="0.35">
      <c r="A12" s="6"/>
      <c r="B12" s="5" t="b">
        <v>0</v>
      </c>
      <c r="C12" s="137" t="s">
        <v>321</v>
      </c>
      <c r="D12" s="143"/>
      <c r="E12" s="12">
        <v>1</v>
      </c>
      <c r="F12" s="169" t="s">
        <v>443</v>
      </c>
      <c r="G12" s="170"/>
      <c r="H12" s="170"/>
      <c r="I12" s="170"/>
      <c r="J12" s="170"/>
      <c r="K12" s="170"/>
      <c r="L12" s="170"/>
      <c r="M12" s="170"/>
      <c r="N12" s="171"/>
      <c r="O12" s="149" t="s">
        <v>813</v>
      </c>
      <c r="P12" s="150"/>
      <c r="Q12" s="150"/>
      <c r="R12" s="150"/>
      <c r="S12" s="150"/>
      <c r="T12" s="150"/>
      <c r="U12" s="151"/>
      <c r="V12" s="192" t="s">
        <v>783</v>
      </c>
      <c r="W12" s="193"/>
      <c r="X12" s="192" t="s">
        <v>808</v>
      </c>
      <c r="Y12" s="193"/>
    </row>
    <row r="13" spans="1:25" ht="16.5" thickTop="1" thickBot="1" x14ac:dyDescent="0.3">
      <c r="A13" s="6"/>
      <c r="B13" s="5" t="b">
        <v>0</v>
      </c>
      <c r="C13" s="155" t="s">
        <v>322</v>
      </c>
      <c r="D13" s="156"/>
      <c r="E13" s="13" t="s">
        <v>323</v>
      </c>
      <c r="F13" s="119" t="s">
        <v>238</v>
      </c>
      <c r="G13" s="120"/>
      <c r="H13" s="4" t="str">
        <f>IFERROR(VLOOKUP(F13,Abilities,4,FALSE),"")</f>
        <v>LW2</v>
      </c>
      <c r="I13" s="121" t="s">
        <v>962</v>
      </c>
      <c r="J13" s="120"/>
      <c r="K13" s="35" t="str">
        <f>IFERROR(VLOOKUP(I13,Abilities,4,FALSE),"")</f>
        <v>BLANK</v>
      </c>
      <c r="L13" s="122" t="s">
        <v>234</v>
      </c>
      <c r="M13" s="120"/>
      <c r="N13" s="10" t="str">
        <f>IFERROR(VLOOKUP(L13,Abilities,4,FALSE),"")</f>
        <v>LW2</v>
      </c>
      <c r="O13" s="152"/>
      <c r="P13" s="153"/>
      <c r="Q13" s="153"/>
      <c r="R13" s="153"/>
      <c r="S13" s="153"/>
      <c r="T13" s="153"/>
      <c r="U13" s="154"/>
      <c r="V13" s="192" t="s">
        <v>818</v>
      </c>
      <c r="W13" s="193"/>
      <c r="X13" s="190" t="s">
        <v>809</v>
      </c>
      <c r="Y13" s="191"/>
    </row>
    <row r="14" spans="1:25" ht="15.75" thickBot="1" x14ac:dyDescent="0.3">
      <c r="A14" s="6"/>
      <c r="B14" s="7" t="b">
        <v>0</v>
      </c>
      <c r="F14" s="144">
        <f>IFERROR(VLOOKUP(F13,Abilities,7,FALSE),"")</f>
        <v>0</v>
      </c>
      <c r="G14" s="130"/>
      <c r="H14" s="131"/>
      <c r="I14" s="129" t="str">
        <f>IFERROR(VLOOKUP(I13,Abilities,7,FALSE),"")</f>
        <v xml:space="preserve"> </v>
      </c>
      <c r="J14" s="130"/>
      <c r="K14" s="131"/>
      <c r="L14" s="130">
        <f>IFERROR(VLOOKUP(L13,Abilities,7,FALSE),"")</f>
        <v>0</v>
      </c>
      <c r="M14" s="130"/>
      <c r="N14" s="135"/>
      <c r="O14" s="22"/>
      <c r="P14" s="23" t="s">
        <v>331</v>
      </c>
      <c r="Q14" s="24" t="s">
        <v>332</v>
      </c>
      <c r="R14" s="24" t="s">
        <v>333</v>
      </c>
      <c r="S14" s="24" t="s">
        <v>334</v>
      </c>
      <c r="T14" s="24" t="s">
        <v>336</v>
      </c>
      <c r="U14" s="25" t="s">
        <v>335</v>
      </c>
      <c r="V14" s="190" t="s">
        <v>845</v>
      </c>
      <c r="W14" s="191"/>
      <c r="X14" s="194" t="s">
        <v>814</v>
      </c>
      <c r="Y14" s="195"/>
    </row>
    <row r="15" spans="1:25" ht="15.75" thickBot="1" x14ac:dyDescent="0.3">
      <c r="A15" s="6"/>
      <c r="B15" s="7" t="b">
        <v>0</v>
      </c>
      <c r="F15" s="167"/>
      <c r="G15" s="147"/>
      <c r="H15" s="148"/>
      <c r="I15" s="146"/>
      <c r="J15" s="147"/>
      <c r="K15" s="148"/>
      <c r="L15" s="147"/>
      <c r="M15" s="147"/>
      <c r="N15" s="168"/>
      <c r="O15" s="19" t="s">
        <v>12</v>
      </c>
      <c r="P15" s="4"/>
      <c r="Q15" s="20">
        <v>4</v>
      </c>
      <c r="R15" s="20"/>
      <c r="S15" s="4">
        <v>2</v>
      </c>
      <c r="T15" s="4"/>
      <c r="U15" s="10"/>
      <c r="V15" s="190" t="s">
        <v>823</v>
      </c>
      <c r="W15" s="191"/>
    </row>
    <row r="16" spans="1:25" ht="18" thickBot="1" x14ac:dyDescent="0.35">
      <c r="A16" s="6"/>
      <c r="B16" s="7" t="b">
        <v>0</v>
      </c>
      <c r="F16" s="169" t="s">
        <v>15</v>
      </c>
      <c r="G16" s="170"/>
      <c r="H16" s="170"/>
      <c r="I16" s="170"/>
      <c r="J16" s="170"/>
      <c r="K16" s="170"/>
      <c r="L16" s="170"/>
      <c r="M16" s="170"/>
      <c r="N16" s="171"/>
      <c r="O16" s="26" t="s">
        <v>456</v>
      </c>
      <c r="P16" s="27"/>
      <c r="Q16" s="28">
        <v>4</v>
      </c>
      <c r="R16" s="28"/>
      <c r="S16" s="27">
        <v>1</v>
      </c>
      <c r="T16" s="27"/>
      <c r="U16" s="29"/>
      <c r="V16" s="190" t="s">
        <v>786</v>
      </c>
      <c r="W16" s="191"/>
    </row>
    <row r="17" spans="1:23" ht="16.5" thickTop="1" thickBot="1" x14ac:dyDescent="0.3">
      <c r="A17" s="8"/>
      <c r="B17" s="9" t="b">
        <v>0</v>
      </c>
      <c r="F17" s="121" t="s">
        <v>962</v>
      </c>
      <c r="G17" s="120"/>
      <c r="H17" s="4" t="str">
        <f>IFERROR(VLOOKUP(F17,Abilities,4,FALSE),"")</f>
        <v>BLANK</v>
      </c>
      <c r="I17" s="121" t="s">
        <v>19</v>
      </c>
      <c r="J17" s="120"/>
      <c r="K17" s="35" t="str">
        <f>IFERROR(VLOOKUP(I17,Abilities,4,FALSE),"")</f>
        <v>LW2</v>
      </c>
      <c r="L17" s="121" t="s">
        <v>962</v>
      </c>
      <c r="M17" s="120"/>
      <c r="N17" s="10" t="str">
        <f>IFERROR(VLOOKUP(L17,Abilities,4,FALSE),"")</f>
        <v>BLANK</v>
      </c>
      <c r="O17" s="19" t="s">
        <v>15</v>
      </c>
      <c r="P17" s="4"/>
      <c r="Q17" s="20"/>
      <c r="R17" s="20"/>
      <c r="S17" s="4">
        <v>0</v>
      </c>
      <c r="T17" s="4"/>
      <c r="U17" s="10"/>
      <c r="V17" s="192" t="s">
        <v>787</v>
      </c>
      <c r="W17" s="193"/>
    </row>
    <row r="18" spans="1:23" x14ac:dyDescent="0.25">
      <c r="A18" s="172" t="s">
        <v>344</v>
      </c>
      <c r="B18" s="173"/>
      <c r="F18" s="144" t="str">
        <f>IFERROR(VLOOKUP(F17,Abilities,7,FALSE),"")</f>
        <v xml:space="preserve"> </v>
      </c>
      <c r="G18" s="130"/>
      <c r="H18" s="131"/>
      <c r="I18" s="129">
        <f>IFERROR(VLOOKUP(I17,Abilities,7,FALSE),"")</f>
        <v>0</v>
      </c>
      <c r="J18" s="130"/>
      <c r="K18" s="131"/>
      <c r="L18" s="130" t="str">
        <f>IFERROR(VLOOKUP(L17,Abilities,7,FALSE),"")</f>
        <v xml:space="preserve"> </v>
      </c>
      <c r="M18" s="130"/>
      <c r="N18" s="135"/>
      <c r="O18" s="26" t="s">
        <v>21</v>
      </c>
      <c r="P18" s="27"/>
      <c r="Q18" s="28"/>
      <c r="R18" s="28"/>
      <c r="S18" s="27">
        <v>1</v>
      </c>
      <c r="T18" s="27"/>
      <c r="U18" s="29"/>
      <c r="V18" s="190" t="s">
        <v>788</v>
      </c>
      <c r="W18" s="191"/>
    </row>
    <row r="19" spans="1:23" ht="15.75" thickBot="1" x14ac:dyDescent="0.3">
      <c r="A19" s="174"/>
      <c r="B19" s="175"/>
      <c r="D19" s="3"/>
      <c r="F19" s="167"/>
      <c r="G19" s="147"/>
      <c r="H19" s="148"/>
      <c r="I19" s="146"/>
      <c r="J19" s="147"/>
      <c r="K19" s="148"/>
      <c r="L19" s="147"/>
      <c r="M19" s="147"/>
      <c r="N19" s="168"/>
      <c r="O19" s="21" t="s">
        <v>457</v>
      </c>
      <c r="P19" s="4"/>
      <c r="Q19" s="20"/>
      <c r="R19" s="20"/>
      <c r="S19" s="4">
        <v>0</v>
      </c>
      <c r="T19" s="4"/>
      <c r="U19" s="10"/>
      <c r="V19" s="192" t="s">
        <v>789</v>
      </c>
      <c r="W19" s="193"/>
    </row>
    <row r="20" spans="1:23" ht="18" thickBot="1" x14ac:dyDescent="0.35">
      <c r="A20" s="176" t="s">
        <v>969</v>
      </c>
      <c r="B20" s="177"/>
      <c r="C20" s="178"/>
      <c r="D20" s="178"/>
      <c r="E20" s="179"/>
      <c r="F20" s="169" t="s">
        <v>21</v>
      </c>
      <c r="G20" s="170"/>
      <c r="H20" s="170"/>
      <c r="I20" s="170"/>
      <c r="J20" s="170"/>
      <c r="K20" s="170"/>
      <c r="L20" s="170"/>
      <c r="M20" s="170"/>
      <c r="N20" s="171"/>
      <c r="O20" s="26" t="s">
        <v>458</v>
      </c>
      <c r="P20" s="27"/>
      <c r="Q20" s="28"/>
      <c r="R20" s="28"/>
      <c r="S20" s="27">
        <v>1</v>
      </c>
      <c r="T20" s="27"/>
      <c r="U20" s="29"/>
      <c r="V20" s="192" t="s">
        <v>790</v>
      </c>
      <c r="W20" s="193"/>
    </row>
    <row r="21" spans="1:23" ht="15.75" thickTop="1" x14ac:dyDescent="0.25">
      <c r="A21" s="176"/>
      <c r="B21" s="177"/>
      <c r="C21" s="177"/>
      <c r="D21" s="177"/>
      <c r="E21" s="180"/>
      <c r="F21" s="119" t="s">
        <v>23</v>
      </c>
      <c r="G21" s="120"/>
      <c r="H21" s="4" t="str">
        <f>IFERROR(VLOOKUP(F21,Abilities,4,FALSE),"")</f>
        <v>XCOM2</v>
      </c>
      <c r="I21" s="121" t="s">
        <v>962</v>
      </c>
      <c r="J21" s="120"/>
      <c r="K21" s="35" t="str">
        <f>IFERROR(VLOOKUP(I21,Abilities,4,FALSE),"")</f>
        <v>BLANK</v>
      </c>
      <c r="L21" s="122" t="s">
        <v>383</v>
      </c>
      <c r="M21" s="120"/>
      <c r="N21" s="10" t="str">
        <f>IFERROR(VLOOKUP(L21,Abilities,4,FALSE),"")</f>
        <v>LW2</v>
      </c>
      <c r="O21" s="36" t="s">
        <v>459</v>
      </c>
      <c r="P21" s="37"/>
      <c r="Q21" s="37"/>
      <c r="R21" s="37"/>
      <c r="S21" s="37">
        <v>0</v>
      </c>
      <c r="T21" s="37"/>
      <c r="U21" s="38"/>
      <c r="V21" s="190" t="s">
        <v>791</v>
      </c>
      <c r="W21" s="191"/>
    </row>
    <row r="22" spans="1:23" ht="15.75" thickBot="1" x14ac:dyDescent="0.3">
      <c r="A22" s="181"/>
      <c r="B22" s="182"/>
      <c r="C22" s="182"/>
      <c r="D22" s="182"/>
      <c r="E22" s="183"/>
      <c r="F22" s="144" t="str">
        <f>IFERROR(VLOOKUP(F21,Abilities,7,FALSE),"")</f>
        <v>This soldier does not trigger overwatch or reaction fire.</v>
      </c>
      <c r="G22" s="130"/>
      <c r="H22" s="131"/>
      <c r="I22" s="129" t="str">
        <f>IFERROR(VLOOKUP(I21,Abilities,7,FALSE),"")</f>
        <v xml:space="preserve"> </v>
      </c>
      <c r="J22" s="130"/>
      <c r="K22" s="131"/>
      <c r="L22" s="130">
        <f>IFERROR(VLOOKUP(L21,Abilities,7,FALSE),"")</f>
        <v>0</v>
      </c>
      <c r="M22" s="130"/>
      <c r="N22" s="135"/>
      <c r="O22" s="39" t="s">
        <v>460</v>
      </c>
      <c r="P22" s="40"/>
      <c r="Q22" s="41"/>
      <c r="R22" s="41"/>
      <c r="S22" s="40">
        <v>1</v>
      </c>
      <c r="T22" s="40"/>
      <c r="U22" s="42"/>
      <c r="V22" s="192" t="s">
        <v>792</v>
      </c>
      <c r="W22" s="193"/>
    </row>
    <row r="23" spans="1:23" ht="15.75" thickBot="1" x14ac:dyDescent="0.3">
      <c r="A23" s="184" t="s">
        <v>352</v>
      </c>
      <c r="B23" s="185"/>
      <c r="C23" s="185"/>
      <c r="D23" s="185"/>
      <c r="E23" s="186"/>
      <c r="F23" s="167"/>
      <c r="G23" s="147"/>
      <c r="H23" s="148"/>
      <c r="I23" s="146"/>
      <c r="J23" s="147"/>
      <c r="K23" s="148"/>
      <c r="L23" s="147"/>
      <c r="M23" s="147"/>
      <c r="N23" s="168"/>
      <c r="O23" s="14"/>
      <c r="P23" s="14"/>
      <c r="Q23" s="3"/>
      <c r="V23" s="190" t="s">
        <v>793</v>
      </c>
      <c r="W23" s="191"/>
    </row>
    <row r="24" spans="1:23" ht="18" thickBot="1" x14ac:dyDescent="0.35">
      <c r="A24" s="187"/>
      <c r="B24" s="188"/>
      <c r="C24" s="188"/>
      <c r="D24" s="188"/>
      <c r="E24" s="189"/>
      <c r="F24" s="169" t="s">
        <v>444</v>
      </c>
      <c r="G24" s="170"/>
      <c r="H24" s="170"/>
      <c r="I24" s="170"/>
      <c r="J24" s="170"/>
      <c r="K24" s="170"/>
      <c r="L24" s="170"/>
      <c r="M24" s="170"/>
      <c r="N24" s="171"/>
      <c r="O24" s="14"/>
      <c r="P24" s="14"/>
      <c r="Q24" s="3"/>
      <c r="V24" s="192" t="s">
        <v>794</v>
      </c>
      <c r="W24" s="193"/>
    </row>
    <row r="25" spans="1:23" ht="15.75" thickTop="1" x14ac:dyDescent="0.25">
      <c r="A25" s="50" t="s">
        <v>964</v>
      </c>
      <c r="B25" s="51"/>
      <c r="C25" s="51"/>
      <c r="D25" s="51"/>
      <c r="E25" s="52"/>
      <c r="F25" s="119" t="s">
        <v>647</v>
      </c>
      <c r="G25" s="120"/>
      <c r="H25" s="4" t="str">
        <f>IFERROR(VLOOKUP(F25,Abilities,4,FALSE),"")</f>
        <v>SOLW</v>
      </c>
      <c r="I25" s="121" t="s">
        <v>962</v>
      </c>
      <c r="J25" s="120"/>
      <c r="K25" s="35" t="str">
        <f>IFERROR(VLOOKUP(I25,Abilities,4,FALSE),"")</f>
        <v>BLANK</v>
      </c>
      <c r="L25" s="122" t="s">
        <v>947</v>
      </c>
      <c r="M25" s="120"/>
      <c r="N25" s="10" t="str">
        <f>IFERROR(VLOOKUP(L25,Abilities,4,FALSE),"")</f>
        <v>LWD</v>
      </c>
      <c r="O25" s="14"/>
      <c r="P25" s="14"/>
      <c r="Q25" s="3"/>
      <c r="V25" s="190" t="s">
        <v>795</v>
      </c>
      <c r="W25" s="191"/>
    </row>
    <row r="26" spans="1:23" x14ac:dyDescent="0.25">
      <c r="A26" s="50"/>
      <c r="B26" s="51"/>
      <c r="C26" s="51"/>
      <c r="D26" s="51"/>
      <c r="E26" s="52"/>
      <c r="F26" s="144" t="str">
        <f>IFERROR(VLOOKUP(F25,Abilities,7,FALSE),"")</f>
        <v>Your Dodge is increased by &lt;Ability:Dodge/&gt; and you are immune to poison.</v>
      </c>
      <c r="G26" s="130"/>
      <c r="H26" s="131"/>
      <c r="I26" s="129" t="str">
        <f>IFERROR(VLOOKUP(I25,Abilities,7,FALSE),"")</f>
        <v xml:space="preserve"> </v>
      </c>
      <c r="J26" s="130"/>
      <c r="K26" s="131"/>
      <c r="L26" s="130" t="str">
        <f>IFERROR(VLOOKUP(L25,Abilities,7,FALSE),"")</f>
        <v>Your Jab ability disorients enemies it damages.</v>
      </c>
      <c r="M26" s="130"/>
      <c r="N26" s="135"/>
      <c r="O26" s="14"/>
      <c r="P26" s="14"/>
      <c r="Q26" s="3"/>
      <c r="V26" s="190" t="s">
        <v>797</v>
      </c>
      <c r="W26" s="191"/>
    </row>
    <row r="27" spans="1:23" ht="15.75" thickBot="1" x14ac:dyDescent="0.3">
      <c r="A27" s="50"/>
      <c r="B27" s="51"/>
      <c r="C27" s="51"/>
      <c r="D27" s="51"/>
      <c r="E27" s="52"/>
      <c r="F27" s="167"/>
      <c r="G27" s="147"/>
      <c r="H27" s="148"/>
      <c r="I27" s="146"/>
      <c r="J27" s="147"/>
      <c r="K27" s="148"/>
      <c r="L27" s="147"/>
      <c r="M27" s="147"/>
      <c r="N27" s="168"/>
      <c r="O27" s="14"/>
      <c r="P27" s="14"/>
      <c r="Q27" s="3"/>
      <c r="V27" s="192" t="s">
        <v>798</v>
      </c>
      <c r="W27" s="193"/>
    </row>
    <row r="28" spans="1:23" ht="18" thickBot="1" x14ac:dyDescent="0.35">
      <c r="A28" s="50"/>
      <c r="B28" s="51"/>
      <c r="C28" s="51"/>
      <c r="D28" s="51"/>
      <c r="E28" s="52"/>
      <c r="F28" s="169" t="s">
        <v>445</v>
      </c>
      <c r="G28" s="170"/>
      <c r="H28" s="170"/>
      <c r="I28" s="170"/>
      <c r="J28" s="170"/>
      <c r="K28" s="170"/>
      <c r="L28" s="170"/>
      <c r="M28" s="170"/>
      <c r="N28" s="171"/>
      <c r="O28" s="14"/>
      <c r="P28" s="14"/>
      <c r="Q28" s="3"/>
      <c r="V28" s="190" t="s">
        <v>799</v>
      </c>
      <c r="W28" s="191"/>
    </row>
    <row r="29" spans="1:23" ht="15.75" thickTop="1" x14ac:dyDescent="0.25">
      <c r="A29" s="50"/>
      <c r="B29" s="51"/>
      <c r="C29" s="51"/>
      <c r="D29" s="51"/>
      <c r="E29" s="52"/>
      <c r="F29" s="119" t="s">
        <v>603</v>
      </c>
      <c r="G29" s="120"/>
      <c r="H29" s="4" t="str">
        <f>IFERROR(VLOOKUP(F29,Abilities,4,FALSE),"")</f>
        <v>SOLW</v>
      </c>
      <c r="I29" s="121" t="s">
        <v>962</v>
      </c>
      <c r="J29" s="120"/>
      <c r="K29" s="35" t="str">
        <f>IFERROR(VLOOKUP(I29,Abilities,4,FALSE),"")</f>
        <v>BLANK</v>
      </c>
      <c r="L29" s="122" t="s">
        <v>432</v>
      </c>
      <c r="M29" s="120"/>
      <c r="N29" s="10" t="str">
        <f>IFERROR(VLOOKUP(L29,Abilities,4,FALSE),"")</f>
        <v>LW2</v>
      </c>
      <c r="O29" s="14"/>
      <c r="P29" s="14"/>
      <c r="Q29" s="3"/>
      <c r="V29" s="190" t="s">
        <v>825</v>
      </c>
      <c r="W29" s="191"/>
    </row>
    <row r="30" spans="1:23" x14ac:dyDescent="0.25">
      <c r="A30" s="50"/>
      <c r="B30" s="51"/>
      <c r="C30" s="51"/>
      <c r="D30" s="51"/>
      <c r="E30" s="52"/>
      <c r="F30" s="144" t="str">
        <f>IFERROR(VLOOKUP(F29,Abilities,7,FALSE),"")</f>
        <v>While concealed or flanking your target, you deal &lt;Ability:+Damage/&gt; damage with your &lt;Ability:WeaponName/&gt; and take no penalties from using Squadsight.</v>
      </c>
      <c r="G30" s="130"/>
      <c r="H30" s="131"/>
      <c r="I30" s="129" t="str">
        <f>IFERROR(VLOOKUP(I29,Abilities,7,FALSE),"")</f>
        <v xml:space="preserve"> </v>
      </c>
      <c r="J30" s="130"/>
      <c r="K30" s="131"/>
      <c r="L30" s="130">
        <f>IFERROR(VLOOKUP(L29,Abilities,7,FALSE),"")</f>
        <v>0</v>
      </c>
      <c r="M30" s="130"/>
      <c r="N30" s="135"/>
      <c r="O30" s="14"/>
      <c r="P30" s="14"/>
      <c r="Q30" s="3"/>
      <c r="V30" s="190" t="s">
        <v>819</v>
      </c>
      <c r="W30" s="191"/>
    </row>
    <row r="31" spans="1:23" ht="15.75" thickBot="1" x14ac:dyDescent="0.3">
      <c r="A31" s="50"/>
      <c r="B31" s="51"/>
      <c r="C31" s="51"/>
      <c r="D31" s="51"/>
      <c r="E31" s="52"/>
      <c r="F31" s="167"/>
      <c r="G31" s="147"/>
      <c r="H31" s="148"/>
      <c r="I31" s="146"/>
      <c r="J31" s="147"/>
      <c r="K31" s="148"/>
      <c r="L31" s="147"/>
      <c r="M31" s="147"/>
      <c r="N31" s="168"/>
      <c r="O31" s="14"/>
      <c r="P31" s="14"/>
      <c r="Q31" s="3"/>
      <c r="V31" s="192" t="s">
        <v>820</v>
      </c>
      <c r="W31" s="193"/>
    </row>
    <row r="32" spans="1:23" ht="18" thickBot="1" x14ac:dyDescent="0.35">
      <c r="A32" s="50"/>
      <c r="B32" s="51"/>
      <c r="C32" s="51"/>
      <c r="D32" s="51"/>
      <c r="E32" s="52"/>
      <c r="F32" s="169" t="s">
        <v>446</v>
      </c>
      <c r="G32" s="170"/>
      <c r="H32" s="170"/>
      <c r="I32" s="170"/>
      <c r="J32" s="170"/>
      <c r="K32" s="170"/>
      <c r="L32" s="170"/>
      <c r="M32" s="170"/>
      <c r="N32" s="171"/>
      <c r="O32" s="14"/>
      <c r="P32" s="14"/>
      <c r="Q32" s="3"/>
      <c r="V32" s="192" t="s">
        <v>815</v>
      </c>
      <c r="W32" s="193"/>
    </row>
    <row r="33" spans="1:23" ht="15.75" thickTop="1" x14ac:dyDescent="0.25">
      <c r="A33" s="50"/>
      <c r="B33" s="51"/>
      <c r="C33" s="51"/>
      <c r="D33" s="51"/>
      <c r="E33" s="52"/>
      <c r="F33" s="121" t="s">
        <v>962</v>
      </c>
      <c r="G33" s="120"/>
      <c r="H33" s="4" t="str">
        <f>IFERROR(VLOOKUP(F33,Abilities,4,FALSE),"")</f>
        <v>BLANK</v>
      </c>
      <c r="I33" s="121" t="s">
        <v>32</v>
      </c>
      <c r="J33" s="120"/>
      <c r="K33" s="35" t="str">
        <f>IFERROR(VLOOKUP(I33,Abilities,4,FALSE),"")</f>
        <v>XCOM2</v>
      </c>
      <c r="L33" s="121" t="s">
        <v>962</v>
      </c>
      <c r="M33" s="120"/>
      <c r="N33" s="10" t="str">
        <f>IFERROR(VLOOKUP(L33,Abilities,4,FALSE),"")</f>
        <v>BLANK</v>
      </c>
      <c r="O33" s="14"/>
      <c r="P33" s="14"/>
      <c r="Q33" s="3"/>
      <c r="V33" s="192" t="s">
        <v>822</v>
      </c>
      <c r="W33" s="193"/>
    </row>
    <row r="34" spans="1:23" x14ac:dyDescent="0.25">
      <c r="A34" s="50"/>
      <c r="B34" s="51"/>
      <c r="C34" s="51"/>
      <c r="D34" s="51"/>
      <c r="E34" s="52"/>
      <c r="F34" s="144" t="str">
        <f>IFERROR(VLOOKUP(F33,Abilities,7,FALSE),"")</f>
        <v xml:space="preserve"> </v>
      </c>
      <c r="G34" s="130"/>
      <c r="H34" s="131"/>
      <c r="I34" s="129" t="str">
        <f>IFERROR(VLOOKUP(I33,Abilities,7,FALSE),"")</f>
        <v>If you score one or more kills on your turn, you are granted a single bonus move.</v>
      </c>
      <c r="J34" s="130"/>
      <c r="K34" s="131"/>
      <c r="L34" s="130" t="str">
        <f>IFERROR(VLOOKUP(L33,Abilities,7,FALSE),"")</f>
        <v xml:space="preserve"> </v>
      </c>
      <c r="M34" s="130"/>
      <c r="N34" s="135"/>
      <c r="O34" s="14"/>
      <c r="P34" s="14"/>
      <c r="Q34" s="3"/>
      <c r="V34" s="190" t="s">
        <v>816</v>
      </c>
      <c r="W34" s="191"/>
    </row>
    <row r="35" spans="1:23" ht="15.75" thickBot="1" x14ac:dyDescent="0.3">
      <c r="A35" s="50"/>
      <c r="B35" s="51"/>
      <c r="C35" s="51"/>
      <c r="D35" s="51"/>
      <c r="E35" s="52"/>
      <c r="F35" s="167"/>
      <c r="G35" s="147"/>
      <c r="H35" s="148"/>
      <c r="I35" s="146"/>
      <c r="J35" s="147"/>
      <c r="K35" s="148"/>
      <c r="L35" s="147"/>
      <c r="M35" s="147"/>
      <c r="N35" s="168"/>
      <c r="O35" s="14"/>
      <c r="P35" s="14"/>
      <c r="Q35" s="3"/>
      <c r="V35" s="194" t="s">
        <v>800</v>
      </c>
      <c r="W35" s="195"/>
    </row>
    <row r="36" spans="1:23" ht="18" thickBot="1" x14ac:dyDescent="0.35">
      <c r="A36" s="50"/>
      <c r="B36" s="51"/>
      <c r="C36" s="51"/>
      <c r="D36" s="51"/>
      <c r="E36" s="52"/>
      <c r="F36" s="169" t="s">
        <v>447</v>
      </c>
      <c r="G36" s="170"/>
      <c r="H36" s="170"/>
      <c r="I36" s="170"/>
      <c r="J36" s="170"/>
      <c r="K36" s="170"/>
      <c r="L36" s="170"/>
      <c r="M36" s="170"/>
      <c r="N36" s="171"/>
    </row>
    <row r="37" spans="1:23" ht="15.75" thickTop="1" x14ac:dyDescent="0.25">
      <c r="A37" s="50"/>
      <c r="B37" s="51"/>
      <c r="C37" s="51"/>
      <c r="D37" s="51"/>
      <c r="E37" s="52"/>
      <c r="F37" s="119" t="s">
        <v>600</v>
      </c>
      <c r="G37" s="120"/>
      <c r="H37" s="4" t="str">
        <f>IFERROR(VLOOKUP(F37,Abilities,4,FALSE),"")</f>
        <v>SOLW</v>
      </c>
      <c r="I37" s="121" t="s">
        <v>962</v>
      </c>
      <c r="J37" s="120"/>
      <c r="K37" s="35" t="str">
        <f>IFERROR(VLOOKUP(I37,Abilities,4,FALSE),"")</f>
        <v>BLANK</v>
      </c>
      <c r="L37" s="122" t="s">
        <v>82</v>
      </c>
      <c r="M37" s="120"/>
      <c r="N37" s="10" t="str">
        <f>IFERROR(VLOOKUP(L37,Abilities,4,FALSE),"")</f>
        <v>XCOM2</v>
      </c>
    </row>
    <row r="38" spans="1:23" x14ac:dyDescent="0.25">
      <c r="A38" s="50"/>
      <c r="B38" s="51"/>
      <c r="C38" s="51"/>
      <c r="D38" s="51"/>
      <c r="E38" s="52"/>
      <c r="F38" s="144" t="str">
        <f>IFERROR(VLOOKUP(F37,Abilities,7,FALSE),"")</f>
        <v>If you begin your turn with no enemies able to see you, you gain concealment. This effect has a 2 turn cooldown.</v>
      </c>
      <c r="G38" s="130"/>
      <c r="H38" s="131"/>
      <c r="I38" s="129" t="str">
        <f>IFERROR(VLOOKUP(I37,Abilities,7,FALSE),"")</f>
        <v xml:space="preserve"> </v>
      </c>
      <c r="J38" s="130"/>
      <c r="K38" s="131"/>
      <c r="L38" s="130" t="str">
        <f>IFERROR(VLOOKUP(L37,Abilities,7,FALSE),"")</f>
        <v>Each kill made with your sniper rifle completely restores your actions. With each consecutive kill you get a critical chance penalty. 4 turn cooldown.</v>
      </c>
      <c r="M38" s="130"/>
      <c r="N38" s="135"/>
    </row>
    <row r="39" spans="1:23" ht="15.75" thickBot="1" x14ac:dyDescent="0.3">
      <c r="A39" s="53"/>
      <c r="B39" s="54"/>
      <c r="C39" s="54"/>
      <c r="D39" s="54"/>
      <c r="E39" s="55"/>
      <c r="F39" s="167"/>
      <c r="G39" s="147"/>
      <c r="H39" s="148"/>
      <c r="I39" s="146"/>
      <c r="J39" s="147"/>
      <c r="K39" s="148"/>
      <c r="L39" s="147"/>
      <c r="M39" s="147"/>
      <c r="N39" s="168"/>
    </row>
    <row r="40" spans="1:23" ht="15" customHeight="1" x14ac:dyDescent="0.25">
      <c r="A40" s="86" t="s">
        <v>1200</v>
      </c>
      <c r="B40" s="86"/>
      <c r="C40" s="88" t="str">
        <f>SUBSTITUTE(C1," ","")</f>
        <v>Guerrilla</v>
      </c>
      <c r="D40" s="88"/>
      <c r="E40" s="88"/>
      <c r="F40" s="238"/>
      <c r="G40" s="238"/>
      <c r="H40" s="237"/>
      <c r="I40" s="237"/>
      <c r="J40" s="237"/>
    </row>
    <row r="41" spans="1:23" ht="15" customHeight="1" thickBot="1" x14ac:dyDescent="0.3">
      <c r="A41" s="87"/>
      <c r="B41" s="87"/>
      <c r="C41" s="89"/>
      <c r="D41" s="89"/>
      <c r="E41" s="89"/>
      <c r="F41" s="239"/>
      <c r="G41" s="239"/>
      <c r="H41" s="237"/>
      <c r="I41" s="237"/>
      <c r="J41" s="237"/>
    </row>
    <row r="42" spans="1:23" ht="16.5" thickBot="1" x14ac:dyDescent="0.3">
      <c r="A42" s="242" t="s">
        <v>339</v>
      </c>
      <c r="B42" s="244"/>
      <c r="C42" s="253" t="s">
        <v>342</v>
      </c>
      <c r="D42" s="247"/>
      <c r="E42" s="251" t="s">
        <v>343</v>
      </c>
      <c r="F42" s="250"/>
      <c r="G42" s="234"/>
      <c r="H42" s="235"/>
      <c r="I42" s="235"/>
      <c r="J42" s="235"/>
    </row>
    <row r="43" spans="1:23" x14ac:dyDescent="0.25">
      <c r="A43" s="243" t="str">
        <f ca="1">"; "&amp;INDIRECT("C1")&amp;" class data"</f>
        <v>; Guerrilla class data</v>
      </c>
      <c r="B43" s="234" t="s">
        <v>340</v>
      </c>
      <c r="C43" s="254" t="str">
        <f ca="1">"; "&amp;INDIRECT("C1")&amp;" class loadout"</f>
        <v>; Guerrilla class loadout</v>
      </c>
      <c r="D43" s="234" t="s">
        <v>340</v>
      </c>
      <c r="E43" s="252" t="str">
        <f ca="1">"["&amp;INDIRECT("C3")&amp;" X2SoldierClassTemplate]"</f>
        <v>[LWD_Guerrilla X2SoldierClassTemplate]</v>
      </c>
      <c r="F43" s="234" t="s">
        <v>340</v>
      </c>
      <c r="G43" s="234"/>
      <c r="H43" s="235"/>
      <c r="I43" s="235"/>
      <c r="J43" s="235"/>
    </row>
    <row r="44" spans="1:23" x14ac:dyDescent="0.25">
      <c r="A44" s="240"/>
      <c r="B44" s="234"/>
      <c r="C44" s="245"/>
      <c r="D44" s="234" t="s">
        <v>340</v>
      </c>
      <c r="E44" s="248" t="str">
        <f ca="1">"+DisplayName="""&amp;INDIRECT("C1")&amp;""""</f>
        <v>+DisplayName="Guerrilla"</v>
      </c>
      <c r="F44" s="234" t="s">
        <v>340</v>
      </c>
      <c r="G44" s="234"/>
      <c r="H44" s="235"/>
      <c r="I44" s="235"/>
      <c r="J44" s="235"/>
    </row>
    <row r="45" spans="1:23" x14ac:dyDescent="0.25">
      <c r="A45" s="240" t="str">
        <f>"[XComGame.X2SoldierClass_DefaultClasses]"</f>
        <v>[XComGame.X2SoldierClass_DefaultClasses]</v>
      </c>
      <c r="B45" s="234" t="s">
        <v>340</v>
      </c>
      <c r="C45" s="245" t="s">
        <v>341</v>
      </c>
      <c r="D45" s="234" t="s">
        <v>340</v>
      </c>
      <c r="E45" s="248" t="str">
        <f ca="1">"+ClassSummary="""&amp;INDIRECT("A20")&amp;""""</f>
        <v>+ClassSummary="The Guerrilla is a capable assassin who stays on the move and catches the enemy off-guard. They're comfortable with a variety of firearms, and carry a knife, just in case."</v>
      </c>
      <c r="F45" s="234" t="s">
        <v>340</v>
      </c>
      <c r="G45" s="234"/>
      <c r="H45" s="235"/>
      <c r="I45" s="235"/>
      <c r="J45" s="235"/>
    </row>
    <row r="46" spans="1:23" x14ac:dyDescent="0.25">
      <c r="A46" s="240" t="str">
        <f ca="1">"+SoldierClasses="&amp;INDIRECT("C3")</f>
        <v>+SoldierClasses=LWD_Guerrilla</v>
      </c>
      <c r="B46" s="234" t="s">
        <v>340</v>
      </c>
      <c r="C46" s="245"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+Loadouts=(LoadoutName="SquaddieLWD_Guerrilla", Items[0]=(Item="SniperRifle_CV"), Items[1]=(Item="CombatKnife_CV"))</v>
      </c>
      <c r="D46" s="234" t="s">
        <v>340</v>
      </c>
      <c r="E46" s="248" t="str">
        <f ca="1">"+LeftAbilityTreeTitle="""&amp;INDIRECT("F11")&amp;""""</f>
        <v>+LeftAbilityTreeTitle="Bushwhacker"</v>
      </c>
      <c r="F46" s="234" t="s">
        <v>340</v>
      </c>
      <c r="G46" s="234"/>
      <c r="H46" s="235"/>
      <c r="I46" s="234"/>
      <c r="J46" s="234"/>
    </row>
    <row r="47" spans="1:23" x14ac:dyDescent="0.25">
      <c r="A47" s="240"/>
      <c r="B47" s="234" t="s">
        <v>340</v>
      </c>
      <c r="C47" s="245"/>
      <c r="D47" s="234" t="s">
        <v>340</v>
      </c>
      <c r="E47" s="248" t="str">
        <f ca="1">"+RightAbilityTreeTitle="""&amp;INDIRECT("L11")&amp;""""</f>
        <v>+RightAbilityTreeTitle="Commando"</v>
      </c>
      <c r="F47" s="234" t="s">
        <v>340</v>
      </c>
      <c r="G47" s="234"/>
      <c r="H47" s="235"/>
      <c r="I47" s="234"/>
      <c r="J47" s="234"/>
    </row>
    <row r="48" spans="1:23" x14ac:dyDescent="0.25">
      <c r="A48" s="240" t="str">
        <f ca="1">"["&amp;INDIRECT("C3")&amp;" X2SoldierClassTemplate]"</f>
        <v>[LWD_Guerrilla X2SoldierClassTemplate]</v>
      </c>
      <c r="B48" s="234" t="s">
        <v>340</v>
      </c>
      <c r="C48" s="245" t="s">
        <v>351</v>
      </c>
      <c r="D48" s="234" t="s">
        <v>340</v>
      </c>
      <c r="E48" s="248" t="str">
        <f>"; Nicknames"</f>
        <v>; Nicknames</v>
      </c>
      <c r="F48" s="234" t="s">
        <v>340</v>
      </c>
      <c r="G48" s="234"/>
      <c r="H48" s="234"/>
      <c r="I48" s="234"/>
      <c r="J48" s="234"/>
    </row>
    <row r="49" spans="1:10" ht="15.75" thickBot="1" x14ac:dyDescent="0.3">
      <c r="A49" s="240" t="str">
        <f ca="1">"+bMultiplayerOnly="&amp;INDIRECT("E6")</f>
        <v>+bMultiplayerOnly=0</v>
      </c>
      <c r="B49" s="234" t="s">
        <v>340</v>
      </c>
      <c r="C49" s="246" t="str">
        <f ca="1">"+DEBUG_StartingSoldierClasses="""&amp;INDIRECT("C3")&amp;""""</f>
        <v>+DEBUG_StartingSoldierClasses="LWD_Guerrilla"</v>
      </c>
      <c r="D49" s="234" t="s">
        <v>340</v>
      </c>
      <c r="E49" s="248" t="str">
        <f ca="1">IF(INDIRECT("V4")&lt;&gt;"","RandomNickNames[0]="""&amp;INDIRECT("V4")&amp;"""","")</f>
        <v>RandomNickNames[0]="Grey Ghost"</v>
      </c>
      <c r="F49" s="234" t="s">
        <v>340</v>
      </c>
      <c r="G49" s="234"/>
      <c r="H49" s="234"/>
      <c r="I49" s="234"/>
      <c r="J49" s="234"/>
    </row>
    <row r="50" spans="1:10" x14ac:dyDescent="0.25">
      <c r="A50" s="240" t="str">
        <f ca="1">"+ClassPoints="&amp;INDIRECT("E7")</f>
        <v>+ClassPoints=4</v>
      </c>
      <c r="B50" s="234" t="s">
        <v>340</v>
      </c>
      <c r="C50" s="234"/>
      <c r="D50" s="234"/>
      <c r="E50" s="248" t="str">
        <f ca="1">IF(INDIRECT("V5")&lt;&gt;"","RandomNickNames[1]="""&amp;INDIRECT("V5")&amp;"""","")</f>
        <v>RandomNickNames[1]="Cavalry"</v>
      </c>
      <c r="F50" s="234" t="s">
        <v>340</v>
      </c>
      <c r="G50" s="234"/>
      <c r="H50" s="234"/>
      <c r="I50" s="234"/>
      <c r="J50" s="234"/>
    </row>
    <row r="51" spans="1:10" x14ac:dyDescent="0.25">
      <c r="A51" s="240" t="str">
        <f ca="1">"+IconImage="&amp;""""&amp;INDIRECT("E8")&amp;""""</f>
        <v>+IconImage="img:///UILibrary_SOHunter.class_survivalist"</v>
      </c>
      <c r="B51" s="234" t="s">
        <v>340</v>
      </c>
      <c r="C51" s="234"/>
      <c r="D51" s="234"/>
      <c r="E51" s="248" t="str">
        <f ca="1">IF(INDIRECT("V6")&lt;&gt;"","RandomNickNames[2]="""&amp;INDIRECT("V6")&amp;"""","")</f>
        <v>RandomNickNames[2]="Hiss"</v>
      </c>
      <c r="F51" s="234" t="s">
        <v>340</v>
      </c>
      <c r="G51" s="234"/>
      <c r="H51" s="234"/>
      <c r="I51" s="234"/>
      <c r="J51" s="234"/>
    </row>
    <row r="52" spans="1:10" x14ac:dyDescent="0.25">
      <c r="A52" s="240" t="str">
        <f ca="1">"+NumInForcedDeck="&amp;INDIRECT("E9")</f>
        <v>+NumInForcedDeck=1</v>
      </c>
      <c r="B52" s="234" t="s">
        <v>340</v>
      </c>
      <c r="C52" s="234"/>
      <c r="D52" s="234"/>
      <c r="E52" s="248" t="str">
        <f ca="1">IF(INDIRECT("V7")&lt;&gt;"","RandomNickNames[3]="""&amp;INDIRECT("V7")&amp;"""","")</f>
        <v>RandomNickNames[3]="Bishop"</v>
      </c>
      <c r="F52" s="234" t="s">
        <v>340</v>
      </c>
      <c r="G52" s="234"/>
      <c r="H52" s="234"/>
      <c r="I52" s="234"/>
      <c r="J52" s="234"/>
    </row>
    <row r="53" spans="1:10" x14ac:dyDescent="0.25">
      <c r="A53" s="240" t="str">
        <f ca="1">"+NumInDeck="&amp;INDIRECT("E10")</f>
        <v>+NumInDeck=4</v>
      </c>
      <c r="B53" s="234" t="s">
        <v>340</v>
      </c>
      <c r="C53" s="234"/>
      <c r="D53" s="234"/>
      <c r="E53" s="248" t="str">
        <f ca="1">IF(INDIRECT("V8")&lt;&gt;"","RandomNickNames[4]="""&amp;INDIRECT("V8")&amp;"""","")</f>
        <v>RandomNickNames[4]="Tootsies"</v>
      </c>
      <c r="F53" s="234" t="s">
        <v>340</v>
      </c>
      <c r="G53" s="234"/>
      <c r="H53" s="234"/>
      <c r="I53" s="234"/>
      <c r="J53" s="234"/>
    </row>
    <row r="54" spans="1:10" x14ac:dyDescent="0.25">
      <c r="A54" s="240" t="str">
        <f ca="1">"+KillAssistsPerKill="&amp;INDIRECT("E11")</f>
        <v>+KillAssistsPerKill=4</v>
      </c>
      <c r="B54" s="234" t="s">
        <v>340</v>
      </c>
      <c r="C54" s="234"/>
      <c r="D54" s="234"/>
      <c r="E54" s="248" t="str">
        <f ca="1">IF(INDIRECT("V9")&lt;&gt;"","RandomNickNames[5]="""&amp;INDIRECT("V9")&amp;"""","")</f>
        <v>RandomNickNames[5]="Breaker"</v>
      </c>
      <c r="F54" s="234" t="s">
        <v>340</v>
      </c>
      <c r="G54" s="234"/>
      <c r="H54" s="234"/>
      <c r="I54" s="234"/>
      <c r="J54" s="234"/>
    </row>
    <row r="55" spans="1:10" x14ac:dyDescent="0.25">
      <c r="A55" s="240" t="str">
        <f ca="1">"+SquaddieLoadout=Squaddie"&amp;INDIRECT("C3")</f>
        <v>+SquaddieLoadout=SquaddieLWD_Guerrilla</v>
      </c>
      <c r="B55" s="234" t="s">
        <v>340</v>
      </c>
      <c r="C55" s="234"/>
      <c r="D55" s="234"/>
      <c r="E55" s="248" t="str">
        <f ca="1">IF(INDIRECT("V10")&lt;&gt;"","RandomNickNames[6]="""&amp;INDIRECT("V10")&amp;"""","")</f>
        <v>RandomNickNames[6]="Broker"</v>
      </c>
      <c r="F55" s="234" t="s">
        <v>340</v>
      </c>
      <c r="G55" s="234"/>
      <c r="H55" s="234"/>
      <c r="I55" s="234"/>
      <c r="J55" s="234"/>
    </row>
    <row r="56" spans="1:10" x14ac:dyDescent="0.25">
      <c r="A56" s="240" t="str">
        <f ca="1">";+bAllowAWCAbilities="&amp;INDIRECT("E12")&amp;" ; Not a thing in LW2"</f>
        <v>;+bAllowAWCAbilities=1 ; Not a thing in LW2</v>
      </c>
      <c r="B56" s="234" t="s">
        <v>340</v>
      </c>
      <c r="C56" s="234"/>
      <c r="D56" s="234"/>
      <c r="E56" s="248" t="str">
        <f ca="1">IF(INDIRECT("V11")&lt;&gt;"","RandomNickNames[7]="""&amp;INDIRECT("V11")&amp;"""","")</f>
        <v>RandomNickNames[7]="Conquest"</v>
      </c>
      <c r="F56" s="234" t="s">
        <v>340</v>
      </c>
      <c r="G56" s="234"/>
      <c r="H56" s="234"/>
      <c r="I56" s="234"/>
      <c r="J56" s="234"/>
    </row>
    <row r="57" spans="1:10" x14ac:dyDescent="0.25">
      <c r="A57" s="240" t="str">
        <f ca="1">IF(INDIRECT("B5")=FALSE,";","")&amp;"+AllowedWeapons=(SlotType=eInvSlot_PrimaryWeapon, WeaponType=""rifle"")"</f>
        <v>+AllowedWeapons=(SlotType=eInvSlot_PrimaryWeapon, WeaponType="rifle")</v>
      </c>
      <c r="B57" s="234" t="s">
        <v>340</v>
      </c>
      <c r="C57" s="234"/>
      <c r="D57" s="234"/>
      <c r="E57" s="248" t="str">
        <f ca="1">IF(INDIRECT("V12")&lt;&gt;"","RandomNickNames[8]="""&amp;INDIRECT("V12")&amp;"""","")</f>
        <v>RandomNickNames[8]="Deacon"</v>
      </c>
      <c r="F57" s="234" t="s">
        <v>340</v>
      </c>
      <c r="G57" s="234"/>
      <c r="H57" s="234"/>
      <c r="I57" s="234"/>
      <c r="J57" s="234"/>
    </row>
    <row r="58" spans="1:10" x14ac:dyDescent="0.25">
      <c r="A58" s="240" t="str">
        <f ca="1">IF(INDIRECT("B6")=FALSE,";","")&amp;"+AllowedWeapons=(SlotType=eInvSlot_PrimaryWeapon, WeaponType=""cannon"")"</f>
        <v>;+AllowedWeapons=(SlotType=eInvSlot_PrimaryWeapon, WeaponType="cannon")</v>
      </c>
      <c r="B58" s="234" t="s">
        <v>340</v>
      </c>
      <c r="C58" s="234"/>
      <c r="D58" s="234"/>
      <c r="E58" s="248" t="str">
        <f ca="1">IF(INDIRECT("V13")&lt;&gt;"","RandomNickNames[9]="""&amp;INDIRECT("V13")&amp;"""","")</f>
        <v>RandomNickNames[9]="Doomtrain"</v>
      </c>
      <c r="F58" s="234" t="s">
        <v>340</v>
      </c>
      <c r="G58" s="234"/>
      <c r="H58" s="234"/>
      <c r="I58" s="234"/>
      <c r="J58" s="234"/>
    </row>
    <row r="59" spans="1:10" x14ac:dyDescent="0.25">
      <c r="A59" s="240" t="str">
        <f ca="1">IF(INDIRECT("B7")=FALSE,";","")&amp;"+AllowedWeapons=(SlotType=eInvSlot_PrimaryWeapon, WeaponType=""shotgun"")"</f>
        <v>+AllowedWeapons=(SlotType=eInvSlot_PrimaryWeapon, WeaponType="shotgun")</v>
      </c>
      <c r="B59" s="234" t="s">
        <v>340</v>
      </c>
      <c r="C59" s="234"/>
      <c r="D59" s="234"/>
      <c r="E59" s="248" t="str">
        <f ca="1">IF(INDIRECT("V14")&lt;&gt;"","RandomNickNames[10]="""&amp;INDIRECT("V14")&amp;"""","")</f>
        <v>RandomNickNames[10]="Mercury"</v>
      </c>
      <c r="F59" s="234" t="s">
        <v>340</v>
      </c>
      <c r="G59" s="234"/>
      <c r="H59" s="234"/>
      <c r="I59" s="234"/>
      <c r="J59" s="234"/>
    </row>
    <row r="60" spans="1:10" x14ac:dyDescent="0.25">
      <c r="A60" s="240" t="str">
        <f ca="1">IF(INDIRECT("B8")=FALSE,";","")&amp;"+AllowedWeapons=(SlotType=eInvSlot_PrimaryWeapon, WeaponType=""sniper_rifle"")"</f>
        <v>+AllowedWeapons=(SlotType=eInvSlot_PrimaryWeapon, WeaponType="sniper_rifle")</v>
      </c>
      <c r="B60" s="234" t="s">
        <v>340</v>
      </c>
      <c r="C60" s="234"/>
      <c r="D60" s="234"/>
      <c r="E60" s="248" t="str">
        <f ca="1">IF(INDIRECT("V15")&lt;&gt;"","RandomNickNames[11]="""&amp;INDIRECT("V15")&amp;"""","")</f>
        <v>RandomNickNames[11]="Famine"</v>
      </c>
      <c r="F60" s="234" t="s">
        <v>340</v>
      </c>
      <c r="G60" s="234"/>
      <c r="H60" s="234"/>
      <c r="I60" s="234"/>
      <c r="J60" s="234"/>
    </row>
    <row r="61" spans="1:10" x14ac:dyDescent="0.25">
      <c r="A61" s="240" t="str">
        <f ca="1">IF(INDIRECT("B9")=FALSE,";","")&amp;"+AllowedWeapons=(SlotType=eInvSlot_SecondaryWeapon, WeaponType=""gauntlet"")"</f>
        <v>;+AllowedWeapons=(SlotType=eInvSlot_SecondaryWeapon, WeaponType="gauntlet")</v>
      </c>
      <c r="B61" s="234" t="s">
        <v>340</v>
      </c>
      <c r="C61" s="234"/>
      <c r="D61" s="234"/>
      <c r="E61" s="248" t="str">
        <f ca="1">IF(INDIRECT("V16")&lt;&gt;"","RandomNickNames[12]="""&amp;INDIRECT("V16")&amp;"""","")</f>
        <v>RandomNickNames[12]="Feedback"</v>
      </c>
      <c r="F61" s="234" t="s">
        <v>340</v>
      </c>
      <c r="G61" s="234"/>
      <c r="H61" s="234"/>
      <c r="I61" s="234"/>
      <c r="J61" s="234"/>
    </row>
    <row r="62" spans="1:10" x14ac:dyDescent="0.25">
      <c r="A62" s="240" t="str">
        <f ca="1">IF(INDIRECT("B10")=FALSE,";","")&amp;"+AllowedWeapons=(SlotType=eInvSlot_SecondaryWeapon, WeaponType=""combatknife"")"</f>
        <v>+AllowedWeapons=(SlotType=eInvSlot_SecondaryWeapon, WeaponType="combatknife")</v>
      </c>
      <c r="B62" s="234" t="s">
        <v>340</v>
      </c>
      <c r="C62" s="234"/>
      <c r="D62" s="234"/>
      <c r="E62" s="248" t="str">
        <f ca="1">IF(INDIRECT("V17")&lt;&gt;"","RandomNickNames[13]="""&amp;INDIRECT("V17")&amp;"""","")</f>
        <v>RandomNickNames[13]="Firewall"</v>
      </c>
      <c r="F62" s="234" t="s">
        <v>340</v>
      </c>
      <c r="G62" s="234"/>
      <c r="H62" s="234"/>
      <c r="I62" s="234"/>
      <c r="J62" s="234"/>
    </row>
    <row r="63" spans="1:10" x14ac:dyDescent="0.25">
      <c r="A63" s="240" t="str">
        <f ca="1">IF(INDIRECT("B11")=FALSE,";","")&amp;"+AllowedWeapons=(SlotType=eInvSlot_SecondaryWeapon, WeaponType=""grenade_launcher"")"</f>
        <v>;+AllowedWeapons=(SlotType=eInvSlot_SecondaryWeapon, WeaponType="grenade_launcher")</v>
      </c>
      <c r="B63" s="234" t="s">
        <v>340</v>
      </c>
      <c r="C63" s="234"/>
      <c r="D63" s="234"/>
      <c r="E63" s="248" t="str">
        <f ca="1">IF(INDIRECT("V18")&lt;&gt;"","RandomNickNames[14]="""&amp;INDIRECT("V18")&amp;"""","")</f>
        <v>RandomNickNames[14]="Genius"</v>
      </c>
      <c r="F63" s="234" t="s">
        <v>340</v>
      </c>
      <c r="G63" s="234"/>
      <c r="H63" s="234"/>
      <c r="I63" s="234"/>
      <c r="J63" s="234"/>
    </row>
    <row r="64" spans="1:10" x14ac:dyDescent="0.25">
      <c r="A64" s="240" t="str">
        <f ca="1">IF(INDIRECT("B12")=FALSE,";","")&amp;"+AllowedWeapons=(SlotType=eInvSlot_SecondaryWeapon, WeaponType=""gremlin"")"</f>
        <v>;+AllowedWeapons=(SlotType=eInvSlot_SecondaryWeapon, WeaponType="gremlin")</v>
      </c>
      <c r="B64" s="234" t="s">
        <v>340</v>
      </c>
      <c r="C64" s="234"/>
      <c r="D64" s="234"/>
      <c r="E64" s="248" t="str">
        <f ca="1">IF(INDIRECT("V19")&lt;&gt;"","RandomNickNames[15]="""&amp;INDIRECT("V19")&amp;"""","")</f>
        <v>RandomNickNames[15]="Gizmo"</v>
      </c>
      <c r="F64" s="234" t="s">
        <v>340</v>
      </c>
      <c r="G64" s="234"/>
      <c r="H64" s="234"/>
      <c r="I64" s="234"/>
      <c r="J64" s="234"/>
    </row>
    <row r="65" spans="1:10" x14ac:dyDescent="0.25">
      <c r="A65" s="240" t="str">
        <f ca="1">IF(INDIRECT("B13")=FALSE,";","")&amp;"+AllowedWeapons=(SlotType=eInvSlot_SecondaryWeapon, WeaponType=""sword"")"</f>
        <v>;+AllowedWeapons=(SlotType=eInvSlot_SecondaryWeapon, WeaponType="sword")</v>
      </c>
      <c r="B65" s="234" t="s">
        <v>340</v>
      </c>
      <c r="C65" s="234"/>
      <c r="D65" s="234"/>
      <c r="E65" s="248" t="str">
        <f ca="1">IF(INDIRECT("V20")&lt;&gt;"","RandomNickNames[16]="""&amp;INDIRECT("V20")&amp;"""","")</f>
        <v>RandomNickNames[16]="Jester"</v>
      </c>
      <c r="F65" s="234" t="s">
        <v>340</v>
      </c>
      <c r="G65" s="234"/>
      <c r="H65" s="234"/>
      <c r="I65" s="234"/>
      <c r="J65" s="234"/>
    </row>
    <row r="66" spans="1:10" x14ac:dyDescent="0.25">
      <c r="A66" s="240" t="str">
        <f ca="1">IF(INDIRECT("B14")=FALSE,";","")&amp;"+AllowedWeapons=(SlotType=eInvSlot_SecondaryWeapon, WeaponType=""sawedoffshotgun"")"</f>
        <v>;+AllowedWeapons=(SlotType=eInvSlot_SecondaryWeapon, WeaponType="sawedoffshotgun")</v>
      </c>
      <c r="B66" s="234" t="s">
        <v>340</v>
      </c>
      <c r="C66" s="234"/>
      <c r="D66" s="234"/>
      <c r="E66" s="248" t="str">
        <f ca="1">IF(INDIRECT("V21")&lt;&gt;"","RandomNickNames[17]="""&amp;INDIRECT("V21")&amp;"""","")</f>
        <v>RandomNickNames[17]="Jolt"</v>
      </c>
      <c r="F66" s="234" t="s">
        <v>340</v>
      </c>
      <c r="G66" s="234"/>
      <c r="H66" s="234"/>
      <c r="I66" s="234"/>
      <c r="J66" s="234"/>
    </row>
    <row r="67" spans="1:10" x14ac:dyDescent="0.25">
      <c r="A67" s="240" t="str">
        <f ca="1">IF(INDIRECT("B15")=FALSE,";","")&amp;"+AllowedWeapons=(SlotType=eInvSlot_SecondaryWeapon, WeaponType=""arcthrower"")"</f>
        <v>;+AllowedWeapons=(SlotType=eInvSlot_SecondaryWeapon, WeaponType="arcthrower")</v>
      </c>
      <c r="B67" s="234" t="s">
        <v>340</v>
      </c>
      <c r="C67" s="234"/>
      <c r="D67" s="234"/>
      <c r="E67" s="248" t="str">
        <f ca="1">IF(INDIRECT("V22")&lt;&gt;"","RandomNickNames[18]="""&amp;INDIRECT("V22")&amp;"""","")</f>
        <v>RandomNickNames[18]="Lightning"</v>
      </c>
      <c r="F67" s="234" t="s">
        <v>340</v>
      </c>
      <c r="G67" s="234"/>
      <c r="H67" s="234"/>
      <c r="I67" s="234"/>
      <c r="J67" s="234"/>
    </row>
    <row r="68" spans="1:10" x14ac:dyDescent="0.25">
      <c r="A68" s="240" t="str">
        <f ca="1">IF(INDIRECT("B16")=FALSE,";","")&amp;"+AllowedWeapons=(SlotType=eInvSlot_SecondaryWeapon, WeaponType=""holotargeter"")"</f>
        <v>;+AllowedWeapons=(SlotType=eInvSlot_SecondaryWeapon, WeaponType="holotargeter")</v>
      </c>
      <c r="B68" s="234" t="s">
        <v>340</v>
      </c>
      <c r="C68" s="234"/>
      <c r="D68" s="234"/>
      <c r="E68" s="248" t="str">
        <f ca="1">IF(INDIRECT("V23")&lt;&gt;"","RandomNickNames[19]="""&amp;INDIRECT("V23")&amp;"""","")</f>
        <v>RandomNickNames[19]="Mayday"</v>
      </c>
      <c r="F68" s="234" t="s">
        <v>340</v>
      </c>
      <c r="G68" s="234"/>
      <c r="H68" s="234"/>
      <c r="I68" s="234"/>
      <c r="J68" s="234"/>
    </row>
    <row r="69" spans="1:10" x14ac:dyDescent="0.25">
      <c r="A69" s="240" t="str">
        <f ca="1">IF(INDIRECT("B17")=FALSE,";","")&amp;"+AllowedWeapons=(SlotType=eInvSlot_SecondaryWeapon, WeaponType=""psiamp"")"</f>
        <v>;+AllowedWeapons=(SlotType=eInvSlot_SecondaryWeapon, WeaponType="psiamp")</v>
      </c>
      <c r="B69" s="234" t="s">
        <v>340</v>
      </c>
      <c r="C69" s="234"/>
      <c r="D69" s="234"/>
      <c r="E69" s="248" t="str">
        <f ca="1">IF(INDIRECT("V24")&lt;&gt;"","RandomNickNames[20]="""&amp;INDIRECT("V24")&amp;"""","")</f>
        <v>RandomNickNames[20]="Mega"</v>
      </c>
      <c r="F69" s="234" t="s">
        <v>340</v>
      </c>
      <c r="G69" s="234"/>
      <c r="H69" s="234"/>
      <c r="I69" s="234"/>
      <c r="J69" s="234"/>
    </row>
    <row r="70" spans="1:10" x14ac:dyDescent="0.25">
      <c r="A70" s="240" t="str">
        <f ca="1">IF(INDIRECT("B9")=FALSE,";","")&amp;"+AllowedWeapons=(SlotType=eInvSlot_HeavyWeapon, WeaponType=""heavyammo"")"</f>
        <v>;+AllowedWeapons=(SlotType=eInvSlot_HeavyWeapon, WeaponType="heavyammo")</v>
      </c>
      <c r="B70" s="234" t="s">
        <v>340</v>
      </c>
      <c r="C70" s="234"/>
      <c r="D70" s="234"/>
      <c r="E70" s="248" t="str">
        <f ca="1">IF(INDIRECT("V25")&lt;&gt;"","RandomNickNames[21]="""&amp;INDIRECT("V25")&amp;"""","")</f>
        <v>RandomNickNames[21]="Newton"</v>
      </c>
      <c r="F70" s="234" t="s">
        <v>340</v>
      </c>
      <c r="G70" s="234"/>
      <c r="H70" s="234"/>
      <c r="I70" s="234"/>
      <c r="J70" s="234"/>
    </row>
    <row r="71" spans="1:10" x14ac:dyDescent="0.25">
      <c r="A71" s="240" t="str">
        <f ca="1">IF(INDIRECT("B9")=TRUE,";","")&amp;"+AllowedWeapons=(SlotType=eInvSlot_HeavyWeapon, WeaponType=""heavy"")"</f>
        <v>+AllowedWeapons=(SlotType=eInvSlot_HeavyWeapon, WeaponType="heavy")</v>
      </c>
      <c r="B71" s="234" t="s">
        <v>340</v>
      </c>
      <c r="C71" s="234"/>
      <c r="D71" s="234"/>
      <c r="E71" s="248" t="str">
        <f ca="1">IF(INDIRECT("V26")&lt;&gt;"","RandomNickNames[22]="""&amp;INDIRECT("V26")&amp;"""","")</f>
        <v>RandomNickNames[22]="Ragtime"</v>
      </c>
      <c r="F71" s="234" t="s">
        <v>340</v>
      </c>
      <c r="G71" s="234"/>
      <c r="H71" s="234"/>
      <c r="I71" s="234"/>
      <c r="J71" s="234"/>
    </row>
    <row r="72" spans="1:10" x14ac:dyDescent="0.25">
      <c r="A72" s="240" t="str">
        <f ca="1">"+AllowedArmors="&amp;INDIRECT("E13")</f>
        <v>+AllowedArmors=soldier</v>
      </c>
      <c r="B72" s="234" t="s">
        <v>340</v>
      </c>
      <c r="C72" s="234"/>
      <c r="D72" s="234"/>
      <c r="E72" s="248" t="str">
        <f ca="1">IF(INDIRECT("V27")&lt;&gt;"","RandomNickNames[23]="""&amp;INDIRECT("V27")&amp;"""","")</f>
        <v>RandomNickNames[23]="Rascal"</v>
      </c>
      <c r="F72" s="234" t="s">
        <v>340</v>
      </c>
      <c r="G72" s="234"/>
      <c r="H72" s="234"/>
      <c r="I72" s="234"/>
      <c r="J72" s="234"/>
    </row>
    <row r="73" spans="1:10" x14ac:dyDescent="0.25">
      <c r="A73" s="240" t="str">
        <f>"; squaddie"</f>
        <v>; squaddie</v>
      </c>
      <c r="B73" s="234" t="s">
        <v>340</v>
      </c>
      <c r="C73" s="234"/>
      <c r="D73" s="234"/>
      <c r="E73" s="248" t="str">
        <f ca="1">IF(INDIRECT("V28")&lt;&gt;"","RandomNickNames[24]="""&amp;INDIRECT("V28")&amp;"""","")</f>
        <v>RandomNickNames[24]="Rattler"</v>
      </c>
      <c r="F73" s="234" t="s">
        <v>340</v>
      </c>
      <c r="G73" s="234"/>
      <c r="H73" s="234"/>
      <c r="I73" s="234"/>
      <c r="J73" s="234"/>
    </row>
    <row r="74" spans="1:10" x14ac:dyDescent="0.25">
      <c r="A74" s="240" t="str">
        <f ca="1">"+SoldierRanks=(  aAbilityTree=( (AbilityName="""&amp;VLOOKUP(INDIRECT("F4"),Abilities,2,FALSE)&amp;""""&amp;IF(VLOOKUP(INDIRECT("F4"),Abilities,3,FALSE)="","",", ApplyToWeaponSlot=eInvSlot_"&amp;VLOOKUP(INDIRECT("F4"),Abilities,3,FALSE))&amp;"), \\"</f>
        <v>+SoldierRanks=(  aAbilityTree=( (AbilityName="LWD_Jab", ApplyToWeaponSlot=eInvSlot_SecondaryWeapon), \\</v>
      </c>
      <c r="B74" s="234" t="s">
        <v>340</v>
      </c>
      <c r="C74" s="234"/>
      <c r="D74" s="234"/>
      <c r="E74" s="248" t="str">
        <f ca="1">IF(INDIRECT("V29")&lt;&gt;"","RandomNickNames[25]="""&amp;INDIRECT("V29")&amp;"""","")</f>
        <v>RandomNickNames[25]="Revelation"</v>
      </c>
      <c r="F74" s="234" t="s">
        <v>340</v>
      </c>
      <c r="G74" s="234"/>
      <c r="H74" s="234"/>
      <c r="I74" s="234"/>
      <c r="J74" s="234"/>
    </row>
    <row r="75" spans="1:10" x14ac:dyDescent="0.25">
      <c r="A75" s="240" t="str">
        <f ca="1">IF(INDIRECT("I4")="","\\","(AbilityName="""&amp;VLOOKUP(INDIRECT("I4"),Abilities,2,FALSE)&amp;""""&amp;IF(VLOOKUP(INDIRECT("I4"),Abilities,3,FALSE)="","",", ApplyToWeaponSlot=eInvSlot_"&amp;VLOOKUP(INDIRECT("I4"),Abilities,3,FALSE))&amp;"), \\")</f>
        <v>(AbilityName="ShadowOps_Reposition", ApplyToWeaponSlot=eInvSlot_PrimaryWeapon), \\</v>
      </c>
      <c r="B75" s="234" t="s">
        <v>340</v>
      </c>
      <c r="C75" s="234"/>
      <c r="D75" s="234"/>
      <c r="E75" s="248" t="str">
        <f ca="1">IF(INDIRECT("V30")&lt;&gt;"","RandomNickNames[26]="""&amp;INDIRECT("V30")&amp;"""","")</f>
        <v>RandomNickNames[26]="Skipper"</v>
      </c>
      <c r="F75" s="234" t="s">
        <v>340</v>
      </c>
      <c r="G75" s="234"/>
      <c r="H75" s="234"/>
      <c r="I75" s="234"/>
      <c r="J75" s="234"/>
    </row>
    <row r="76" spans="1:10" x14ac:dyDescent="0.25">
      <c r="A76" s="240" t="str">
        <f ca="1">IF(INDIRECT("L4")="","\\","(AbilityName="""&amp;VLOOKUP(INDIRECT("L4"),Abilities,2,FALSE)&amp;""""&amp;IF(VLOOKUP(INDIRECT("L4"),Abilities,3,FALSE)="","",", ApplyToWeaponSlot=eInvSlot_"&amp;VLOOKUP(INDIRECT("L4"),Abilities,3,FALSE))&amp;"), \\")</f>
        <v>\\</v>
      </c>
      <c r="B76" s="234" t="s">
        <v>340</v>
      </c>
      <c r="C76" s="234"/>
      <c r="D76" s="234"/>
      <c r="E76" s="248" t="str">
        <f ca="1">IF(INDIRECT("V31")&lt;&gt;"","RandomNickNames[27]="""&amp;INDIRECT("V31")&amp;"""","")</f>
        <v>RandomNickNames[27]="Thunder"</v>
      </c>
      <c r="F76" s="234" t="s">
        <v>340</v>
      </c>
      <c r="G76" s="234"/>
      <c r="H76" s="234"/>
      <c r="I76" s="234"/>
      <c r="J76" s="234"/>
    </row>
    <row r="77" spans="1:10" x14ac:dyDescent="0.25">
      <c r="A77" s="240" t="str">
        <f ca="1">IF(INDIRECT("F7")="","\\","(AbilityName="""&amp;VLOOKUP(INDIRECT("F7"),Abilities,2,FALSE)&amp;""""&amp;IF(VLOOKUP(INDIRECT("F7"),Abilities,3,FALSE)="","",", ApplyToWeaponSlot=eInvSlot_"&amp;VLOOKUP(INDIRECT("F7"),Abilities,3,FALSE))&amp;"), \\")</f>
        <v>\\</v>
      </c>
      <c r="B77" s="234" t="s">
        <v>340</v>
      </c>
      <c r="C77" s="234"/>
      <c r="D77" s="234"/>
      <c r="E77" s="248" t="str">
        <f ca="1">IF(INDIRECT("V32")&lt;&gt;"","RandomNickNames[28]="""&amp;INDIRECT("V32")&amp;"""","")</f>
        <v>RandomNickNames[28]="Undertaker"</v>
      </c>
      <c r="F77" s="234" t="s">
        <v>340</v>
      </c>
      <c r="G77" s="234"/>
      <c r="H77" s="234"/>
      <c r="I77" s="234"/>
      <c r="J77" s="234"/>
    </row>
    <row r="78" spans="1:10" x14ac:dyDescent="0.25">
      <c r="A78" s="240" t="str">
        <f ca="1">IF(INDIRECT("I7")="","\\","(AbilityName="""&amp;VLOOKUP(INDIRECT("I7"),Abilities,2,FALSE)&amp;""""&amp;IF(VLOOKUP(INDIRECT("I7"),Abilities,3,FALSE)="","",", ApplyToWeaponSlot=eInvSlot_"&amp;VLOOKUP(INDIRECT("I7"),Abilities,3,FALSE))&amp;"), \\")</f>
        <v>\\</v>
      </c>
      <c r="B78" s="234" t="s">
        <v>340</v>
      </c>
      <c r="C78" s="234"/>
      <c r="D78" s="234"/>
      <c r="E78" s="248" t="str">
        <f ca="1">IF(INDIRECT("V33")&lt;&gt;"","RandomNickNames[29]="""&amp;INDIRECT("V33")&amp;"""","")</f>
        <v>RandomNickNames[29]="War"</v>
      </c>
      <c r="F78" s="234" t="s">
        <v>340</v>
      </c>
      <c r="G78" s="234"/>
      <c r="H78" s="234"/>
      <c r="I78" s="234"/>
      <c r="J78" s="234"/>
    </row>
    <row r="79" spans="1:10" x14ac:dyDescent="0.25">
      <c r="A79" s="240" t="str">
        <f ca="1">IF(INDIRECT("L7")="","\\","(AbilityName="""&amp;VLOOKUP(INDIRECT("L7"),Abilities,2,FALSE)&amp;""""&amp;IF(VLOOKUP(INDIRECT("L7"),Abilities,3,FALSE)="","",", ApplyToWeaponSlot=eInvSlot_"&amp;VLOOKUP(INDIRECT("L7"),Abilities,3,FALSE))&amp;"), \\")</f>
        <v>\\</v>
      </c>
      <c r="B79" s="234" t="s">
        <v>340</v>
      </c>
      <c r="C79" s="234"/>
      <c r="D79" s="234"/>
      <c r="E79" s="248" t="str">
        <f ca="1">IF(INDIRECT("V34")&lt;&gt;"","RandomNickNames[30]="""&amp;INDIRECT("V34")&amp;"""","")</f>
        <v>RandomNickNames[30]="Whoopsie"</v>
      </c>
      <c r="F79" s="234" t="s">
        <v>340</v>
      </c>
      <c r="G79" s="234"/>
      <c r="H79" s="234"/>
      <c r="I79" s="234"/>
      <c r="J79" s="234"/>
    </row>
    <row r="80" spans="1:10" x14ac:dyDescent="0.25">
      <c r="A80" s="240" t="s">
        <v>337</v>
      </c>
      <c r="B80" s="234" t="s">
        <v>340</v>
      </c>
      <c r="C80" s="234"/>
      <c r="D80" s="234"/>
      <c r="E80" s="248" t="str">
        <f ca="1">IF(INDIRECT("V35")&lt;&gt;"","RandomNickNames[31]="""&amp;INDIRECT("V35")&amp;"""","")</f>
        <v>RandomNickNames[31]="Zulu"</v>
      </c>
      <c r="F80" s="234" t="s">
        <v>340</v>
      </c>
      <c r="G80" s="234"/>
      <c r="H80" s="234"/>
      <c r="I80" s="234"/>
      <c r="J80" s="234"/>
    </row>
    <row r="81" spans="1:10" x14ac:dyDescent="0.25">
      <c r="A81" s="240"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aStatProgression=((StatType=eStat_Offense,StatAmount=4), (StatType=eStat_HP,StatAmount=0), (StatType=eStat_Hacking,StatAmount=0), (StatType=eStat_CombatSims,StatAmount=1), (StatType=eStat_Will,StatAmount=4), (StatType=eStat_Dodge,StatAmount=2)),\\</v>
      </c>
      <c r="B81" s="234" t="s">
        <v>340</v>
      </c>
      <c r="C81" s="234"/>
      <c r="D81" s="234"/>
      <c r="E81" s="248" t="str">
        <f>"; Male Nicknames"</f>
        <v>; Male Nicknames</v>
      </c>
      <c r="F81" s="234" t="s">
        <v>340</v>
      </c>
      <c r="G81" s="234"/>
      <c r="H81" s="234"/>
      <c r="I81" s="234"/>
      <c r="J81" s="234"/>
    </row>
    <row r="82" spans="1:10" x14ac:dyDescent="0.25">
      <c r="A82" s="240" t="s">
        <v>338</v>
      </c>
      <c r="B82" s="234" t="s">
        <v>340</v>
      </c>
      <c r="C82" s="234"/>
      <c r="D82" s="234"/>
      <c r="E82" s="248" t="str">
        <f ca="1">IF(INDIRECT("X4")&lt;&gt;"","RandomNickNames_Male[0]="""&amp;INDIRECT("X4")&amp;"""","")</f>
        <v>RandomNickNames_Male[0]="Candyman"</v>
      </c>
      <c r="F82" s="234" t="s">
        <v>340</v>
      </c>
      <c r="G82" s="234"/>
      <c r="H82" s="234"/>
      <c r="I82" s="234"/>
      <c r="J82" s="234"/>
    </row>
    <row r="83" spans="1:10" x14ac:dyDescent="0.25">
      <c r="A83" s="240" t="str">
        <f>"; lance corporal"</f>
        <v>; lance corporal</v>
      </c>
      <c r="B83" s="234" t="s">
        <v>340</v>
      </c>
      <c r="C83" s="234"/>
      <c r="D83" s="234"/>
      <c r="E83" s="248" t="str">
        <f ca="1">IF(INDIRECT("X5")&lt;&gt;"","RandomNickNames_Male[1]="""&amp;INDIRECT("X5")&amp;"""","")</f>
        <v>RandomNickNames_Male[1]="Magic Man"</v>
      </c>
      <c r="F83" s="234" t="s">
        <v>340</v>
      </c>
      <c r="G83" s="234"/>
      <c r="H83" s="234"/>
      <c r="I83" s="234"/>
      <c r="J83" s="234"/>
    </row>
    <row r="84" spans="1:10" x14ac:dyDescent="0.25">
      <c r="A84" s="240" t="str">
        <f ca="1">"+SoldierRanks=(  aAbilityTree=( (AbilityName="""&amp;VLOOKUP(INDIRECT("F13"),Abilities,2,FALSE)&amp;""""&amp;IF(VLOOKUP(INDIRECT("F13"),Abilities,3,FALSE)="","",", ApplyToWeaponSlot=eInvSlot_"&amp;VLOOKUP(INDIRECT("F13"),Abilities,3,FALSE))&amp;"), \\"</f>
        <v>+SoldierRanks=(  aAbilityTree=( (AbilityName="LowProfile"), \\</v>
      </c>
      <c r="B84" s="234" t="s">
        <v>340</v>
      </c>
      <c r="C84" s="234"/>
      <c r="D84" s="234"/>
      <c r="E84" s="248" t="str">
        <f ca="1">IF(INDIRECT("X6")&lt;&gt;"","RandomNickNames_Male[2]="""&amp;INDIRECT("X6")&amp;"""","")</f>
        <v>RandomNickNames_Male[2]="Priest"</v>
      </c>
      <c r="F84" s="234" t="s">
        <v>340</v>
      </c>
      <c r="G84" s="234"/>
      <c r="H84" s="234"/>
      <c r="I84" s="234"/>
      <c r="J84" s="234"/>
    </row>
    <row r="85" spans="1:10" x14ac:dyDescent="0.25">
      <c r="A85" s="240" t="str">
        <f ca="1">IF(INDIRECT("I13")="","\\","(AbilityName="""&amp;VLOOKUP(INDIRECT("I13"),Abilities,2,FALSE)&amp;""""&amp;IF(VLOOKUP(INDIRECT("I13"),Abilities,3,FALSE)="","",", ApplyToWeaponSlot=eInvSlot_"&amp;VLOOKUP(INDIRECT("I13"),Abilities,3,FALSE))&amp;"), \\")</f>
        <v>(AbilityName=" "), \\</v>
      </c>
      <c r="B85" s="234" t="s">
        <v>340</v>
      </c>
      <c r="C85" s="234"/>
      <c r="D85" s="234"/>
      <c r="E85" s="248" t="str">
        <f ca="1">IF(INDIRECT("X7")&lt;&gt;"","RandomNickNames_Male[3]="""&amp;INDIRECT("X7")&amp;"""","")</f>
        <v>RandomNickNames_Male[3]="Rainman"</v>
      </c>
      <c r="F85" s="234" t="s">
        <v>340</v>
      </c>
      <c r="G85" s="234"/>
      <c r="H85" s="234"/>
      <c r="I85" s="234"/>
      <c r="J85" s="234"/>
    </row>
    <row r="86" spans="1:10" x14ac:dyDescent="0.25">
      <c r="A86" s="240" t="str">
        <f ca="1">IF(INDIRECT("L13")="","\\","(AbilityName="""&amp;VLOOKUP(INDIRECT("L13"),Abilities,2,FALSE)&amp;""""&amp;IF(VLOOKUP(INDIRECT("L13"),Abilities,3,FALSE)="","",", ApplyToWeaponSlot=eInvSlot_"&amp;VLOOKUP(INDIRECT("L13"),Abilities,3,FALSE))&amp;"), \\")</f>
        <v>(AbilityName="Cutthroat", ApplyToWeaponSlot=eInvSlot_SecondaryWeapon), \\</v>
      </c>
      <c r="B86" s="234" t="s">
        <v>340</v>
      </c>
      <c r="C86" s="234"/>
      <c r="D86" s="234"/>
      <c r="E86" s="248" t="str">
        <f ca="1">IF(INDIRECT("X8")&lt;&gt;"","RandomNickNames_Male[4]="""&amp;INDIRECT("X8")&amp;"""","")</f>
        <v>RandomNickNames_Male[4]="Rooster"</v>
      </c>
      <c r="F86" s="234" t="s">
        <v>340</v>
      </c>
      <c r="G86" s="234"/>
      <c r="H86" s="234"/>
      <c r="I86" s="234"/>
      <c r="J86" s="234"/>
    </row>
    <row r="87" spans="1:10" x14ac:dyDescent="0.25">
      <c r="A87" s="240" t="s">
        <v>337</v>
      </c>
      <c r="B87" s="234" t="s">
        <v>340</v>
      </c>
      <c r="C87" s="234"/>
      <c r="D87" s="234"/>
      <c r="E87" s="248" t="str">
        <f>"; Female Nicknames"</f>
        <v>; Female Nicknames</v>
      </c>
      <c r="F87" s="234" t="s">
        <v>340</v>
      </c>
      <c r="G87" s="234"/>
      <c r="H87" s="234"/>
      <c r="I87" s="234"/>
      <c r="J87" s="234"/>
    </row>
    <row r="88" spans="1:10" x14ac:dyDescent="0.25">
      <c r="A88" s="240"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aStatProgression=((StatType=eStat_Offense,StatAmount=3), (StatType=eStat_HP,StatAmount=0), (StatType=eStat_Hacking,StatAmount=0), (StatType=eStat_Will,StatAmount=4), (StatType=eStat_Dodge,StatAmount=1)),\\</v>
      </c>
      <c r="B88" s="234" t="s">
        <v>340</v>
      </c>
      <c r="C88" s="234"/>
      <c r="D88" s="234"/>
      <c r="E88" s="248" t="str">
        <f ca="1">IF(INDIRECT("X10")&lt;&gt;"","RandomNickNames_Female[0]="""&amp;INDIRECT("X10")&amp;"""","")</f>
        <v>RandomNickNames_Female[0]="Priestess"</v>
      </c>
      <c r="F88" s="234" t="s">
        <v>340</v>
      </c>
      <c r="G88" s="234"/>
      <c r="H88" s="234"/>
      <c r="I88" s="234"/>
      <c r="J88" s="234"/>
    </row>
    <row r="89" spans="1:10" x14ac:dyDescent="0.25">
      <c r="A89" s="240" t="s">
        <v>338</v>
      </c>
      <c r="B89" s="234" t="s">
        <v>340</v>
      </c>
      <c r="C89" s="234"/>
      <c r="D89" s="234"/>
      <c r="E89" s="248" t="str">
        <f ca="1">IF(INDIRECT("X11")&lt;&gt;"","RandomNickNames_Female[1]="""&amp;INDIRECT("X11")&amp;"""","")</f>
        <v>RandomNickNames_Female[1]="Wolfmother"</v>
      </c>
      <c r="F89" s="234" t="s">
        <v>340</v>
      </c>
      <c r="G89" s="234"/>
      <c r="H89" s="234"/>
      <c r="I89" s="234"/>
      <c r="J89" s="234"/>
    </row>
    <row r="90" spans="1:10" x14ac:dyDescent="0.25">
      <c r="A90" s="240" t="str">
        <f>"; corporal"</f>
        <v>; corporal</v>
      </c>
      <c r="B90" s="234" t="s">
        <v>340</v>
      </c>
      <c r="C90" s="234"/>
      <c r="D90" s="234"/>
      <c r="E90" s="248" t="str">
        <f ca="1">IF(INDIRECT("X12")&lt;&gt;"","RandomNickNames_Female[2]="""&amp;INDIRECT("X12")&amp;"""","")</f>
        <v>RandomNickNames_Female[2]="Black Widow"</v>
      </c>
      <c r="F90" s="234" t="s">
        <v>340</v>
      </c>
      <c r="G90" s="234"/>
      <c r="H90" s="234"/>
      <c r="I90" s="234"/>
      <c r="J90" s="234"/>
    </row>
    <row r="91" spans="1:10" x14ac:dyDescent="0.25">
      <c r="A91" s="240" t="str">
        <f ca="1">"+SoldierRanks=(  aAbilityTree=( (AbilityName="""&amp;VLOOKUP(INDIRECT("F17"),Abilities,2,FALSE)&amp;""""&amp;IF(VLOOKUP(INDIRECT("F17"),Abilities,3,FALSE)="","",", ApplyToWeaponSlot=eInvSlot_"&amp;VLOOKUP(INDIRECT("F17"),Abilities,3,FALSE))&amp;"), \\"</f>
        <v>+SoldierRanks=(  aAbilityTree=( (AbilityName=" "), \\</v>
      </c>
      <c r="B91" s="234" t="s">
        <v>340</v>
      </c>
      <c r="C91" s="234"/>
      <c r="D91" s="234"/>
      <c r="E91" s="248" t="str">
        <f ca="1">IF(INDIRECT("X13")&lt;&gt;"","RandomNickNames_Female[3]="""&amp;INDIRECT("X13")&amp;"""","")</f>
        <v>RandomNickNames_Female[3]="Duchess"</v>
      </c>
      <c r="F91" s="234" t="s">
        <v>340</v>
      </c>
      <c r="G91" s="234"/>
      <c r="H91" s="234"/>
      <c r="I91" s="234"/>
      <c r="J91" s="234"/>
    </row>
    <row r="92" spans="1:10" ht="15.75" thickBot="1" x14ac:dyDescent="0.3">
      <c r="A92" s="240" t="str">
        <f ca="1">IF(INDIRECT("I17")="","\\","(AbilityName="""&amp;VLOOKUP(INDIRECT("I17"),Abilities,2,FALSE)&amp;""""&amp;IF(VLOOKUP(INDIRECT("I17"),Abilities,3,FALSE)="","",", ApplyToWeaponSlot=eInvSlot_"&amp;VLOOKUP(INDIRECT("I17"),Abilities,3,FALSE))&amp;"), \\")</f>
        <v>(AbilityName="Shadowstrike_LW", ApplyToWeaponSlot=eInvSlot_PrimaryWeapon ), \\</v>
      </c>
      <c r="B92" s="234" t="s">
        <v>340</v>
      </c>
      <c r="C92" s="234"/>
      <c r="D92" s="234"/>
      <c r="E92" s="249" t="str">
        <f ca="1">IF(INDIRECT("X14")&lt;&gt;"","RandomNickNames_Female[4]="""&amp;INDIRECT("X14")&amp;"""","")</f>
        <v>RandomNickNames_Female[4]="Queen"</v>
      </c>
      <c r="F92" s="234" t="s">
        <v>340</v>
      </c>
      <c r="G92" s="234"/>
      <c r="H92" s="234"/>
      <c r="I92" s="234"/>
      <c r="J92" s="234"/>
    </row>
    <row r="93" spans="1:10" x14ac:dyDescent="0.25">
      <c r="A93" s="240" t="str">
        <f ca="1">IF(INDIRECT("L17")="","\\","(AbilityName="""&amp;VLOOKUP(INDIRECT("L17"),Abilities,2,FALSE)&amp;""""&amp;IF(VLOOKUP(INDIRECT("L17"),Abilities,3,FALSE)="","",", ApplyToWeaponSlot=eInvSlot_"&amp;VLOOKUP(INDIRECT("L17"),Abilities,3,FALSE))&amp;"), \\")</f>
        <v>(AbilityName=" "), \\</v>
      </c>
      <c r="B93" s="234" t="s">
        <v>340</v>
      </c>
      <c r="C93" s="234"/>
      <c r="D93" s="234"/>
      <c r="E93" s="234"/>
      <c r="F93" s="234"/>
      <c r="G93" s="234"/>
      <c r="H93" s="234"/>
      <c r="I93" s="234"/>
      <c r="J93" s="234"/>
    </row>
    <row r="94" spans="1:10" x14ac:dyDescent="0.25">
      <c r="A94" s="240" t="s">
        <v>337</v>
      </c>
      <c r="B94" s="234" t="s">
        <v>340</v>
      </c>
      <c r="C94" s="234"/>
      <c r="D94" s="234"/>
      <c r="E94" s="234"/>
      <c r="F94" s="234"/>
      <c r="G94" s="234"/>
      <c r="H94" s="234"/>
      <c r="I94" s="234"/>
      <c r="J94" s="234"/>
    </row>
    <row r="95" spans="1:10" x14ac:dyDescent="0.25">
      <c r="A95" s="240"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234" t="s">
        <v>340</v>
      </c>
      <c r="C95" s="234"/>
      <c r="D95" s="234"/>
      <c r="E95" s="234"/>
      <c r="F95" s="234"/>
      <c r="G95" s="234"/>
      <c r="H95" s="234"/>
      <c r="I95" s="234"/>
      <c r="J95" s="234"/>
    </row>
    <row r="96" spans="1:10" x14ac:dyDescent="0.25">
      <c r="A96" s="240" t="s">
        <v>338</v>
      </c>
      <c r="B96" s="234" t="s">
        <v>340</v>
      </c>
      <c r="C96" s="234"/>
      <c r="D96" s="234"/>
      <c r="E96" s="234"/>
      <c r="F96" s="234"/>
      <c r="G96" s="234"/>
      <c r="H96" s="234"/>
      <c r="I96" s="234"/>
      <c r="J96" s="234"/>
    </row>
    <row r="97" spans="1:10" x14ac:dyDescent="0.25">
      <c r="A97" s="240" t="str">
        <f>"; sergeant"</f>
        <v>; sergeant</v>
      </c>
      <c r="B97" s="234" t="s">
        <v>340</v>
      </c>
      <c r="C97" s="234"/>
      <c r="D97" s="234"/>
      <c r="E97" s="234"/>
      <c r="F97" s="234"/>
      <c r="G97" s="234"/>
      <c r="H97" s="234"/>
      <c r="I97" s="234"/>
      <c r="J97" s="234"/>
    </row>
    <row r="98" spans="1:10" x14ac:dyDescent="0.25">
      <c r="A98" s="240" t="str">
        <f ca="1">"+SoldierRanks=(  aAbilityTree=( (AbilityName="""&amp;VLOOKUP(INDIRECT("F21"),Abilities,2,FALSE)&amp;""""&amp;IF(VLOOKUP(INDIRECT("F21"),Abilities,3,FALSE)="","",", ApplyToWeaponSlot=eInvSlot_"&amp;VLOOKUP(INDIRECT("F21"),Abilities,3,FALSE))&amp;"), \\"</f>
        <v>+SoldierRanks=(  aAbilityTree=( (AbilityName="Shadowstep", ApplyToWeaponSlot=eInvSlot_Unknown), \\</v>
      </c>
      <c r="B98" s="234" t="s">
        <v>340</v>
      </c>
      <c r="C98" s="234"/>
      <c r="D98" s="234"/>
      <c r="E98" s="234"/>
      <c r="F98" s="234"/>
      <c r="G98" s="234"/>
      <c r="H98" s="234"/>
      <c r="I98" s="234"/>
      <c r="J98" s="234"/>
    </row>
    <row r="99" spans="1:10" x14ac:dyDescent="0.25">
      <c r="A99" s="240" t="str">
        <f ca="1">IF(INDIRECT("I21")="","\\","(AbilityName="""&amp;VLOOKUP(INDIRECT("I21"),Abilities,2,FALSE)&amp;""""&amp;IF(VLOOKUP(INDIRECT("I21"),Abilities,3,FALSE)="","",", ApplyToWeaponSlot=eInvSlot_"&amp;VLOOKUP(INDIRECT("I21"),Abilities,3,FALSE))&amp;"), \\")</f>
        <v>(AbilityName=" "), \\</v>
      </c>
      <c r="B99" s="234" t="s">
        <v>340</v>
      </c>
      <c r="C99" s="234"/>
      <c r="D99" s="234"/>
      <c r="E99" s="234"/>
      <c r="F99" s="234"/>
      <c r="G99" s="234"/>
      <c r="H99" s="234"/>
      <c r="I99" s="234"/>
      <c r="J99" s="234"/>
    </row>
    <row r="100" spans="1:10" x14ac:dyDescent="0.25">
      <c r="A100" s="240" t="str">
        <f ca="1">IF(INDIRECT("L21")="","\\","(AbilityName="""&amp;VLOOKUP(INDIRECT("L21"),Abilities,2,FALSE)&amp;""""&amp;IF(VLOOKUP(INDIRECT("L21"),Abilities,3,FALSE)="","",", ApplyToWeaponSlot=eInvSlot_"&amp;VLOOKUP(INDIRECT("L21"),Abilities,3,FALSE))&amp;"), \\")</f>
        <v>(AbilityName="Combatives", ApplyToWeaponSlot=eInvSlot_SecondaryWeapon), \\</v>
      </c>
      <c r="B100" s="234" t="s">
        <v>340</v>
      </c>
      <c r="C100" s="234"/>
      <c r="D100" s="234"/>
      <c r="E100" s="234"/>
      <c r="F100" s="234"/>
      <c r="G100" s="234"/>
      <c r="H100" s="234"/>
      <c r="I100" s="234"/>
      <c r="J100" s="234"/>
    </row>
    <row r="101" spans="1:10" x14ac:dyDescent="0.25">
      <c r="A101" s="240" t="s">
        <v>337</v>
      </c>
      <c r="B101" s="234" t="s">
        <v>340</v>
      </c>
      <c r="C101" s="234"/>
      <c r="D101" s="234"/>
      <c r="E101" s="234"/>
      <c r="F101" s="234"/>
      <c r="G101" s="234"/>
      <c r="H101" s="234"/>
      <c r="I101" s="234"/>
      <c r="J101" s="234"/>
    </row>
    <row r="102" spans="1:10" x14ac:dyDescent="0.25">
      <c r="A102" s="240"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aStatProgression=((StatType=eStat_Offense,StatAmount=3), (StatType=eStat_HP,StatAmount=1), (StatType=eStat_Hacking,StatAmount=0), (StatType=eStat_Dodge,StatAmount=1)),\\</v>
      </c>
      <c r="B102" s="234" t="s">
        <v>340</v>
      </c>
      <c r="C102" s="234"/>
      <c r="D102" s="234"/>
      <c r="E102" s="234"/>
      <c r="F102" s="234"/>
      <c r="G102" s="234"/>
      <c r="H102" s="234"/>
      <c r="I102" s="234"/>
      <c r="J102" s="234"/>
    </row>
    <row r="103" spans="1:10" x14ac:dyDescent="0.25">
      <c r="A103" s="240" t="s">
        <v>338</v>
      </c>
      <c r="B103" s="234" t="s">
        <v>340</v>
      </c>
      <c r="C103" s="234"/>
      <c r="D103" s="234"/>
      <c r="E103" s="234"/>
      <c r="F103" s="234"/>
      <c r="G103" s="234"/>
      <c r="H103" s="234"/>
      <c r="I103" s="234"/>
      <c r="J103" s="234"/>
    </row>
    <row r="104" spans="1:10" x14ac:dyDescent="0.25">
      <c r="A104" s="240" t="str">
        <f>"; staff sergeant"</f>
        <v>; staff sergeant</v>
      </c>
      <c r="B104" s="234" t="s">
        <v>340</v>
      </c>
      <c r="C104" s="234"/>
      <c r="D104" s="234"/>
      <c r="E104" s="234"/>
      <c r="F104" s="234"/>
      <c r="G104" s="234"/>
      <c r="H104" s="234"/>
      <c r="I104" s="234"/>
      <c r="J104" s="234"/>
    </row>
    <row r="105" spans="1:10" x14ac:dyDescent="0.25">
      <c r="A105" s="240" t="str">
        <f ca="1">"+SoldierRanks=(  aAbilityTree=( (AbilityName="""&amp;VLOOKUP(INDIRECT("F25"),Abilities,2,FALSE)&amp;""""&amp;IF(VLOOKUP(INDIRECT("F25"),Abilities,3,FALSE)="","",", ApplyToWeaponSlot=eInvSlot_"&amp;VLOOKUP(INDIRECT("F25"),Abilities,3,FALSE))&amp;"), \\"</f>
        <v>+SoldierRanks=(  aAbilityTree=( (AbilityName="ShadowOps_SnakeBlood"), \\</v>
      </c>
      <c r="B105" s="234" t="s">
        <v>340</v>
      </c>
      <c r="C105" s="234"/>
      <c r="D105" s="234"/>
      <c r="E105" s="234"/>
      <c r="F105" s="234"/>
      <c r="G105" s="234"/>
      <c r="H105" s="234"/>
      <c r="I105" s="234"/>
      <c r="J105" s="234"/>
    </row>
    <row r="106" spans="1:10" x14ac:dyDescent="0.25">
      <c r="A106" s="240" t="str">
        <f ca="1">IF(INDIRECT("I25")="","\\","(AbilityName="""&amp;VLOOKUP(INDIRECT("I25"),Abilities,2,FALSE)&amp;""""&amp;IF(VLOOKUP(INDIRECT("I25"),Abilities,3,FALSE)="","",", ApplyToWeaponSlot=eInvSlot_"&amp;VLOOKUP(INDIRECT("I25"),Abilities,3,FALSE))&amp;"), \\")</f>
        <v>(AbilityName=" "), \\</v>
      </c>
      <c r="B106" s="234" t="s">
        <v>340</v>
      </c>
      <c r="C106" s="234"/>
      <c r="D106" s="234"/>
      <c r="E106" s="234"/>
      <c r="F106" s="234"/>
      <c r="G106" s="234"/>
      <c r="H106" s="234"/>
      <c r="I106" s="234"/>
      <c r="J106" s="234"/>
    </row>
    <row r="107" spans="1:10" x14ac:dyDescent="0.25">
      <c r="A107" s="240" t="str">
        <f ca="1">IF(INDIRECT("L25")="","\\","(AbilityName="""&amp;VLOOKUP(INDIRECT("L25"),Abilities,2,FALSE)&amp;""""&amp;IF(VLOOKUP(INDIRECT("L25"),Abilities,3,FALSE)="","",", ApplyToWeaponSlot=eInvSlot_"&amp;VLOOKUP(INDIRECT("L25"),Abilities,3,FALSE))&amp;"), \\")</f>
        <v>(AbilityName="LWD_WhereItHurts"), \\</v>
      </c>
      <c r="B107" s="234" t="s">
        <v>340</v>
      </c>
      <c r="C107" s="234"/>
      <c r="D107" s="234"/>
      <c r="E107" s="234"/>
      <c r="F107" s="234"/>
      <c r="G107" s="234"/>
      <c r="H107" s="234"/>
      <c r="I107" s="234"/>
      <c r="J107" s="234"/>
    </row>
    <row r="108" spans="1:10" x14ac:dyDescent="0.25">
      <c r="A108" s="240" t="s">
        <v>337</v>
      </c>
      <c r="B108" s="234" t="s">
        <v>340</v>
      </c>
      <c r="C108" s="234"/>
      <c r="D108" s="234"/>
      <c r="E108" s="234"/>
      <c r="F108" s="234"/>
      <c r="G108" s="234"/>
      <c r="H108" s="234"/>
      <c r="I108" s="234"/>
      <c r="J108" s="234"/>
    </row>
    <row r="109" spans="1:10" x14ac:dyDescent="0.25">
      <c r="A109" s="240"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234" t="s">
        <v>340</v>
      </c>
      <c r="C109" s="234"/>
      <c r="D109" s="234"/>
      <c r="E109" s="234"/>
      <c r="F109" s="234"/>
      <c r="G109" s="234"/>
      <c r="H109" s="234"/>
      <c r="I109" s="234"/>
      <c r="J109" s="234"/>
    </row>
    <row r="110" spans="1:10" x14ac:dyDescent="0.25">
      <c r="A110" s="240" t="s">
        <v>338</v>
      </c>
      <c r="B110" s="234" t="s">
        <v>340</v>
      </c>
      <c r="C110" s="234"/>
      <c r="D110" s="234"/>
      <c r="E110" s="234"/>
      <c r="F110" s="234"/>
      <c r="G110" s="234"/>
      <c r="H110" s="234"/>
      <c r="I110" s="234"/>
      <c r="J110" s="234"/>
    </row>
    <row r="111" spans="1:10" x14ac:dyDescent="0.25">
      <c r="A111" s="240" t="str">
        <f>"; tech sergeant"</f>
        <v>; tech sergeant</v>
      </c>
      <c r="B111" s="234" t="s">
        <v>340</v>
      </c>
      <c r="C111" s="234"/>
      <c r="D111" s="234"/>
      <c r="E111" s="234"/>
      <c r="F111" s="234"/>
      <c r="G111" s="234"/>
      <c r="H111" s="234"/>
      <c r="I111" s="234"/>
      <c r="J111" s="234"/>
    </row>
    <row r="112" spans="1:10" x14ac:dyDescent="0.25">
      <c r="A112" s="240" t="str">
        <f ca="1">"+SoldierRanks=(  aAbilityTree=( (AbilityName="""&amp;VLOOKUP(INDIRECT("F29"),Abilities,2,FALSE)&amp;""""&amp;IF(VLOOKUP(INDIRECT("F29"),Abilities,3,FALSE)="","",", ApplyToWeaponSlot=eInvSlot_"&amp;VLOOKUP(INDIRECT("F29"),Abilities,3,FALSE))&amp;"), \\"</f>
        <v>+SoldierRanks=(  aAbilityTree=( (AbilityName="ShadowOps_FirstStrike", ApplyToWeaponSlot=eInvSlot_PrimaryWeapon), \\</v>
      </c>
      <c r="B112" s="234" t="s">
        <v>340</v>
      </c>
      <c r="C112" s="234"/>
      <c r="D112" s="234"/>
      <c r="E112" s="234"/>
      <c r="F112" s="234"/>
      <c r="G112" s="234"/>
      <c r="H112" s="234"/>
      <c r="I112" s="234"/>
      <c r="J112" s="234"/>
    </row>
    <row r="113" spans="1:10" x14ac:dyDescent="0.25">
      <c r="A113" s="240" t="str">
        <f ca="1">IF(INDIRECT("I29")="","\\","(AbilityName="""&amp;VLOOKUP(INDIRECT("I29"),Abilities,2,FALSE)&amp;""""&amp;IF(VLOOKUP(INDIRECT("I29"),Abilities,3,FALSE)="","",", ApplyToWeaponSlot=eInvSlot_"&amp;VLOOKUP(INDIRECT("I29"),Abilities,3,FALSE))&amp;"), \\")</f>
        <v>(AbilityName=" "), \\</v>
      </c>
      <c r="B113" s="234" t="s">
        <v>340</v>
      </c>
      <c r="C113" s="234"/>
      <c r="D113" s="234"/>
      <c r="E113" s="234"/>
      <c r="F113" s="234"/>
      <c r="G113" s="234"/>
      <c r="H113" s="234"/>
      <c r="I113" s="234"/>
      <c r="J113" s="234"/>
    </row>
    <row r="114" spans="1:10" x14ac:dyDescent="0.25">
      <c r="A114" s="240" t="str">
        <f ca="1">IF(INDIRECT("L29")="","\\","(AbilityName="""&amp;VLOOKUP(INDIRECT("L29"),Abilities,2,FALSE)&amp;""""&amp;IF(VLOOKUP(INDIRECT("L29"),Abilities,3,FALSE)="","",", ApplyToWeaponSlot=eInvSlot_"&amp;VLOOKUP(INDIRECT("L29"),Abilities,3,FALSE))&amp;"), \\")</f>
        <v>(AbilityName="CoupDeGrace", ApplyToWeaponSlot=eInvSlot_SecondaryWeapon), \\</v>
      </c>
      <c r="B114" s="234" t="s">
        <v>340</v>
      </c>
      <c r="C114" s="234"/>
      <c r="D114" s="234"/>
      <c r="E114" s="234"/>
      <c r="F114" s="234"/>
      <c r="G114" s="234"/>
      <c r="H114" s="234"/>
      <c r="I114" s="234"/>
      <c r="J114" s="234"/>
    </row>
    <row r="115" spans="1:10" x14ac:dyDescent="0.25">
      <c r="A115" s="240" t="s">
        <v>337</v>
      </c>
      <c r="B115" s="234" t="s">
        <v>340</v>
      </c>
      <c r="C115" s="234"/>
      <c r="D115" s="234"/>
      <c r="E115" s="234"/>
      <c r="F115" s="234"/>
      <c r="G115" s="234"/>
      <c r="H115" s="234"/>
      <c r="I115" s="234"/>
      <c r="J115" s="234"/>
    </row>
    <row r="116" spans="1:10" x14ac:dyDescent="0.25">
      <c r="A116" s="240"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aStatProgression=((StatType=eStat_Offense,StatAmount=3), (StatType=eStat_HP,StatAmount=0), (StatType=eStat_Hacking,StatAmount=0), (StatType=eStat_Dodge,StatAmount=1)),\\</v>
      </c>
      <c r="B116" s="234" t="s">
        <v>340</v>
      </c>
      <c r="C116" s="234"/>
      <c r="D116" s="234"/>
      <c r="E116" s="234"/>
      <c r="F116" s="234"/>
      <c r="G116" s="234"/>
      <c r="H116" s="234"/>
      <c r="I116" s="234"/>
      <c r="J116" s="234"/>
    </row>
    <row r="117" spans="1:10" x14ac:dyDescent="0.25">
      <c r="A117" s="240" t="s">
        <v>338</v>
      </c>
      <c r="B117" s="234" t="s">
        <v>340</v>
      </c>
      <c r="C117" s="234"/>
      <c r="D117" s="234"/>
      <c r="E117" s="234"/>
      <c r="F117" s="234"/>
      <c r="G117" s="234"/>
      <c r="H117" s="234"/>
      <c r="I117" s="234"/>
      <c r="J117" s="234"/>
    </row>
    <row r="118" spans="1:10" x14ac:dyDescent="0.25">
      <c r="A118" s="240" t="str">
        <f>";  gunnery sergeant"</f>
        <v>;  gunnery sergeant</v>
      </c>
      <c r="B118" s="234" t="s">
        <v>340</v>
      </c>
      <c r="C118" s="234"/>
      <c r="D118" s="234"/>
      <c r="E118" s="234"/>
      <c r="F118" s="234"/>
      <c r="G118" s="234"/>
      <c r="H118" s="234"/>
      <c r="I118" s="234"/>
      <c r="J118" s="234"/>
    </row>
    <row r="119" spans="1:10" x14ac:dyDescent="0.25">
      <c r="A119" s="240" t="str">
        <f ca="1">"+SoldierRanks=(  aAbilityTree=( (AbilityName="""&amp;VLOOKUP(INDIRECT("F33"),Abilities,2,FALSE)&amp;""""&amp;IF(VLOOKUP(INDIRECT("F33"),Abilities,3,FALSE)="","",", ApplyToWeaponSlot=eInvSlot_"&amp;VLOOKUP(INDIRECT("F33"),Abilities,3,FALSE))&amp;"), \\"</f>
        <v>+SoldierRanks=(  aAbilityTree=( (AbilityName=" "), \\</v>
      </c>
      <c r="B119" s="234" t="s">
        <v>340</v>
      </c>
      <c r="C119" s="234"/>
      <c r="D119" s="234"/>
      <c r="E119" s="234"/>
      <c r="F119" s="234"/>
      <c r="G119" s="234"/>
      <c r="H119" s="234"/>
      <c r="I119" s="234"/>
      <c r="J119" s="234"/>
    </row>
    <row r="120" spans="1:10" x14ac:dyDescent="0.25">
      <c r="A120" s="240" t="str">
        <f ca="1">IF(INDIRECT("I33")="","\\","(AbilityName="""&amp;VLOOKUP(INDIRECT("I33"),Abilities,2,FALSE)&amp;""""&amp;IF(VLOOKUP(INDIRECT("I33"),Abilities,3,FALSE)="","",", ApplyToWeaponSlot=eInvSlot_"&amp;VLOOKUP(INDIRECT("I33"),Abilities,3,FALSE))&amp;"), \\")</f>
        <v>(AbilityName="Implacable"), \\</v>
      </c>
      <c r="B120" s="234" t="s">
        <v>340</v>
      </c>
      <c r="C120" s="234"/>
      <c r="D120" s="234"/>
      <c r="E120" s="234"/>
      <c r="F120" s="234"/>
      <c r="G120" s="234"/>
      <c r="H120" s="234"/>
      <c r="I120" s="234"/>
      <c r="J120" s="234"/>
    </row>
    <row r="121" spans="1:10" x14ac:dyDescent="0.25">
      <c r="A121" s="240" t="str">
        <f ca="1">IF(INDIRECT("L33")="","\\","(AbilityName="""&amp;VLOOKUP(INDIRECT("L33"),Abilities,2,FALSE)&amp;""""&amp;IF(VLOOKUP(INDIRECT("L33"),Abilities,3,FALSE)="","",", ApplyToWeaponSlot=eInvSlot_"&amp;VLOOKUP(INDIRECT("L33"),Abilities,3,FALSE))&amp;"), \\")</f>
        <v>(AbilityName=" "), \\</v>
      </c>
      <c r="B121" s="234" t="s">
        <v>340</v>
      </c>
      <c r="C121" s="234"/>
      <c r="D121" s="234"/>
      <c r="E121" s="234"/>
      <c r="F121" s="234"/>
      <c r="G121" s="234"/>
      <c r="H121" s="234"/>
      <c r="I121" s="234"/>
      <c r="J121" s="234"/>
    </row>
    <row r="122" spans="1:10" x14ac:dyDescent="0.25">
      <c r="A122" s="240" t="s">
        <v>337</v>
      </c>
      <c r="B122" s="234" t="s">
        <v>340</v>
      </c>
      <c r="C122" s="234"/>
      <c r="D122" s="234"/>
      <c r="E122" s="234"/>
      <c r="F122" s="234"/>
      <c r="G122" s="234"/>
      <c r="H122" s="234"/>
      <c r="I122" s="234"/>
      <c r="J122" s="234"/>
    </row>
    <row r="123" spans="1:10" x14ac:dyDescent="0.25">
      <c r="A123" s="240"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234" t="s">
        <v>340</v>
      </c>
      <c r="C123" s="234"/>
      <c r="D123" s="234"/>
      <c r="E123" s="234"/>
      <c r="F123" s="234"/>
      <c r="G123" s="234"/>
      <c r="H123" s="234"/>
      <c r="I123" s="234"/>
      <c r="J123" s="234"/>
    </row>
    <row r="124" spans="1:10" x14ac:dyDescent="0.25">
      <c r="A124" s="240" t="s">
        <v>338</v>
      </c>
      <c r="B124" s="234" t="s">
        <v>340</v>
      </c>
      <c r="C124" s="234"/>
      <c r="D124" s="234"/>
      <c r="E124" s="234"/>
      <c r="F124" s="234"/>
      <c r="G124" s="234"/>
      <c r="H124" s="234"/>
      <c r="I124" s="234"/>
      <c r="J124" s="234"/>
    </row>
    <row r="125" spans="1:10" x14ac:dyDescent="0.25">
      <c r="A125" s="240" t="str">
        <f>"; master sergeant"</f>
        <v>; master sergeant</v>
      </c>
      <c r="B125" s="234" t="s">
        <v>340</v>
      </c>
      <c r="C125" s="234"/>
      <c r="D125" s="234"/>
      <c r="E125" s="234"/>
      <c r="F125" s="234"/>
      <c r="G125" s="234"/>
      <c r="H125" s="234"/>
      <c r="I125" s="234"/>
      <c r="J125" s="234"/>
    </row>
    <row r="126" spans="1:10" x14ac:dyDescent="0.25">
      <c r="A126" s="240" t="str">
        <f ca="1">"+SoldierRanks=(  aAbilityTree=( (AbilityName="""&amp;VLOOKUP(INDIRECT("F37"),Abilities,2,FALSE)&amp;""""&amp;IF(VLOOKUP(INDIRECT("F37"),Abilities,3,FALSE)="","",", ApplyToWeaponSlot=eInvSlot_"&amp;VLOOKUP(INDIRECT("F37"),Abilities,3,FALSE))&amp;"), \\"</f>
        <v>+SoldierRanks=(  aAbilityTree=( (AbilityName="ShadowOps_Vanish"), \\</v>
      </c>
      <c r="B126" s="234" t="s">
        <v>340</v>
      </c>
      <c r="C126" s="234"/>
      <c r="D126" s="234"/>
      <c r="E126" s="234"/>
      <c r="F126" s="234"/>
      <c r="G126" s="234"/>
      <c r="H126" s="234"/>
      <c r="I126" s="234"/>
      <c r="J126" s="234"/>
    </row>
    <row r="127" spans="1:10" x14ac:dyDescent="0.25">
      <c r="A127" s="240" t="str">
        <f ca="1">IF(INDIRECT("I37")="","\\","(AbilityName="""&amp;VLOOKUP(INDIRECT("I37"),Abilities,2,FALSE)&amp;""""&amp;IF(VLOOKUP(INDIRECT("I37"),Abilities,3,FALSE)="","",", ApplyToWeaponSlot=eInvSlot_"&amp;VLOOKUP(INDIRECT("I37"),Abilities,3,FALSE))&amp;"), \\")</f>
        <v>(AbilityName=" "), \\</v>
      </c>
      <c r="B127" s="234" t="s">
        <v>340</v>
      </c>
      <c r="C127" s="234"/>
      <c r="D127" s="234"/>
      <c r="E127" s="234"/>
      <c r="F127" s="234"/>
      <c r="G127" s="234"/>
      <c r="H127" s="234"/>
      <c r="I127" s="234"/>
      <c r="J127" s="234"/>
    </row>
    <row r="128" spans="1:10" x14ac:dyDescent="0.25">
      <c r="A128" s="240" t="str">
        <f ca="1">IF(INDIRECT("L37")="","\\","(AbilityName="""&amp;VLOOKUP(INDIRECT("L37"),Abilities,2,FALSE)&amp;""""&amp;IF(VLOOKUP(INDIRECT("L37"),Abilities,3,FALSE)="","",", ApplyToWeaponSlot=eInvSlot_"&amp;VLOOKUP(INDIRECT("L37"),Abilities,3,FALSE))&amp;"), \\")</f>
        <v>(AbilityName="InTheZone", ApplyToWeaponSlot=eInvSlot_PrimaryWeapon), \\</v>
      </c>
      <c r="B128" s="234" t="s">
        <v>340</v>
      </c>
      <c r="C128" s="234"/>
      <c r="D128" s="234"/>
      <c r="E128" s="234"/>
      <c r="F128" s="234"/>
      <c r="G128" s="234"/>
      <c r="H128" s="234"/>
      <c r="I128" s="234"/>
      <c r="J128" s="234"/>
    </row>
    <row r="129" spans="1:10" x14ac:dyDescent="0.25">
      <c r="A129" s="240" t="s">
        <v>337</v>
      </c>
      <c r="B129" s="234" t="s">
        <v>340</v>
      </c>
      <c r="C129" s="234"/>
      <c r="D129" s="234"/>
      <c r="E129" s="234"/>
      <c r="F129" s="234"/>
      <c r="G129" s="234"/>
      <c r="H129" s="234"/>
      <c r="I129" s="234"/>
      <c r="J129" s="234"/>
    </row>
    <row r="130" spans="1:10" x14ac:dyDescent="0.25">
      <c r="A130" s="240"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aStatProgression=((StatType=eStat_Offense,StatAmount=3), (StatType=eStat_HP,StatAmount=1), (StatType=eStat_Hacking,StatAmount=0), (StatType=eStat_Dodge,StatAmount=1)),\\</v>
      </c>
      <c r="B130" s="234" t="s">
        <v>340</v>
      </c>
      <c r="C130" s="234"/>
      <c r="D130" s="234"/>
      <c r="E130" s="234"/>
      <c r="F130" s="234"/>
      <c r="G130" s="234"/>
      <c r="H130" s="234"/>
      <c r="I130" s="234"/>
      <c r="J130" s="234"/>
    </row>
    <row r="131" spans="1:10" ht="15.75" thickBot="1" x14ac:dyDescent="0.3">
      <c r="A131" s="241" t="s">
        <v>338</v>
      </c>
      <c r="B131" s="234" t="s">
        <v>340</v>
      </c>
      <c r="C131" s="234"/>
      <c r="D131" s="234"/>
      <c r="E131" s="234"/>
      <c r="F131" s="234"/>
      <c r="G131" s="234"/>
      <c r="H131" s="234"/>
      <c r="I131" s="234"/>
      <c r="J131" s="234"/>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I37:J37"/>
    <mergeCell ref="F17:G17"/>
    <mergeCell ref="I17:J17"/>
    <mergeCell ref="L17:M1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L37:M37"/>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A40:B41"/>
    <mergeCell ref="C40:E41"/>
    <mergeCell ref="A42:B42"/>
    <mergeCell ref="C42:D42"/>
    <mergeCell ref="E42:F42"/>
    <mergeCell ref="F38:H39"/>
    <mergeCell ref="I38:K39"/>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05474"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05475"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05476"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05477"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05478"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05479"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05480"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05481"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05482"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05483"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05484"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05485"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90" t="s">
        <v>308</v>
      </c>
      <c r="B1" s="91"/>
      <c r="C1" s="94" t="s">
        <v>282</v>
      </c>
      <c r="D1" s="95"/>
      <c r="E1" s="95"/>
      <c r="F1" s="98" t="s">
        <v>324</v>
      </c>
      <c r="G1" s="99"/>
      <c r="H1" s="99"/>
      <c r="I1" s="99"/>
      <c r="J1" s="99"/>
      <c r="K1" s="99"/>
      <c r="L1" s="99"/>
      <c r="M1" s="99"/>
      <c r="N1" s="99"/>
      <c r="O1" s="100" t="s">
        <v>325</v>
      </c>
      <c r="P1" s="101"/>
      <c r="Q1" s="101"/>
      <c r="R1" s="101"/>
      <c r="S1" s="101"/>
      <c r="T1" s="101"/>
      <c r="U1" s="102"/>
      <c r="V1" s="196" t="s">
        <v>776</v>
      </c>
      <c r="W1" s="197"/>
      <c r="X1" s="197"/>
      <c r="Y1" s="197"/>
    </row>
    <row r="2" spans="1:25" ht="15" customHeight="1" thickBot="1" x14ac:dyDescent="0.3">
      <c r="A2" s="92"/>
      <c r="B2" s="93"/>
      <c r="C2" s="96"/>
      <c r="D2" s="97"/>
      <c r="E2" s="97"/>
      <c r="F2" s="98"/>
      <c r="G2" s="99"/>
      <c r="H2" s="99"/>
      <c r="I2" s="99"/>
      <c r="J2" s="99"/>
      <c r="K2" s="99"/>
      <c r="L2" s="99"/>
      <c r="M2" s="99"/>
      <c r="N2" s="99"/>
      <c r="O2" s="103"/>
      <c r="P2" s="104"/>
      <c r="Q2" s="104"/>
      <c r="R2" s="104"/>
      <c r="S2" s="104"/>
      <c r="T2" s="104"/>
      <c r="U2" s="105"/>
      <c r="V2" s="198"/>
      <c r="W2" s="199"/>
      <c r="X2" s="199"/>
      <c r="Y2" s="199"/>
    </row>
    <row r="3" spans="1:25" ht="18" thickBot="1" x14ac:dyDescent="0.35">
      <c r="A3" s="106" t="s">
        <v>309</v>
      </c>
      <c r="B3" s="107"/>
      <c r="C3" s="108" t="str">
        <f>Output!$L$1&amp;SUBSTITUTE(C1," ","")</f>
        <v>LWD_Gunner</v>
      </c>
      <c r="D3" s="109"/>
      <c r="E3" s="109"/>
      <c r="F3" s="110" t="s">
        <v>12</v>
      </c>
      <c r="G3" s="111"/>
      <c r="H3" s="111"/>
      <c r="I3" s="111"/>
      <c r="J3" s="111"/>
      <c r="K3" s="111"/>
      <c r="L3" s="111"/>
      <c r="M3" s="111"/>
      <c r="N3" s="112"/>
      <c r="O3" s="15"/>
      <c r="P3" s="16" t="s">
        <v>79</v>
      </c>
      <c r="Q3" s="17" t="s">
        <v>326</v>
      </c>
      <c r="R3" s="17" t="s">
        <v>328</v>
      </c>
      <c r="S3" s="17" t="s">
        <v>327</v>
      </c>
      <c r="T3" s="17" t="s">
        <v>330</v>
      </c>
      <c r="U3" s="18" t="s">
        <v>329</v>
      </c>
      <c r="V3" s="200" t="s">
        <v>810</v>
      </c>
      <c r="W3" s="201"/>
      <c r="X3" s="200" t="s">
        <v>811</v>
      </c>
      <c r="Y3" s="201"/>
    </row>
    <row r="4" spans="1:25" ht="18" thickTop="1" x14ac:dyDescent="0.3">
      <c r="A4" s="113" t="s">
        <v>310</v>
      </c>
      <c r="B4" s="114"/>
      <c r="C4" s="115" t="s">
        <v>314</v>
      </c>
      <c r="D4" s="116"/>
      <c r="E4" s="116"/>
      <c r="F4" s="119" t="s">
        <v>944</v>
      </c>
      <c r="G4" s="120"/>
      <c r="H4" s="4" t="str">
        <f>IFERROR(VLOOKUP(F4,Abilities,4,FALSE),"")</f>
        <v>LWD</v>
      </c>
      <c r="I4" s="121" t="s">
        <v>99</v>
      </c>
      <c r="J4" s="120"/>
      <c r="K4" s="35" t="str">
        <f>IFERROR(VLOOKUP(I4,Abilities,4,FALSE),"")</f>
        <v>LW2</v>
      </c>
      <c r="L4" s="122" t="s">
        <v>280</v>
      </c>
      <c r="M4" s="120"/>
      <c r="N4" s="10" t="str">
        <f>IFERROR(VLOOKUP(L4,Abilities,4,FALSE),"")</f>
        <v>LW2</v>
      </c>
      <c r="O4" s="19" t="s">
        <v>12</v>
      </c>
      <c r="P4" s="4">
        <v>3</v>
      </c>
      <c r="Q4" s="20">
        <v>0</v>
      </c>
      <c r="R4" s="20"/>
      <c r="S4" s="4">
        <v>0</v>
      </c>
      <c r="T4" s="4">
        <v>1</v>
      </c>
      <c r="U4" s="10"/>
      <c r="V4" s="192" t="s">
        <v>777</v>
      </c>
      <c r="W4" s="193"/>
      <c r="X4" s="192" t="s">
        <v>801</v>
      </c>
      <c r="Y4" s="193"/>
    </row>
    <row r="5" spans="1:25" ht="15" customHeight="1" x14ac:dyDescent="0.25">
      <c r="A5" s="6"/>
      <c r="B5" s="5" t="b">
        <v>0</v>
      </c>
      <c r="C5" s="117"/>
      <c r="D5" s="118"/>
      <c r="E5" s="118"/>
      <c r="F5" s="123" t="str">
        <f>IFERROR(VLOOKUP(F4,Abilities,7,FALSE),"")</f>
        <v>Move a short range and attack with your knife. Doesn't end your turn.</v>
      </c>
      <c r="G5" s="124"/>
      <c r="H5" s="125"/>
      <c r="I5" s="129" t="str">
        <f>IFERROR(VLOOKUP(I4,Abilities,7,FALSE),"")</f>
        <v>Fire a barrage that pins down a target, grants reaction fire against it if it moves, restricts the use of many abilities, and imposes a -30 penalty to the target's aim.</v>
      </c>
      <c r="J5" s="130"/>
      <c r="K5" s="131"/>
      <c r="L5" s="130">
        <f>IFERROR(VLOOKUP(L4,Abilities,7,FALSE),"")</f>
        <v>0</v>
      </c>
      <c r="M5" s="130"/>
      <c r="N5" s="135"/>
      <c r="O5" s="26" t="s">
        <v>456</v>
      </c>
      <c r="P5" s="27">
        <v>2</v>
      </c>
      <c r="Q5" s="28">
        <v>1</v>
      </c>
      <c r="R5" s="28"/>
      <c r="S5" s="27">
        <v>0</v>
      </c>
      <c r="T5" s="27"/>
      <c r="U5" s="29"/>
      <c r="V5" s="190" t="s">
        <v>821</v>
      </c>
      <c r="W5" s="191"/>
      <c r="X5" s="190" t="s">
        <v>802</v>
      </c>
      <c r="Y5" s="191"/>
    </row>
    <row r="6" spans="1:25" ht="15" customHeight="1" x14ac:dyDescent="0.25">
      <c r="A6" s="6"/>
      <c r="B6" s="5" t="b">
        <v>1</v>
      </c>
      <c r="C6" s="137" t="s">
        <v>315</v>
      </c>
      <c r="D6" s="138"/>
      <c r="E6" s="11">
        <v>0</v>
      </c>
      <c r="F6" s="126"/>
      <c r="G6" s="127"/>
      <c r="H6" s="128"/>
      <c r="I6" s="132"/>
      <c r="J6" s="133"/>
      <c r="K6" s="134"/>
      <c r="L6" s="133"/>
      <c r="M6" s="133"/>
      <c r="N6" s="136"/>
      <c r="O6" s="19" t="s">
        <v>15</v>
      </c>
      <c r="P6" s="4">
        <v>2</v>
      </c>
      <c r="Q6" s="20">
        <v>0</v>
      </c>
      <c r="R6" s="20"/>
      <c r="S6" s="4">
        <v>0</v>
      </c>
      <c r="T6" s="4"/>
      <c r="U6" s="10"/>
      <c r="V6" s="190" t="s">
        <v>778</v>
      </c>
      <c r="W6" s="191"/>
      <c r="X6" s="192" t="s">
        <v>803</v>
      </c>
      <c r="Y6" s="193"/>
    </row>
    <row r="7" spans="1:25" ht="15" customHeight="1" x14ac:dyDescent="0.25">
      <c r="A7" s="6"/>
      <c r="B7" s="5" t="b">
        <v>0</v>
      </c>
      <c r="C7" s="137" t="s">
        <v>316</v>
      </c>
      <c r="D7" s="138"/>
      <c r="E7" s="11">
        <v>4</v>
      </c>
      <c r="F7" s="139"/>
      <c r="G7" s="140"/>
      <c r="H7" s="4" t="str">
        <f>IFERROR(VLOOKUP(F7,Abilities,4,FALSE),"")</f>
        <v/>
      </c>
      <c r="I7" s="141"/>
      <c r="J7" s="140"/>
      <c r="K7" s="4" t="str">
        <f>IFERROR(VLOOKUP(I7,Abilities,4,FALSE),"")</f>
        <v/>
      </c>
      <c r="L7" s="142"/>
      <c r="M7" s="140"/>
      <c r="N7" s="10" t="str">
        <f>IFERROR(VLOOKUP(L7,Abilities,4,FALSE),"")</f>
        <v/>
      </c>
      <c r="O7" s="26" t="s">
        <v>21</v>
      </c>
      <c r="P7" s="27">
        <v>2</v>
      </c>
      <c r="Q7" s="28">
        <v>0</v>
      </c>
      <c r="R7" s="28"/>
      <c r="S7" s="27">
        <v>0</v>
      </c>
      <c r="T7" s="27"/>
      <c r="U7" s="29"/>
      <c r="V7" s="192" t="s">
        <v>779</v>
      </c>
      <c r="W7" s="193"/>
      <c r="X7" s="190" t="s">
        <v>804</v>
      </c>
      <c r="Y7" s="191"/>
    </row>
    <row r="8" spans="1:25" ht="15" customHeight="1" thickBot="1" x14ac:dyDescent="0.3">
      <c r="A8" s="6"/>
      <c r="B8" s="5" t="b">
        <v>0</v>
      </c>
      <c r="C8" s="137" t="s">
        <v>317</v>
      </c>
      <c r="D8" s="143"/>
      <c r="E8" s="12" t="s">
        <v>635</v>
      </c>
      <c r="F8" s="144" t="str">
        <f>IFERROR(VLOOKUP(F7,Abilities,7,FALSE),"")</f>
        <v/>
      </c>
      <c r="G8" s="130"/>
      <c r="H8" s="131"/>
      <c r="I8" s="129" t="str">
        <f>IFERROR(VLOOKUP(I7,Abilities,7,FALSE),"")</f>
        <v/>
      </c>
      <c r="J8" s="130"/>
      <c r="K8" s="131"/>
      <c r="L8" s="130" t="str">
        <f>IFERROR(VLOOKUP(L7,Abilities,7,FALSE),"")</f>
        <v/>
      </c>
      <c r="M8" s="130"/>
      <c r="N8" s="135"/>
      <c r="O8" s="21" t="s">
        <v>457</v>
      </c>
      <c r="P8" s="4">
        <v>3</v>
      </c>
      <c r="Q8" s="20">
        <v>1</v>
      </c>
      <c r="R8" s="20"/>
      <c r="S8" s="4">
        <v>0</v>
      </c>
      <c r="T8" s="4"/>
      <c r="U8" s="10"/>
      <c r="V8" s="190" t="s">
        <v>846</v>
      </c>
      <c r="W8" s="191"/>
      <c r="X8" s="192" t="s">
        <v>805</v>
      </c>
      <c r="Y8" s="193"/>
    </row>
    <row r="9" spans="1:25" ht="15.75" thickBot="1" x14ac:dyDescent="0.3">
      <c r="A9" s="6"/>
      <c r="B9" s="5" t="b">
        <v>0</v>
      </c>
      <c r="C9" s="137" t="s">
        <v>319</v>
      </c>
      <c r="D9" s="143"/>
      <c r="E9" s="12">
        <v>1</v>
      </c>
      <c r="F9" s="145"/>
      <c r="G9" s="133"/>
      <c r="H9" s="134"/>
      <c r="I9" s="146"/>
      <c r="J9" s="147"/>
      <c r="K9" s="148"/>
      <c r="L9" s="133"/>
      <c r="M9" s="133"/>
      <c r="N9" s="136"/>
      <c r="O9" s="26" t="s">
        <v>458</v>
      </c>
      <c r="P9" s="27">
        <v>2</v>
      </c>
      <c r="Q9" s="28">
        <v>0</v>
      </c>
      <c r="R9" s="28"/>
      <c r="S9" s="27">
        <v>0</v>
      </c>
      <c r="T9" s="27"/>
      <c r="U9" s="29"/>
      <c r="V9" s="192" t="s">
        <v>781</v>
      </c>
      <c r="W9" s="193"/>
      <c r="X9" s="200" t="s">
        <v>812</v>
      </c>
      <c r="Y9" s="201"/>
    </row>
    <row r="10" spans="1:25" ht="18.75" x14ac:dyDescent="0.3">
      <c r="A10" s="6"/>
      <c r="B10" s="5" t="b">
        <v>1</v>
      </c>
      <c r="C10" s="137" t="s">
        <v>318</v>
      </c>
      <c r="D10" s="143"/>
      <c r="E10" s="12">
        <v>4</v>
      </c>
      <c r="F10" s="157" t="s">
        <v>311</v>
      </c>
      <c r="G10" s="158"/>
      <c r="H10" s="159"/>
      <c r="I10" s="160" t="s">
        <v>349</v>
      </c>
      <c r="J10" s="158"/>
      <c r="K10" s="159"/>
      <c r="L10" s="158" t="s">
        <v>312</v>
      </c>
      <c r="M10" s="158"/>
      <c r="N10" s="161"/>
      <c r="O10" s="36" t="s">
        <v>459</v>
      </c>
      <c r="P10" s="37">
        <v>2</v>
      </c>
      <c r="Q10" s="37">
        <v>0</v>
      </c>
      <c r="R10" s="37"/>
      <c r="S10" s="37">
        <v>0</v>
      </c>
      <c r="T10" s="37"/>
      <c r="U10" s="38"/>
      <c r="V10" s="190" t="s">
        <v>782</v>
      </c>
      <c r="W10" s="191"/>
      <c r="X10" s="192" t="s">
        <v>806</v>
      </c>
      <c r="Y10" s="193"/>
    </row>
    <row r="11" spans="1:25" ht="15.75" customHeight="1" thickBot="1" x14ac:dyDescent="0.3">
      <c r="A11" s="6"/>
      <c r="B11" s="5" t="b">
        <v>0</v>
      </c>
      <c r="C11" s="137" t="s">
        <v>320</v>
      </c>
      <c r="D11" s="143"/>
      <c r="E11" s="12">
        <v>4</v>
      </c>
      <c r="F11" s="162" t="s">
        <v>462</v>
      </c>
      <c r="G11" s="163"/>
      <c r="H11" s="164"/>
      <c r="I11" s="165"/>
      <c r="J11" s="163"/>
      <c r="K11" s="164"/>
      <c r="L11" s="163" t="s">
        <v>463</v>
      </c>
      <c r="M11" s="163"/>
      <c r="N11" s="166"/>
      <c r="O11" s="39" t="s">
        <v>460</v>
      </c>
      <c r="P11" s="40">
        <v>2</v>
      </c>
      <c r="Q11" s="41">
        <v>1</v>
      </c>
      <c r="R11" s="41"/>
      <c r="S11" s="40">
        <v>0</v>
      </c>
      <c r="T11" s="40"/>
      <c r="U11" s="42"/>
      <c r="V11" s="192" t="s">
        <v>824</v>
      </c>
      <c r="W11" s="193"/>
      <c r="X11" s="190" t="s">
        <v>807</v>
      </c>
      <c r="Y11" s="191"/>
    </row>
    <row r="12" spans="1:25" ht="18" customHeight="1" thickBot="1" x14ac:dyDescent="0.35">
      <c r="A12" s="6"/>
      <c r="B12" s="5" t="b">
        <v>0</v>
      </c>
      <c r="C12" s="137" t="s">
        <v>321</v>
      </c>
      <c r="D12" s="143"/>
      <c r="E12" s="12">
        <v>1</v>
      </c>
      <c r="F12" s="169" t="s">
        <v>443</v>
      </c>
      <c r="G12" s="170"/>
      <c r="H12" s="170"/>
      <c r="I12" s="170"/>
      <c r="J12" s="170"/>
      <c r="K12" s="170"/>
      <c r="L12" s="170"/>
      <c r="M12" s="170"/>
      <c r="N12" s="171"/>
      <c r="O12" s="149" t="s">
        <v>813</v>
      </c>
      <c r="P12" s="150"/>
      <c r="Q12" s="150"/>
      <c r="R12" s="150"/>
      <c r="S12" s="150"/>
      <c r="T12" s="150"/>
      <c r="U12" s="151"/>
      <c r="V12" s="192" t="s">
        <v>783</v>
      </c>
      <c r="W12" s="193"/>
      <c r="X12" s="192" t="s">
        <v>808</v>
      </c>
      <c r="Y12" s="193"/>
    </row>
    <row r="13" spans="1:25" ht="16.5" thickTop="1" thickBot="1" x14ac:dyDescent="0.3">
      <c r="A13" s="6"/>
      <c r="B13" s="5" t="b">
        <v>0</v>
      </c>
      <c r="C13" s="155" t="s">
        <v>322</v>
      </c>
      <c r="D13" s="156"/>
      <c r="E13" s="13" t="s">
        <v>323</v>
      </c>
      <c r="F13" s="119" t="s">
        <v>95</v>
      </c>
      <c r="G13" s="120"/>
      <c r="H13" s="4" t="str">
        <f>IFERROR(VLOOKUP(F13,Abilities,4,FALSE),"")</f>
        <v>XCOM2</v>
      </c>
      <c r="I13" s="121" t="s">
        <v>962</v>
      </c>
      <c r="J13" s="120"/>
      <c r="K13" s="35" t="str">
        <f>IFERROR(VLOOKUP(I13,Abilities,4,FALSE),"")</f>
        <v>BLANK</v>
      </c>
      <c r="L13" s="122" t="s">
        <v>290</v>
      </c>
      <c r="M13" s="120"/>
      <c r="N13" s="10" t="str">
        <f>IFERROR(VLOOKUP(L13,Abilities,4,FALSE),"")</f>
        <v>LW2</v>
      </c>
      <c r="O13" s="152"/>
      <c r="P13" s="153"/>
      <c r="Q13" s="153"/>
      <c r="R13" s="153"/>
      <c r="S13" s="153"/>
      <c r="T13" s="153"/>
      <c r="U13" s="154"/>
      <c r="V13" s="192" t="s">
        <v>818</v>
      </c>
      <c r="W13" s="193"/>
      <c r="X13" s="190" t="s">
        <v>809</v>
      </c>
      <c r="Y13" s="191"/>
    </row>
    <row r="14" spans="1:25" ht="15.75" thickBot="1" x14ac:dyDescent="0.3">
      <c r="A14" s="6"/>
      <c r="B14" s="7" t="b">
        <v>0</v>
      </c>
      <c r="F14" s="144" t="str">
        <f>IFERROR(VLOOKUP(F13,Abilities,7,FALSE),"")</f>
        <v>Your cannon attacks shred armor. Higher rank weapons shred more points of armor. The shredding effect applies before damage.</v>
      </c>
      <c r="G14" s="130"/>
      <c r="H14" s="131"/>
      <c r="I14" s="129" t="str">
        <f>IFERROR(VLOOKUP(I13,Abilities,7,FALSE),"")</f>
        <v xml:space="preserve"> </v>
      </c>
      <c r="J14" s="130"/>
      <c r="K14" s="131"/>
      <c r="L14" s="130">
        <f>IFERROR(VLOOKUP(L13,Abilities,7,FALSE),"")</f>
        <v>0</v>
      </c>
      <c r="M14" s="130"/>
      <c r="N14" s="135"/>
      <c r="O14" s="22"/>
      <c r="P14" s="23" t="s">
        <v>331</v>
      </c>
      <c r="Q14" s="24" t="s">
        <v>332</v>
      </c>
      <c r="R14" s="24" t="s">
        <v>333</v>
      </c>
      <c r="S14" s="24" t="s">
        <v>334</v>
      </c>
      <c r="T14" s="24" t="s">
        <v>336</v>
      </c>
      <c r="U14" s="25" t="s">
        <v>335</v>
      </c>
      <c r="V14" s="190" t="s">
        <v>784</v>
      </c>
      <c r="W14" s="191"/>
      <c r="X14" s="194" t="s">
        <v>814</v>
      </c>
      <c r="Y14" s="195"/>
    </row>
    <row r="15" spans="1:25" ht="15.75" thickBot="1" x14ac:dyDescent="0.3">
      <c r="A15" s="6"/>
      <c r="B15" s="7" t="b">
        <v>0</v>
      </c>
      <c r="F15" s="167"/>
      <c r="G15" s="147"/>
      <c r="H15" s="148"/>
      <c r="I15" s="146"/>
      <c r="J15" s="147"/>
      <c r="K15" s="148"/>
      <c r="L15" s="147"/>
      <c r="M15" s="147"/>
      <c r="N15" s="168"/>
      <c r="O15" s="19" t="s">
        <v>12</v>
      </c>
      <c r="P15" s="4"/>
      <c r="Q15" s="20">
        <v>4</v>
      </c>
      <c r="R15" s="20"/>
      <c r="S15" s="4"/>
      <c r="T15" s="4"/>
      <c r="U15" s="10"/>
      <c r="V15" s="190" t="s">
        <v>823</v>
      </c>
      <c r="W15" s="191"/>
    </row>
    <row r="16" spans="1:25" ht="18" thickBot="1" x14ac:dyDescent="0.35">
      <c r="A16" s="6"/>
      <c r="B16" s="7" t="b">
        <v>0</v>
      </c>
      <c r="F16" s="169" t="s">
        <v>15</v>
      </c>
      <c r="G16" s="170"/>
      <c r="H16" s="170"/>
      <c r="I16" s="170"/>
      <c r="J16" s="170"/>
      <c r="K16" s="170"/>
      <c r="L16" s="170"/>
      <c r="M16" s="170"/>
      <c r="N16" s="171"/>
      <c r="O16" s="26" t="s">
        <v>456</v>
      </c>
      <c r="P16" s="27"/>
      <c r="Q16" s="28">
        <v>4</v>
      </c>
      <c r="R16" s="28"/>
      <c r="S16" s="27"/>
      <c r="T16" s="27"/>
      <c r="U16" s="29"/>
      <c r="V16" s="190" t="s">
        <v>847</v>
      </c>
      <c r="W16" s="191"/>
    </row>
    <row r="17" spans="1:23" ht="16.5" thickTop="1" thickBot="1" x14ac:dyDescent="0.3">
      <c r="A17" s="8"/>
      <c r="B17" s="9" t="b">
        <v>0</v>
      </c>
      <c r="F17" s="121" t="s">
        <v>962</v>
      </c>
      <c r="G17" s="120"/>
      <c r="H17" s="4" t="str">
        <f>IFERROR(VLOOKUP(F17,Abilities,4,FALSE),"")</f>
        <v>BLANK</v>
      </c>
      <c r="I17" s="121" t="s">
        <v>595</v>
      </c>
      <c r="J17" s="120"/>
      <c r="K17" s="35" t="str">
        <f>IFERROR(VLOOKUP(I17,Abilities,4,FALSE),"")</f>
        <v>SOLW</v>
      </c>
      <c r="L17" s="121" t="s">
        <v>962</v>
      </c>
      <c r="M17" s="120"/>
      <c r="N17" s="10" t="str">
        <f>IFERROR(VLOOKUP(L17,Abilities,4,FALSE),"")</f>
        <v>BLANK</v>
      </c>
      <c r="O17" s="19" t="s">
        <v>15</v>
      </c>
      <c r="P17" s="4"/>
      <c r="Q17" s="20"/>
      <c r="R17" s="20"/>
      <c r="S17" s="4"/>
      <c r="T17" s="4"/>
      <c r="U17" s="10"/>
      <c r="V17" s="192" t="s">
        <v>787</v>
      </c>
      <c r="W17" s="193"/>
    </row>
    <row r="18" spans="1:23" x14ac:dyDescent="0.25">
      <c r="A18" s="172" t="s">
        <v>344</v>
      </c>
      <c r="B18" s="173"/>
      <c r="F18" s="144" t="str">
        <f>IFERROR(VLOOKUP(F17,Abilities,7,FALSE),"")</f>
        <v xml:space="preserve"> </v>
      </c>
      <c r="G18" s="130"/>
      <c r="H18" s="131"/>
      <c r="I18" s="129" t="str">
        <f>IFERROR(VLOOKUP(I17,Abilities,7,FALSE),"")</f>
        <v>Attack all targets in a straight line and damage or destroy cover. Cannon only. Uses &lt;Ability:SelfAmmoCost/&gt; ammo.</v>
      </c>
      <c r="J18" s="130"/>
      <c r="K18" s="131"/>
      <c r="L18" s="130" t="str">
        <f>IFERROR(VLOOKUP(L17,Abilities,7,FALSE),"")</f>
        <v xml:space="preserve"> </v>
      </c>
      <c r="M18" s="130"/>
      <c r="N18" s="135"/>
      <c r="O18" s="26" t="s">
        <v>21</v>
      </c>
      <c r="P18" s="27"/>
      <c r="Q18" s="28"/>
      <c r="R18" s="28"/>
      <c r="S18" s="27"/>
      <c r="T18" s="27"/>
      <c r="U18" s="29"/>
      <c r="V18" s="190" t="s">
        <v>788</v>
      </c>
      <c r="W18" s="191"/>
    </row>
    <row r="19" spans="1:23" ht="15.75" thickBot="1" x14ac:dyDescent="0.3">
      <c r="A19" s="174"/>
      <c r="B19" s="175"/>
      <c r="D19" s="3"/>
      <c r="F19" s="167"/>
      <c r="G19" s="147"/>
      <c r="H19" s="148"/>
      <c r="I19" s="146"/>
      <c r="J19" s="147"/>
      <c r="K19" s="148"/>
      <c r="L19" s="147"/>
      <c r="M19" s="147"/>
      <c r="N19" s="168"/>
      <c r="O19" s="21" t="s">
        <v>457</v>
      </c>
      <c r="P19" s="4"/>
      <c r="Q19" s="20"/>
      <c r="R19" s="20"/>
      <c r="S19" s="4"/>
      <c r="T19" s="4"/>
      <c r="U19" s="10"/>
      <c r="V19" s="192" t="s">
        <v>789</v>
      </c>
      <c r="W19" s="193"/>
    </row>
    <row r="20" spans="1:23" ht="18" thickBot="1" x14ac:dyDescent="0.35">
      <c r="A20" s="176" t="s">
        <v>970</v>
      </c>
      <c r="B20" s="177"/>
      <c r="C20" s="178"/>
      <c r="D20" s="178"/>
      <c r="E20" s="179"/>
      <c r="F20" s="169" t="s">
        <v>21</v>
      </c>
      <c r="G20" s="170"/>
      <c r="H20" s="170"/>
      <c r="I20" s="170"/>
      <c r="J20" s="170"/>
      <c r="K20" s="170"/>
      <c r="L20" s="170"/>
      <c r="M20" s="170"/>
      <c r="N20" s="171"/>
      <c r="O20" s="26" t="s">
        <v>458</v>
      </c>
      <c r="P20" s="27"/>
      <c r="Q20" s="28"/>
      <c r="R20" s="28"/>
      <c r="S20" s="27"/>
      <c r="T20" s="27"/>
      <c r="U20" s="29"/>
      <c r="V20" s="192" t="s">
        <v>790</v>
      </c>
      <c r="W20" s="193"/>
    </row>
    <row r="21" spans="1:23" ht="15.75" thickTop="1" x14ac:dyDescent="0.25">
      <c r="A21" s="176"/>
      <c r="B21" s="177"/>
      <c r="C21" s="177"/>
      <c r="D21" s="177"/>
      <c r="E21" s="180"/>
      <c r="F21" s="119" t="s">
        <v>97</v>
      </c>
      <c r="G21" s="120"/>
      <c r="H21" s="4" t="str">
        <f>IFERROR(VLOOKUP(F21,Abilities,4,FALSE),"")</f>
        <v>XCOM2</v>
      </c>
      <c r="I21" s="121" t="s">
        <v>962</v>
      </c>
      <c r="J21" s="120"/>
      <c r="K21" s="35" t="str">
        <f>IFERROR(VLOOKUP(I21,Abilities,4,FALSE),"")</f>
        <v>BLANK</v>
      </c>
      <c r="L21" s="121" t="s">
        <v>291</v>
      </c>
      <c r="M21" s="120"/>
      <c r="N21" s="10" t="str">
        <f>IFERROR(VLOOKUP(L21,Abilities,4,FALSE),"")</f>
        <v>LW2</v>
      </c>
      <c r="O21" s="36" t="s">
        <v>459</v>
      </c>
      <c r="P21" s="37"/>
      <c r="Q21" s="37"/>
      <c r="R21" s="37"/>
      <c r="S21" s="37"/>
      <c r="T21" s="37"/>
      <c r="U21" s="38"/>
      <c r="V21" s="190" t="s">
        <v>817</v>
      </c>
      <c r="W21" s="191"/>
    </row>
    <row r="22" spans="1:23" ht="15.75" thickBot="1" x14ac:dyDescent="0.3">
      <c r="A22" s="181"/>
      <c r="B22" s="182"/>
      <c r="C22" s="182"/>
      <c r="D22" s="182"/>
      <c r="E22" s="183"/>
      <c r="F22" s="144" t="str">
        <f>IFERROR(VLOOKUP(F21,Abilities,7,FALSE),"")</f>
        <v>Unleash a volley of bullets at your target's cover, significantly damaging or destroying it. Deals no damage to your target. Uses 2 ammo. 3-turn cooldown.</v>
      </c>
      <c r="G22" s="130"/>
      <c r="H22" s="131"/>
      <c r="I22" s="129" t="str">
        <f>IFERROR(VLOOKUP(I21,Abilities,7,FALSE),"")</f>
        <v xml:space="preserve"> </v>
      </c>
      <c r="J22" s="130"/>
      <c r="K22" s="131"/>
      <c r="L22" s="130">
        <f>IFERROR(VLOOKUP(L21,Abilities,7,FALSE),"")</f>
        <v>0</v>
      </c>
      <c r="M22" s="130"/>
      <c r="N22" s="135"/>
      <c r="O22" s="39" t="s">
        <v>460</v>
      </c>
      <c r="P22" s="40"/>
      <c r="Q22" s="41"/>
      <c r="R22" s="41"/>
      <c r="S22" s="40"/>
      <c r="T22" s="40"/>
      <c r="U22" s="42"/>
      <c r="V22" s="192" t="s">
        <v>792</v>
      </c>
      <c r="W22" s="193"/>
    </row>
    <row r="23" spans="1:23" ht="15.75" thickBot="1" x14ac:dyDescent="0.3">
      <c r="A23" s="184" t="s">
        <v>352</v>
      </c>
      <c r="B23" s="185"/>
      <c r="C23" s="185"/>
      <c r="D23" s="185"/>
      <c r="E23" s="186"/>
      <c r="F23" s="167"/>
      <c r="G23" s="147"/>
      <c r="H23" s="148"/>
      <c r="I23" s="146"/>
      <c r="J23" s="147"/>
      <c r="K23" s="148"/>
      <c r="L23" s="147"/>
      <c r="M23" s="147"/>
      <c r="N23" s="168"/>
      <c r="O23" s="14"/>
      <c r="P23" s="14"/>
      <c r="Q23" s="3"/>
      <c r="V23" s="190" t="s">
        <v>793</v>
      </c>
      <c r="W23" s="191"/>
    </row>
    <row r="24" spans="1:23" ht="18" thickBot="1" x14ac:dyDescent="0.35">
      <c r="A24" s="187"/>
      <c r="B24" s="188"/>
      <c r="C24" s="188"/>
      <c r="D24" s="188"/>
      <c r="E24" s="189"/>
      <c r="F24" s="169" t="s">
        <v>444</v>
      </c>
      <c r="G24" s="170"/>
      <c r="H24" s="170"/>
      <c r="I24" s="170"/>
      <c r="J24" s="170"/>
      <c r="K24" s="170"/>
      <c r="L24" s="170"/>
      <c r="M24" s="170"/>
      <c r="N24" s="171"/>
      <c r="O24" s="14"/>
      <c r="P24" s="14"/>
      <c r="Q24" s="3"/>
      <c r="V24" s="192" t="s">
        <v>794</v>
      </c>
      <c r="W24" s="193"/>
    </row>
    <row r="25" spans="1:23" ht="15.75" thickTop="1" x14ac:dyDescent="0.25">
      <c r="A25" s="50"/>
      <c r="B25" s="51"/>
      <c r="C25" s="51"/>
      <c r="D25" s="51"/>
      <c r="E25" s="52"/>
      <c r="F25" s="119" t="s">
        <v>110</v>
      </c>
      <c r="G25" s="120"/>
      <c r="H25" s="4" t="str">
        <f>IFERROR(VLOOKUP(F25,Abilities,4,FALSE),"")</f>
        <v>XCOM2</v>
      </c>
      <c r="I25" s="121" t="s">
        <v>962</v>
      </c>
      <c r="J25" s="120"/>
      <c r="K25" s="35" t="str">
        <f>IFERROR(VLOOKUP(I25,Abilities,4,FALSE),"")</f>
        <v>BLANK</v>
      </c>
      <c r="L25" s="122" t="s">
        <v>384</v>
      </c>
      <c r="M25" s="120"/>
      <c r="N25" s="10" t="str">
        <f>IFERROR(VLOOKUP(L25,Abilities,4,FALSE),"")</f>
        <v>LW2</v>
      </c>
      <c r="O25" s="14"/>
      <c r="P25" s="14"/>
      <c r="Q25" s="3"/>
      <c r="V25" s="190" t="s">
        <v>795</v>
      </c>
      <c r="W25" s="191"/>
    </row>
    <row r="26" spans="1:23" x14ac:dyDescent="0.25">
      <c r="A26" s="50"/>
      <c r="B26" s="51"/>
      <c r="C26" s="51"/>
      <c r="D26" s="51"/>
      <c r="E26" s="52"/>
      <c r="F26" s="144" t="str">
        <f>IFERROR(VLOOKUP(F25,Abilities,7,FALSE),"")</f>
        <v>Fires a shot with a penalty of 15 to aim. If it hits, immediately fire another shot at the target. Uses 2 ammo. 3-turn cooldown.</v>
      </c>
      <c r="G26" s="130"/>
      <c r="H26" s="131"/>
      <c r="I26" s="129" t="str">
        <f>IFERROR(VLOOKUP(I25,Abilities,7,FALSE),"")</f>
        <v xml:space="preserve"> </v>
      </c>
      <c r="J26" s="130"/>
      <c r="K26" s="131"/>
      <c r="L26" s="130">
        <f>IFERROR(VLOOKUP(L25,Abilities,7,FALSE),"")</f>
        <v>0</v>
      </c>
      <c r="M26" s="130"/>
      <c r="N26" s="135"/>
      <c r="O26" s="14"/>
      <c r="P26" s="14"/>
      <c r="Q26" s="3"/>
      <c r="V26" s="190" t="s">
        <v>797</v>
      </c>
      <c r="W26" s="191"/>
    </row>
    <row r="27" spans="1:23" ht="15.75" thickBot="1" x14ac:dyDescent="0.3">
      <c r="A27" s="50"/>
      <c r="B27" s="51"/>
      <c r="C27" s="51"/>
      <c r="D27" s="51"/>
      <c r="E27" s="52"/>
      <c r="F27" s="167"/>
      <c r="G27" s="147"/>
      <c r="H27" s="148"/>
      <c r="I27" s="146"/>
      <c r="J27" s="147"/>
      <c r="K27" s="148"/>
      <c r="L27" s="147"/>
      <c r="M27" s="147"/>
      <c r="N27" s="168"/>
      <c r="O27" s="14"/>
      <c r="P27" s="14"/>
      <c r="Q27" s="3"/>
      <c r="V27" s="192" t="s">
        <v>798</v>
      </c>
      <c r="W27" s="193"/>
    </row>
    <row r="28" spans="1:23" ht="18" thickBot="1" x14ac:dyDescent="0.35">
      <c r="A28" s="50"/>
      <c r="B28" s="51"/>
      <c r="C28" s="51"/>
      <c r="D28" s="51"/>
      <c r="E28" s="52"/>
      <c r="F28" s="169" t="s">
        <v>445</v>
      </c>
      <c r="G28" s="170"/>
      <c r="H28" s="170"/>
      <c r="I28" s="170"/>
      <c r="J28" s="170"/>
      <c r="K28" s="170"/>
      <c r="L28" s="170"/>
      <c r="M28" s="170"/>
      <c r="N28" s="171"/>
      <c r="O28" s="14"/>
      <c r="P28" s="14"/>
      <c r="Q28" s="3"/>
      <c r="V28" s="190" t="s">
        <v>799</v>
      </c>
      <c r="W28" s="191"/>
    </row>
    <row r="29" spans="1:23" ht="15.75" thickTop="1" x14ac:dyDescent="0.25">
      <c r="A29" s="50"/>
      <c r="B29" s="51"/>
      <c r="C29" s="51"/>
      <c r="D29" s="51"/>
      <c r="E29" s="52"/>
      <c r="F29" s="119" t="s">
        <v>293</v>
      </c>
      <c r="G29" s="120"/>
      <c r="H29" s="4" t="str">
        <f>IFERROR(VLOOKUP(F29,Abilities,4,FALSE),"")</f>
        <v>LW2</v>
      </c>
      <c r="I29" s="121" t="s">
        <v>962</v>
      </c>
      <c r="J29" s="120"/>
      <c r="K29" s="35" t="str">
        <f>IFERROR(VLOOKUP(I29,Abilities,4,FALSE),"")</f>
        <v>BLANK</v>
      </c>
      <c r="L29" s="122" t="s">
        <v>286</v>
      </c>
      <c r="M29" s="120"/>
      <c r="N29" s="10" t="str">
        <f>IFERROR(VLOOKUP(L29,Abilities,4,FALSE),"")</f>
        <v>LW2</v>
      </c>
      <c r="O29" s="14"/>
      <c r="P29" s="14"/>
      <c r="Q29" s="3"/>
      <c r="V29" s="190" t="s">
        <v>825</v>
      </c>
      <c r="W29" s="191"/>
    </row>
    <row r="30" spans="1:23" x14ac:dyDescent="0.25">
      <c r="A30" s="50"/>
      <c r="B30" s="51"/>
      <c r="C30" s="51"/>
      <c r="D30" s="51"/>
      <c r="E30" s="52"/>
      <c r="F30" s="144">
        <f>IFERROR(VLOOKUP(F29,Abilities,7,FALSE),"")</f>
        <v>0</v>
      </c>
      <c r="G30" s="130"/>
      <c r="H30" s="131"/>
      <c r="I30" s="129" t="str">
        <f>IFERROR(VLOOKUP(I29,Abilities,7,FALSE),"")</f>
        <v xml:space="preserve"> </v>
      </c>
      <c r="J30" s="130"/>
      <c r="K30" s="131"/>
      <c r="L30" s="130">
        <f>IFERROR(VLOOKUP(L29,Abilities,7,FALSE),"")</f>
        <v>0</v>
      </c>
      <c r="M30" s="130"/>
      <c r="N30" s="135"/>
      <c r="O30" s="14"/>
      <c r="P30" s="14"/>
      <c r="Q30" s="3"/>
      <c r="V30" s="190" t="s">
        <v>819</v>
      </c>
      <c r="W30" s="191"/>
    </row>
    <row r="31" spans="1:23" ht="15.75" thickBot="1" x14ac:dyDescent="0.3">
      <c r="A31" s="50"/>
      <c r="B31" s="51"/>
      <c r="C31" s="51"/>
      <c r="D31" s="51"/>
      <c r="E31" s="52"/>
      <c r="F31" s="167"/>
      <c r="G31" s="147"/>
      <c r="H31" s="148"/>
      <c r="I31" s="146"/>
      <c r="J31" s="147"/>
      <c r="K31" s="148"/>
      <c r="L31" s="147"/>
      <c r="M31" s="147"/>
      <c r="N31" s="168"/>
      <c r="O31" s="14"/>
      <c r="P31" s="14"/>
      <c r="Q31" s="3"/>
      <c r="V31" s="192" t="s">
        <v>820</v>
      </c>
      <c r="W31" s="193"/>
    </row>
    <row r="32" spans="1:23" ht="18" thickBot="1" x14ac:dyDescent="0.35">
      <c r="A32" s="50"/>
      <c r="B32" s="51"/>
      <c r="C32" s="51"/>
      <c r="D32" s="51"/>
      <c r="E32" s="52"/>
      <c r="F32" s="169" t="s">
        <v>446</v>
      </c>
      <c r="G32" s="170"/>
      <c r="H32" s="170"/>
      <c r="I32" s="170"/>
      <c r="J32" s="170"/>
      <c r="K32" s="170"/>
      <c r="L32" s="170"/>
      <c r="M32" s="170"/>
      <c r="N32" s="171"/>
      <c r="O32" s="14"/>
      <c r="P32" s="14"/>
      <c r="Q32" s="3"/>
      <c r="V32" s="192" t="s">
        <v>848</v>
      </c>
      <c r="W32" s="193"/>
    </row>
    <row r="33" spans="1:23" ht="15.75" thickTop="1" x14ac:dyDescent="0.25">
      <c r="A33" s="50"/>
      <c r="B33" s="51"/>
      <c r="C33" s="51"/>
      <c r="D33" s="51"/>
      <c r="E33" s="52"/>
      <c r="F33" s="121" t="s">
        <v>962</v>
      </c>
      <c r="G33" s="120"/>
      <c r="H33" s="4" t="str">
        <f>IFERROR(VLOOKUP(F33,Abilities,4,FALSE),"")</f>
        <v>BLANK</v>
      </c>
      <c r="I33" s="121" t="s">
        <v>288</v>
      </c>
      <c r="J33" s="120"/>
      <c r="K33" s="35" t="str">
        <f>IFERROR(VLOOKUP(I33,Abilities,4,FALSE),"")</f>
        <v>LW2</v>
      </c>
      <c r="L33" s="121" t="s">
        <v>962</v>
      </c>
      <c r="M33" s="120"/>
      <c r="N33" s="10" t="str">
        <f>IFERROR(VLOOKUP(L33,Abilities,4,FALSE),"")</f>
        <v>BLANK</v>
      </c>
      <c r="O33" s="14"/>
      <c r="P33" s="14"/>
      <c r="Q33" s="3"/>
      <c r="V33" s="192" t="s">
        <v>822</v>
      </c>
      <c r="W33" s="193"/>
    </row>
    <row r="34" spans="1:23" x14ac:dyDescent="0.25">
      <c r="A34" s="50"/>
      <c r="B34" s="51"/>
      <c r="C34" s="51"/>
      <c r="D34" s="51"/>
      <c r="E34" s="52"/>
      <c r="F34" s="144" t="str">
        <f>IFERROR(VLOOKUP(F33,Abilities,7,FALSE),"")</f>
        <v xml:space="preserve"> </v>
      </c>
      <c r="G34" s="130"/>
      <c r="H34" s="131"/>
      <c r="I34" s="129">
        <f>IFERROR(VLOOKUP(I33,Abilities,7,FALSE),"")</f>
        <v>0</v>
      </c>
      <c r="J34" s="130"/>
      <c r="K34" s="131"/>
      <c r="L34" s="130" t="str">
        <f>IFERROR(VLOOKUP(L33,Abilities,7,FALSE),"")</f>
        <v xml:space="preserve"> </v>
      </c>
      <c r="M34" s="130"/>
      <c r="N34" s="135"/>
      <c r="O34" s="14"/>
      <c r="P34" s="14"/>
      <c r="Q34" s="3"/>
      <c r="V34" s="190" t="s">
        <v>816</v>
      </c>
      <c r="W34" s="191"/>
    </row>
    <row r="35" spans="1:23" ht="15.75" thickBot="1" x14ac:dyDescent="0.3">
      <c r="A35" s="50"/>
      <c r="B35" s="51"/>
      <c r="C35" s="51"/>
      <c r="D35" s="51"/>
      <c r="E35" s="52"/>
      <c r="F35" s="167"/>
      <c r="G35" s="147"/>
      <c r="H35" s="148"/>
      <c r="I35" s="146"/>
      <c r="J35" s="147"/>
      <c r="K35" s="148"/>
      <c r="L35" s="147"/>
      <c r="M35" s="147"/>
      <c r="N35" s="168"/>
      <c r="O35" s="14"/>
      <c r="P35" s="14"/>
      <c r="Q35" s="3"/>
      <c r="V35" s="194" t="s">
        <v>800</v>
      </c>
      <c r="W35" s="195"/>
    </row>
    <row r="36" spans="1:23" ht="18" thickBot="1" x14ac:dyDescent="0.35">
      <c r="A36" s="50"/>
      <c r="B36" s="51"/>
      <c r="C36" s="51"/>
      <c r="D36" s="51"/>
      <c r="E36" s="52"/>
      <c r="F36" s="169" t="s">
        <v>447</v>
      </c>
      <c r="G36" s="170"/>
      <c r="H36" s="170"/>
      <c r="I36" s="170"/>
      <c r="J36" s="170"/>
      <c r="K36" s="170"/>
      <c r="L36" s="170"/>
      <c r="M36" s="170"/>
      <c r="N36" s="171"/>
    </row>
    <row r="37" spans="1:23" ht="15.75" thickTop="1" x14ac:dyDescent="0.25">
      <c r="A37" s="50"/>
      <c r="B37" s="51"/>
      <c r="C37" s="51"/>
      <c r="D37" s="51"/>
      <c r="E37" s="52"/>
      <c r="F37" s="119" t="s">
        <v>118</v>
      </c>
      <c r="G37" s="120"/>
      <c r="H37" s="4" t="str">
        <f>IFERROR(VLOOKUP(F37,Abilities,4,FALSE),"")</f>
        <v>XCOM2</v>
      </c>
      <c r="I37" s="121" t="s">
        <v>962</v>
      </c>
      <c r="J37" s="120"/>
      <c r="K37" s="35" t="str">
        <f>IFERROR(VLOOKUP(I37,Abilities,4,FALSE),"")</f>
        <v>BLANK</v>
      </c>
      <c r="L37" s="122" t="s">
        <v>71</v>
      </c>
      <c r="M37" s="120"/>
      <c r="N37" s="10" t="str">
        <f>IFERROR(VLOOKUP(L37,Abilities,4,FALSE),"")</f>
        <v>XCOM2</v>
      </c>
    </row>
    <row r="38" spans="1:23" x14ac:dyDescent="0.25">
      <c r="A38" s="50"/>
      <c r="B38" s="51"/>
      <c r="C38" s="51"/>
      <c r="D38" s="51"/>
      <c r="E38" s="52"/>
      <c r="F38" s="144" t="str">
        <f>IFERROR(VLOOKUP(F37,Abilities,7,FALSE),"")</f>
        <v>Fire a hail of bullets in a cone damaging every enemy and all cover within. Uses 3 ammo, 5 turn cool down.</v>
      </c>
      <c r="G38" s="130"/>
      <c r="H38" s="131"/>
      <c r="I38" s="129" t="str">
        <f>IFERROR(VLOOKUP(I37,Abilities,7,FALSE),"")</f>
        <v xml:space="preserve"> </v>
      </c>
      <c r="J38" s="130"/>
      <c r="K38" s="131"/>
      <c r="L38" s="130" t="str">
        <f>IFERROR(VLOOKUP(L37,Abilities,7,FALSE),"")</f>
        <v>Take a reaction shot against any enemy that moves or attacks within a cone of fire. 3 turn cooldown.</v>
      </c>
      <c r="M38" s="130"/>
      <c r="N38" s="135"/>
    </row>
    <row r="39" spans="1:23" ht="15.75" thickBot="1" x14ac:dyDescent="0.3">
      <c r="A39" s="53"/>
      <c r="B39" s="54"/>
      <c r="C39" s="54"/>
      <c r="D39" s="54"/>
      <c r="E39" s="55"/>
      <c r="F39" s="167"/>
      <c r="G39" s="147"/>
      <c r="H39" s="148"/>
      <c r="I39" s="146"/>
      <c r="J39" s="147"/>
      <c r="K39" s="148"/>
      <c r="L39" s="147"/>
      <c r="M39" s="147"/>
      <c r="N39" s="168"/>
    </row>
    <row r="40" spans="1:23" ht="15" customHeight="1" x14ac:dyDescent="0.25">
      <c r="A40" s="86" t="s">
        <v>1200</v>
      </c>
      <c r="B40" s="86"/>
      <c r="C40" s="88" t="str">
        <f>SUBSTITUTE(C1," ","")</f>
        <v>Gunner</v>
      </c>
      <c r="D40" s="88"/>
      <c r="E40" s="88"/>
      <c r="F40" s="238"/>
      <c r="G40" s="238"/>
      <c r="H40" s="237"/>
      <c r="I40" s="237"/>
      <c r="J40" s="237"/>
    </row>
    <row r="41" spans="1:23" ht="15" customHeight="1" thickBot="1" x14ac:dyDescent="0.3">
      <c r="A41" s="87"/>
      <c r="B41" s="87"/>
      <c r="C41" s="89"/>
      <c r="D41" s="89"/>
      <c r="E41" s="89"/>
      <c r="F41" s="239"/>
      <c r="G41" s="239"/>
      <c r="H41" s="237"/>
      <c r="I41" s="237"/>
      <c r="J41" s="237"/>
    </row>
    <row r="42" spans="1:23" ht="16.5" thickBot="1" x14ac:dyDescent="0.3">
      <c r="A42" s="242" t="s">
        <v>339</v>
      </c>
      <c r="B42" s="244"/>
      <c r="C42" s="253" t="s">
        <v>342</v>
      </c>
      <c r="D42" s="247"/>
      <c r="E42" s="251" t="s">
        <v>343</v>
      </c>
      <c r="F42" s="250"/>
      <c r="G42" s="234"/>
      <c r="H42" s="235"/>
      <c r="I42" s="235"/>
      <c r="J42" s="235"/>
    </row>
    <row r="43" spans="1:23" x14ac:dyDescent="0.25">
      <c r="A43" s="243" t="str">
        <f ca="1">"; "&amp;INDIRECT("C1")&amp;" class data"</f>
        <v>; Gunner class data</v>
      </c>
      <c r="B43" s="234" t="s">
        <v>340</v>
      </c>
      <c r="C43" s="254" t="str">
        <f ca="1">"; "&amp;INDIRECT("C1")&amp;" class loadout"</f>
        <v>; Gunner class loadout</v>
      </c>
      <c r="D43" s="234" t="s">
        <v>340</v>
      </c>
      <c r="E43" s="252" t="str">
        <f ca="1">"["&amp;INDIRECT("C3")&amp;" X2SoldierClassTemplate]"</f>
        <v>[LWD_Gunner X2SoldierClassTemplate]</v>
      </c>
      <c r="F43" s="234" t="s">
        <v>340</v>
      </c>
      <c r="G43" s="234"/>
      <c r="H43" s="235"/>
      <c r="I43" s="235"/>
      <c r="J43" s="235"/>
    </row>
    <row r="44" spans="1:23" x14ac:dyDescent="0.25">
      <c r="A44" s="240"/>
      <c r="B44" s="234"/>
      <c r="C44" s="245"/>
      <c r="D44" s="234" t="s">
        <v>340</v>
      </c>
      <c r="E44" s="248" t="str">
        <f ca="1">"+DisplayName="""&amp;INDIRECT("C1")&amp;""""</f>
        <v>+DisplayName="Gunner"</v>
      </c>
      <c r="F44" s="234" t="s">
        <v>340</v>
      </c>
      <c r="G44" s="234"/>
      <c r="H44" s="235"/>
      <c r="I44" s="235"/>
      <c r="J44" s="235"/>
    </row>
    <row r="45" spans="1:23" x14ac:dyDescent="0.25">
      <c r="A45" s="240" t="str">
        <f>"[XComGame.X2SoldierClass_DefaultClasses]"</f>
        <v>[XComGame.X2SoldierClass_DefaultClasses]</v>
      </c>
      <c r="B45" s="234" t="s">
        <v>340</v>
      </c>
      <c r="C45" s="245" t="s">
        <v>341</v>
      </c>
      <c r="D45" s="234" t="s">
        <v>340</v>
      </c>
      <c r="E45" s="248" t="str">
        <f ca="1">"+ClassSummary="""&amp;INDIRECT("A20")&amp;""""</f>
        <v>+ClassSummary="The Gunner is trained to use heavy automatic weapons, able to cover the squad with suppressive fire or inflict significant damage in direct attacks. They also carry a combat knife as a backup."</v>
      </c>
      <c r="F45" s="234" t="s">
        <v>340</v>
      </c>
      <c r="G45" s="234"/>
      <c r="H45" s="235"/>
      <c r="I45" s="235"/>
      <c r="J45" s="235"/>
    </row>
    <row r="46" spans="1:23" x14ac:dyDescent="0.25">
      <c r="A46" s="240" t="str">
        <f ca="1">"+SoldierClasses="&amp;INDIRECT("C3")</f>
        <v>+SoldierClasses=LWD_Gunner</v>
      </c>
      <c r="B46" s="234" t="s">
        <v>340</v>
      </c>
      <c r="C46" s="245"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+Loadouts=(LoadoutName="SquaddieLWD_Gunner", Items[0]=(Item="Cannon_CV"), Items[1]=(Item="CombatKnife_CV"))</v>
      </c>
      <c r="D46" s="234" t="s">
        <v>340</v>
      </c>
      <c r="E46" s="248" t="str">
        <f ca="1">"+LeftAbilityTreeTitle="""&amp;INDIRECT("F11")&amp;""""</f>
        <v>+LeftAbilityTreeTitle="SAW Gunner"</v>
      </c>
      <c r="F46" s="234" t="s">
        <v>340</v>
      </c>
      <c r="G46" s="234"/>
      <c r="H46" s="235"/>
      <c r="I46" s="234"/>
      <c r="J46" s="234"/>
    </row>
    <row r="47" spans="1:23" x14ac:dyDescent="0.25">
      <c r="A47" s="240"/>
      <c r="B47" s="234" t="s">
        <v>340</v>
      </c>
      <c r="C47" s="245"/>
      <c r="D47" s="234" t="s">
        <v>340</v>
      </c>
      <c r="E47" s="248" t="str">
        <f ca="1">"+RightAbilityTreeTitle="""&amp;INDIRECT("L11")&amp;""""</f>
        <v>+RightAbilityTreeTitle="Machinegunner"</v>
      </c>
      <c r="F47" s="234" t="s">
        <v>340</v>
      </c>
      <c r="G47" s="234"/>
      <c r="H47" s="235"/>
      <c r="I47" s="234"/>
      <c r="J47" s="234"/>
    </row>
    <row r="48" spans="1:23" x14ac:dyDescent="0.25">
      <c r="A48" s="240" t="str">
        <f ca="1">"["&amp;INDIRECT("C3")&amp;" X2SoldierClassTemplate]"</f>
        <v>[LWD_Gunner X2SoldierClassTemplate]</v>
      </c>
      <c r="B48" s="234" t="s">
        <v>340</v>
      </c>
      <c r="C48" s="245" t="s">
        <v>351</v>
      </c>
      <c r="D48" s="234" t="s">
        <v>340</v>
      </c>
      <c r="E48" s="248" t="str">
        <f>"; Nicknames"</f>
        <v>; Nicknames</v>
      </c>
      <c r="F48" s="234" t="s">
        <v>340</v>
      </c>
      <c r="G48" s="234"/>
      <c r="H48" s="234"/>
      <c r="I48" s="234"/>
      <c r="J48" s="234"/>
    </row>
    <row r="49" spans="1:10" ht="15.75" thickBot="1" x14ac:dyDescent="0.3">
      <c r="A49" s="240" t="str">
        <f ca="1">"+bMultiplayerOnly="&amp;INDIRECT("E6")</f>
        <v>+bMultiplayerOnly=0</v>
      </c>
      <c r="B49" s="234" t="s">
        <v>340</v>
      </c>
      <c r="C49" s="246" t="str">
        <f ca="1">"+DEBUG_StartingSoldierClasses="""&amp;INDIRECT("C3")&amp;""""</f>
        <v>+DEBUG_StartingSoldierClasses="LWD_Gunner"</v>
      </c>
      <c r="D49" s="234" t="s">
        <v>340</v>
      </c>
      <c r="E49" s="248" t="str">
        <f ca="1">IF(INDIRECT("V4")&lt;&gt;"","RandomNickNames[0]="""&amp;INDIRECT("V4")&amp;"""","")</f>
        <v>RandomNickNames[0]="Angel"</v>
      </c>
      <c r="F49" s="234" t="s">
        <v>340</v>
      </c>
      <c r="G49" s="234"/>
      <c r="H49" s="234"/>
      <c r="I49" s="234"/>
      <c r="J49" s="234"/>
    </row>
    <row r="50" spans="1:10" x14ac:dyDescent="0.25">
      <c r="A50" s="240" t="str">
        <f ca="1">"+ClassPoints="&amp;INDIRECT("E7")</f>
        <v>+ClassPoints=4</v>
      </c>
      <c r="B50" s="234" t="s">
        <v>340</v>
      </c>
      <c r="C50" s="234"/>
      <c r="D50" s="234"/>
      <c r="E50" s="248" t="str">
        <f ca="1">IF(INDIRECT("V5")&lt;&gt;"","RandomNickNames[1]="""&amp;INDIRECT("V5")&amp;"""","")</f>
        <v>RandomNickNames[1]="Bargain"</v>
      </c>
      <c r="F50" s="234" t="s">
        <v>340</v>
      </c>
      <c r="G50" s="234"/>
      <c r="H50" s="234"/>
      <c r="I50" s="234"/>
      <c r="J50" s="234"/>
    </row>
    <row r="51" spans="1:10" x14ac:dyDescent="0.25">
      <c r="A51" s="240" t="str">
        <f ca="1">"+IconImage="&amp;""""&amp;INDIRECT("E8")&amp;""""</f>
        <v>+IconImage="img:///UILibrary_LW_PerkPack.Class_Gunner"</v>
      </c>
      <c r="B51" s="234" t="s">
        <v>340</v>
      </c>
      <c r="C51" s="234"/>
      <c r="D51" s="234"/>
      <c r="E51" s="248" t="str">
        <f ca="1">IF(INDIRECT("V6")&lt;&gt;"","RandomNickNames[2]="""&amp;INDIRECT("V6")&amp;"""","")</f>
        <v>RandomNickNames[2]="Beta"</v>
      </c>
      <c r="F51" s="234" t="s">
        <v>340</v>
      </c>
      <c r="G51" s="234"/>
      <c r="H51" s="234"/>
      <c r="I51" s="234"/>
      <c r="J51" s="234"/>
    </row>
    <row r="52" spans="1:10" x14ac:dyDescent="0.25">
      <c r="A52" s="240" t="str">
        <f ca="1">"+NumInForcedDeck="&amp;INDIRECT("E9")</f>
        <v>+NumInForcedDeck=1</v>
      </c>
      <c r="B52" s="234" t="s">
        <v>340</v>
      </c>
      <c r="C52" s="234"/>
      <c r="D52" s="234"/>
      <c r="E52" s="248" t="str">
        <f ca="1">IF(INDIRECT("V7")&lt;&gt;"","RandomNickNames[3]="""&amp;INDIRECT("V7")&amp;"""","")</f>
        <v>RandomNickNames[3]="Bishop"</v>
      </c>
      <c r="F52" s="234" t="s">
        <v>340</v>
      </c>
      <c r="G52" s="234"/>
      <c r="H52" s="234"/>
      <c r="I52" s="234"/>
      <c r="J52" s="234"/>
    </row>
    <row r="53" spans="1:10" x14ac:dyDescent="0.25">
      <c r="A53" s="240" t="str">
        <f ca="1">"+NumInDeck="&amp;INDIRECT("E10")</f>
        <v>+NumInDeck=4</v>
      </c>
      <c r="B53" s="234" t="s">
        <v>340</v>
      </c>
      <c r="C53" s="234"/>
      <c r="D53" s="234"/>
      <c r="E53" s="248" t="str">
        <f ca="1">IF(INDIRECT("V8")&lt;&gt;"","RandomNickNames[4]="""&amp;INDIRECT("V8")&amp;"""","")</f>
        <v>RandomNickNames[4]="Dakka"</v>
      </c>
      <c r="F53" s="234" t="s">
        <v>340</v>
      </c>
      <c r="G53" s="234"/>
      <c r="H53" s="234"/>
      <c r="I53" s="234"/>
      <c r="J53" s="234"/>
    </row>
    <row r="54" spans="1:10" x14ac:dyDescent="0.25">
      <c r="A54" s="240" t="str">
        <f ca="1">"+KillAssistsPerKill="&amp;INDIRECT("E11")</f>
        <v>+KillAssistsPerKill=4</v>
      </c>
      <c r="B54" s="234" t="s">
        <v>340</v>
      </c>
      <c r="C54" s="234"/>
      <c r="D54" s="234"/>
      <c r="E54" s="248" t="str">
        <f ca="1">IF(INDIRECT("V9")&lt;&gt;"","RandomNickNames[5]="""&amp;INDIRECT("V9")&amp;"""","")</f>
        <v>RandomNickNames[5]="Breaker"</v>
      </c>
      <c r="F54" s="234" t="s">
        <v>340</v>
      </c>
      <c r="G54" s="234"/>
      <c r="H54" s="234"/>
      <c r="I54" s="234"/>
      <c r="J54" s="234"/>
    </row>
    <row r="55" spans="1:10" x14ac:dyDescent="0.25">
      <c r="A55" s="240" t="str">
        <f ca="1">"+SquaddieLoadout=Squaddie"&amp;INDIRECT("C3")</f>
        <v>+SquaddieLoadout=SquaddieLWD_Gunner</v>
      </c>
      <c r="B55" s="234" t="s">
        <v>340</v>
      </c>
      <c r="C55" s="234"/>
      <c r="D55" s="234"/>
      <c r="E55" s="248" t="str">
        <f ca="1">IF(INDIRECT("V10")&lt;&gt;"","RandomNickNames[6]="""&amp;INDIRECT("V10")&amp;"""","")</f>
        <v>RandomNickNames[6]="Broker"</v>
      </c>
      <c r="F55" s="234" t="s">
        <v>340</v>
      </c>
      <c r="G55" s="234"/>
      <c r="H55" s="234"/>
      <c r="I55" s="234"/>
      <c r="J55" s="234"/>
    </row>
    <row r="56" spans="1:10" x14ac:dyDescent="0.25">
      <c r="A56" s="240" t="str">
        <f ca="1">";+bAllowAWCAbilities="&amp;INDIRECT("E12")&amp;" ; Not a thing in LW2"</f>
        <v>;+bAllowAWCAbilities=1 ; Not a thing in LW2</v>
      </c>
      <c r="B56" s="234" t="s">
        <v>340</v>
      </c>
      <c r="C56" s="234"/>
      <c r="D56" s="234"/>
      <c r="E56" s="248" t="str">
        <f ca="1">IF(INDIRECT("V11")&lt;&gt;"","RandomNickNames[7]="""&amp;INDIRECT("V11")&amp;"""","")</f>
        <v>RandomNickNames[7]="Conquest"</v>
      </c>
      <c r="F56" s="234" t="s">
        <v>340</v>
      </c>
      <c r="G56" s="234"/>
      <c r="H56" s="234"/>
      <c r="I56" s="234"/>
      <c r="J56" s="234"/>
    </row>
    <row r="57" spans="1:10" x14ac:dyDescent="0.25">
      <c r="A57" s="240" t="str">
        <f ca="1">IF(INDIRECT("B5")=FALSE,";","")&amp;"+AllowedWeapons=(SlotType=eInvSlot_PrimaryWeapon, WeaponType=""rifle"")"</f>
        <v>;+AllowedWeapons=(SlotType=eInvSlot_PrimaryWeapon, WeaponType="rifle")</v>
      </c>
      <c r="B57" s="234" t="s">
        <v>340</v>
      </c>
      <c r="C57" s="234"/>
      <c r="D57" s="234"/>
      <c r="E57" s="248" t="str">
        <f ca="1">IF(INDIRECT("V12")&lt;&gt;"","RandomNickNames[8]="""&amp;INDIRECT("V12")&amp;"""","")</f>
        <v>RandomNickNames[8]="Deacon"</v>
      </c>
      <c r="F57" s="234" t="s">
        <v>340</v>
      </c>
      <c r="G57" s="234"/>
      <c r="H57" s="234"/>
      <c r="I57" s="234"/>
      <c r="J57" s="234"/>
    </row>
    <row r="58" spans="1:10" x14ac:dyDescent="0.25">
      <c r="A58" s="240" t="str">
        <f ca="1">IF(INDIRECT("B6")=FALSE,";","")&amp;"+AllowedWeapons=(SlotType=eInvSlot_PrimaryWeapon, WeaponType=""cannon"")"</f>
        <v>+AllowedWeapons=(SlotType=eInvSlot_PrimaryWeapon, WeaponType="cannon")</v>
      </c>
      <c r="B58" s="234" t="s">
        <v>340</v>
      </c>
      <c r="C58" s="234"/>
      <c r="D58" s="234"/>
      <c r="E58" s="248" t="str">
        <f ca="1">IF(INDIRECT("V13")&lt;&gt;"","RandomNickNames[9]="""&amp;INDIRECT("V13")&amp;"""","")</f>
        <v>RandomNickNames[9]="Doomtrain"</v>
      </c>
      <c r="F58" s="234" t="s">
        <v>340</v>
      </c>
      <c r="G58" s="234"/>
      <c r="H58" s="234"/>
      <c r="I58" s="234"/>
      <c r="J58" s="234"/>
    </row>
    <row r="59" spans="1:10" x14ac:dyDescent="0.25">
      <c r="A59" s="240" t="str">
        <f ca="1">IF(INDIRECT("B7")=FALSE,";","")&amp;"+AllowedWeapons=(SlotType=eInvSlot_PrimaryWeapon, WeaponType=""shotgun"")"</f>
        <v>;+AllowedWeapons=(SlotType=eInvSlot_PrimaryWeapon, WeaponType="shotgun")</v>
      </c>
      <c r="B59" s="234" t="s">
        <v>340</v>
      </c>
      <c r="C59" s="234"/>
      <c r="D59" s="234"/>
      <c r="E59" s="248" t="str">
        <f ca="1">IF(INDIRECT("V14")&lt;&gt;"","RandomNickNames[10]="""&amp;INDIRECT("V14")&amp;"""","")</f>
        <v>RandomNickNames[10]="Dr. Feelgood"</v>
      </c>
      <c r="F59" s="234" t="s">
        <v>340</v>
      </c>
      <c r="G59" s="234"/>
      <c r="H59" s="234"/>
      <c r="I59" s="234"/>
      <c r="J59" s="234"/>
    </row>
    <row r="60" spans="1:10" x14ac:dyDescent="0.25">
      <c r="A60" s="240" t="str">
        <f ca="1">IF(INDIRECT("B8")=FALSE,";","")&amp;"+AllowedWeapons=(SlotType=eInvSlot_PrimaryWeapon, WeaponType=""sniper_rifle"")"</f>
        <v>;+AllowedWeapons=(SlotType=eInvSlot_PrimaryWeapon, WeaponType="sniper_rifle")</v>
      </c>
      <c r="B60" s="234" t="s">
        <v>340</v>
      </c>
      <c r="C60" s="234"/>
      <c r="D60" s="234"/>
      <c r="E60" s="248" t="str">
        <f ca="1">IF(INDIRECT("V15")&lt;&gt;"","RandomNickNames[11]="""&amp;INDIRECT("V15")&amp;"""","")</f>
        <v>RandomNickNames[11]="Famine"</v>
      </c>
      <c r="F60" s="234" t="s">
        <v>340</v>
      </c>
      <c r="G60" s="234"/>
      <c r="H60" s="234"/>
      <c r="I60" s="234"/>
      <c r="J60" s="234"/>
    </row>
    <row r="61" spans="1:10" x14ac:dyDescent="0.25">
      <c r="A61" s="240" t="str">
        <f ca="1">IF(INDIRECT("B9")=FALSE,";","")&amp;"+AllowedWeapons=(SlotType=eInvSlot_SecondaryWeapon, WeaponType=""gauntlet"")"</f>
        <v>;+AllowedWeapons=(SlotType=eInvSlot_SecondaryWeapon, WeaponType="gauntlet")</v>
      </c>
      <c r="B61" s="234" t="s">
        <v>340</v>
      </c>
      <c r="C61" s="234"/>
      <c r="D61" s="234"/>
      <c r="E61" s="248" t="str">
        <f ca="1">IF(INDIRECT("V16")&lt;&gt;"","RandomNickNames[12]="""&amp;INDIRECT("V16")&amp;"""","")</f>
        <v>RandomNickNames[12]="More"</v>
      </c>
      <c r="F61" s="234" t="s">
        <v>340</v>
      </c>
      <c r="G61" s="234"/>
      <c r="H61" s="234"/>
      <c r="I61" s="234"/>
      <c r="J61" s="234"/>
    </row>
    <row r="62" spans="1:10" x14ac:dyDescent="0.25">
      <c r="A62" s="240" t="str">
        <f ca="1">IF(INDIRECT("B10")=FALSE,";","")&amp;"+AllowedWeapons=(SlotType=eInvSlot_SecondaryWeapon, WeaponType=""combatknife"")"</f>
        <v>+AllowedWeapons=(SlotType=eInvSlot_SecondaryWeapon, WeaponType="combatknife")</v>
      </c>
      <c r="B62" s="234" t="s">
        <v>340</v>
      </c>
      <c r="C62" s="234"/>
      <c r="D62" s="234"/>
      <c r="E62" s="248" t="str">
        <f ca="1">IF(INDIRECT("V17")&lt;&gt;"","RandomNickNames[13]="""&amp;INDIRECT("V17")&amp;"""","")</f>
        <v>RandomNickNames[13]="Firewall"</v>
      </c>
      <c r="F62" s="234" t="s">
        <v>340</v>
      </c>
      <c r="G62" s="234"/>
      <c r="H62" s="234"/>
      <c r="I62" s="234"/>
      <c r="J62" s="234"/>
    </row>
    <row r="63" spans="1:10" x14ac:dyDescent="0.25">
      <c r="A63" s="240" t="str">
        <f ca="1">IF(INDIRECT("B11")=FALSE,";","")&amp;"+AllowedWeapons=(SlotType=eInvSlot_SecondaryWeapon, WeaponType=""grenade_launcher"")"</f>
        <v>;+AllowedWeapons=(SlotType=eInvSlot_SecondaryWeapon, WeaponType="grenade_launcher")</v>
      </c>
      <c r="B63" s="234" t="s">
        <v>340</v>
      </c>
      <c r="C63" s="234"/>
      <c r="D63" s="234"/>
      <c r="E63" s="248" t="str">
        <f ca="1">IF(INDIRECT("V18")&lt;&gt;"","RandomNickNames[14]="""&amp;INDIRECT("V18")&amp;"""","")</f>
        <v>RandomNickNames[14]="Genius"</v>
      </c>
      <c r="F63" s="234" t="s">
        <v>340</v>
      </c>
      <c r="G63" s="234"/>
      <c r="H63" s="234"/>
      <c r="I63" s="234"/>
      <c r="J63" s="234"/>
    </row>
    <row r="64" spans="1:10" x14ac:dyDescent="0.25">
      <c r="A64" s="240" t="str">
        <f ca="1">IF(INDIRECT("B12")=FALSE,";","")&amp;"+AllowedWeapons=(SlotType=eInvSlot_SecondaryWeapon, WeaponType=""gremlin"")"</f>
        <v>;+AllowedWeapons=(SlotType=eInvSlot_SecondaryWeapon, WeaponType="gremlin")</v>
      </c>
      <c r="B64" s="234" t="s">
        <v>340</v>
      </c>
      <c r="C64" s="234"/>
      <c r="D64" s="234"/>
      <c r="E64" s="248" t="str">
        <f ca="1">IF(INDIRECT("V19")&lt;&gt;"","RandomNickNames[15]="""&amp;INDIRECT("V19")&amp;"""","")</f>
        <v>RandomNickNames[15]="Gizmo"</v>
      </c>
      <c r="F64" s="234" t="s">
        <v>340</v>
      </c>
      <c r="G64" s="234"/>
      <c r="H64" s="234"/>
      <c r="I64" s="234"/>
      <c r="J64" s="234"/>
    </row>
    <row r="65" spans="1:10" x14ac:dyDescent="0.25">
      <c r="A65" s="240" t="str">
        <f ca="1">IF(INDIRECT("B13")=FALSE,";","")&amp;"+AllowedWeapons=(SlotType=eInvSlot_SecondaryWeapon, WeaponType=""sword"")"</f>
        <v>;+AllowedWeapons=(SlotType=eInvSlot_SecondaryWeapon, WeaponType="sword")</v>
      </c>
      <c r="B65" s="234" t="s">
        <v>340</v>
      </c>
      <c r="C65" s="234"/>
      <c r="D65" s="234"/>
      <c r="E65" s="248" t="str">
        <f ca="1">IF(INDIRECT("V20")&lt;&gt;"","RandomNickNames[16]="""&amp;INDIRECT("V20")&amp;"""","")</f>
        <v>RandomNickNames[16]="Jester"</v>
      </c>
      <c r="F65" s="234" t="s">
        <v>340</v>
      </c>
      <c r="G65" s="234"/>
      <c r="H65" s="234"/>
      <c r="I65" s="234"/>
      <c r="J65" s="234"/>
    </row>
    <row r="66" spans="1:10" x14ac:dyDescent="0.25">
      <c r="A66" s="240" t="str">
        <f ca="1">IF(INDIRECT("B14")=FALSE,";","")&amp;"+AllowedWeapons=(SlotType=eInvSlot_SecondaryWeapon, WeaponType=""sawedoffshotgun"")"</f>
        <v>;+AllowedWeapons=(SlotType=eInvSlot_SecondaryWeapon, WeaponType="sawedoffshotgun")</v>
      </c>
      <c r="B66" s="234" t="s">
        <v>340</v>
      </c>
      <c r="C66" s="234"/>
      <c r="D66" s="234"/>
      <c r="E66" s="248" t="str">
        <f ca="1">IF(INDIRECT("V21")&lt;&gt;"","RandomNickNames[17]="""&amp;INDIRECT("V21")&amp;"""","")</f>
        <v>RandomNickNames[17]="Tiny"</v>
      </c>
      <c r="F66" s="234" t="s">
        <v>340</v>
      </c>
      <c r="G66" s="234"/>
      <c r="H66" s="234"/>
      <c r="I66" s="234"/>
      <c r="J66" s="234"/>
    </row>
    <row r="67" spans="1:10" x14ac:dyDescent="0.25">
      <c r="A67" s="240" t="str">
        <f ca="1">IF(INDIRECT("B15")=FALSE,";","")&amp;"+AllowedWeapons=(SlotType=eInvSlot_SecondaryWeapon, WeaponType=""arcthrower"")"</f>
        <v>;+AllowedWeapons=(SlotType=eInvSlot_SecondaryWeapon, WeaponType="arcthrower")</v>
      </c>
      <c r="B67" s="234" t="s">
        <v>340</v>
      </c>
      <c r="C67" s="234"/>
      <c r="D67" s="234"/>
      <c r="E67" s="248" t="str">
        <f ca="1">IF(INDIRECT("V22")&lt;&gt;"","RandomNickNames[18]="""&amp;INDIRECT("V22")&amp;"""","")</f>
        <v>RandomNickNames[18]="Lightning"</v>
      </c>
      <c r="F67" s="234" t="s">
        <v>340</v>
      </c>
      <c r="G67" s="234"/>
      <c r="H67" s="234"/>
      <c r="I67" s="234"/>
      <c r="J67" s="234"/>
    </row>
    <row r="68" spans="1:10" x14ac:dyDescent="0.25">
      <c r="A68" s="240" t="str">
        <f ca="1">IF(INDIRECT("B16")=FALSE,";","")&amp;"+AllowedWeapons=(SlotType=eInvSlot_SecondaryWeapon, WeaponType=""holotargeter"")"</f>
        <v>;+AllowedWeapons=(SlotType=eInvSlot_SecondaryWeapon, WeaponType="holotargeter")</v>
      </c>
      <c r="B68" s="234" t="s">
        <v>340</v>
      </c>
      <c r="C68" s="234"/>
      <c r="D68" s="234"/>
      <c r="E68" s="248" t="str">
        <f ca="1">IF(INDIRECT("V23")&lt;&gt;"","RandomNickNames[19]="""&amp;INDIRECT("V23")&amp;"""","")</f>
        <v>RandomNickNames[19]="Mayday"</v>
      </c>
      <c r="F68" s="234" t="s">
        <v>340</v>
      </c>
      <c r="G68" s="234"/>
      <c r="H68" s="234"/>
      <c r="I68" s="234"/>
      <c r="J68" s="234"/>
    </row>
    <row r="69" spans="1:10" x14ac:dyDescent="0.25">
      <c r="A69" s="240" t="str">
        <f ca="1">IF(INDIRECT("B17")=FALSE,";","")&amp;"+AllowedWeapons=(SlotType=eInvSlot_SecondaryWeapon, WeaponType=""psiamp"")"</f>
        <v>;+AllowedWeapons=(SlotType=eInvSlot_SecondaryWeapon, WeaponType="psiamp")</v>
      </c>
      <c r="B69" s="234" t="s">
        <v>340</v>
      </c>
      <c r="C69" s="234"/>
      <c r="D69" s="234"/>
      <c r="E69" s="248" t="str">
        <f ca="1">IF(INDIRECT("V24")&lt;&gt;"","RandomNickNames[20]="""&amp;INDIRECT("V24")&amp;"""","")</f>
        <v>RandomNickNames[20]="Mega"</v>
      </c>
      <c r="F69" s="234" t="s">
        <v>340</v>
      </c>
      <c r="G69" s="234"/>
      <c r="H69" s="234"/>
      <c r="I69" s="234"/>
      <c r="J69" s="234"/>
    </row>
    <row r="70" spans="1:10" x14ac:dyDescent="0.25">
      <c r="A70" s="240" t="str">
        <f ca="1">IF(INDIRECT("B9")=FALSE,";","")&amp;"+AllowedWeapons=(SlotType=eInvSlot_HeavyWeapon, WeaponType=""heavyammo"")"</f>
        <v>;+AllowedWeapons=(SlotType=eInvSlot_HeavyWeapon, WeaponType="heavyammo")</v>
      </c>
      <c r="B70" s="234" t="s">
        <v>340</v>
      </c>
      <c r="C70" s="234"/>
      <c r="D70" s="234"/>
      <c r="E70" s="248" t="str">
        <f ca="1">IF(INDIRECT("V25")&lt;&gt;"","RandomNickNames[21]="""&amp;INDIRECT("V25")&amp;"""","")</f>
        <v>RandomNickNames[21]="Newton"</v>
      </c>
      <c r="F70" s="234" t="s">
        <v>340</v>
      </c>
      <c r="G70" s="234"/>
      <c r="H70" s="234"/>
      <c r="I70" s="234"/>
      <c r="J70" s="234"/>
    </row>
    <row r="71" spans="1:10" x14ac:dyDescent="0.25">
      <c r="A71" s="240" t="str">
        <f ca="1">IF(INDIRECT("B9")=TRUE,";","")&amp;"+AllowedWeapons=(SlotType=eInvSlot_HeavyWeapon, WeaponType=""heavy"")"</f>
        <v>+AllowedWeapons=(SlotType=eInvSlot_HeavyWeapon, WeaponType="heavy")</v>
      </c>
      <c r="B71" s="234" t="s">
        <v>340</v>
      </c>
      <c r="C71" s="234"/>
      <c r="D71" s="234"/>
      <c r="E71" s="248" t="str">
        <f ca="1">IF(INDIRECT("V26")&lt;&gt;"","RandomNickNames[22]="""&amp;INDIRECT("V26")&amp;"""","")</f>
        <v>RandomNickNames[22]="Ragtime"</v>
      </c>
      <c r="F71" s="234" t="s">
        <v>340</v>
      </c>
      <c r="G71" s="234"/>
      <c r="H71" s="234"/>
      <c r="I71" s="234"/>
      <c r="J71" s="234"/>
    </row>
    <row r="72" spans="1:10" x14ac:dyDescent="0.25">
      <c r="A72" s="240" t="str">
        <f ca="1">"+AllowedArmors="&amp;INDIRECT("E13")</f>
        <v>+AllowedArmors=soldier</v>
      </c>
      <c r="B72" s="234" t="s">
        <v>340</v>
      </c>
      <c r="C72" s="234"/>
      <c r="D72" s="234"/>
      <c r="E72" s="248" t="str">
        <f ca="1">IF(INDIRECT("V27")&lt;&gt;"","RandomNickNames[23]="""&amp;INDIRECT("V27")&amp;"""","")</f>
        <v>RandomNickNames[23]="Rascal"</v>
      </c>
      <c r="F72" s="234" t="s">
        <v>340</v>
      </c>
      <c r="G72" s="234"/>
      <c r="H72" s="234"/>
      <c r="I72" s="234"/>
      <c r="J72" s="234"/>
    </row>
    <row r="73" spans="1:10" x14ac:dyDescent="0.25">
      <c r="A73" s="240" t="str">
        <f>"; squaddie"</f>
        <v>; squaddie</v>
      </c>
      <c r="B73" s="234" t="s">
        <v>340</v>
      </c>
      <c r="C73" s="234"/>
      <c r="D73" s="234"/>
      <c r="E73" s="248" t="str">
        <f ca="1">IF(INDIRECT("V28")&lt;&gt;"","RandomNickNames[24]="""&amp;INDIRECT("V28")&amp;"""","")</f>
        <v>RandomNickNames[24]="Rattler"</v>
      </c>
      <c r="F73" s="234" t="s">
        <v>340</v>
      </c>
      <c r="G73" s="234"/>
      <c r="H73" s="234"/>
      <c r="I73" s="234"/>
      <c r="J73" s="234"/>
    </row>
    <row r="74" spans="1:10" x14ac:dyDescent="0.25">
      <c r="A74" s="240" t="str">
        <f ca="1">"+SoldierRanks=(  aAbilityTree=( (AbilityName="""&amp;VLOOKUP(INDIRECT("F4"),Abilities,2,FALSE)&amp;""""&amp;IF(VLOOKUP(INDIRECT("F4"),Abilities,3,FALSE)="","",", ApplyToWeaponSlot=eInvSlot_"&amp;VLOOKUP(INDIRECT("F4"),Abilities,3,FALSE))&amp;"), \\"</f>
        <v>+SoldierRanks=(  aAbilityTree=( (AbilityName="LWD_Jab", ApplyToWeaponSlot=eInvSlot_SecondaryWeapon), \\</v>
      </c>
      <c r="B74" s="234" t="s">
        <v>340</v>
      </c>
      <c r="C74" s="234"/>
      <c r="D74" s="234"/>
      <c r="E74" s="248" t="str">
        <f ca="1">IF(INDIRECT("V29")&lt;&gt;"","RandomNickNames[25]="""&amp;INDIRECT("V29")&amp;"""","")</f>
        <v>RandomNickNames[25]="Revelation"</v>
      </c>
      <c r="F74" s="234" t="s">
        <v>340</v>
      </c>
      <c r="G74" s="234"/>
      <c r="H74" s="234"/>
      <c r="I74" s="234"/>
      <c r="J74" s="234"/>
    </row>
    <row r="75" spans="1:10" x14ac:dyDescent="0.25">
      <c r="A75" s="240" t="str">
        <f ca="1">IF(INDIRECT("I4")="","\\","(AbilityName="""&amp;VLOOKUP(INDIRECT("I4"),Abilities,2,FALSE)&amp;""""&amp;IF(VLOOKUP(INDIRECT("I4"),Abilities,3,FALSE)="","",", ApplyToWeaponSlot=eInvSlot_"&amp;VLOOKUP(INDIRECT("I4"),Abilities,3,FALSE))&amp;"), \\")</f>
        <v>(AbilityName="Suppression_LW", ApplyToWeaponSlot=eInvSlot_PrimaryWeapon), \\</v>
      </c>
      <c r="B75" s="234" t="s">
        <v>340</v>
      </c>
      <c r="C75" s="234"/>
      <c r="D75" s="234"/>
      <c r="E75" s="248" t="str">
        <f ca="1">IF(INDIRECT("V30")&lt;&gt;"","RandomNickNames[26]="""&amp;INDIRECT("V30")&amp;"""","")</f>
        <v>RandomNickNames[26]="Skipper"</v>
      </c>
      <c r="F75" s="234" t="s">
        <v>340</v>
      </c>
      <c r="G75" s="234"/>
      <c r="H75" s="234"/>
      <c r="I75" s="234"/>
      <c r="J75" s="234"/>
    </row>
    <row r="76" spans="1:10" x14ac:dyDescent="0.25">
      <c r="A76" s="240" t="str">
        <f ca="1">IF(INDIRECT("L4")="","\\","(AbilityName="""&amp;VLOOKUP(INDIRECT("L4"),Abilities,2,FALSE)&amp;""""&amp;IF(VLOOKUP(INDIRECT("L4"),Abilities,3,FALSE)="","",", ApplyToWeaponSlot=eInvSlot_"&amp;VLOOKUP(INDIRECT("L4"),Abilities,3,FALSE))&amp;"), \\")</f>
        <v>(AbilityName="AreaSuppression", ApplyToWeaponSlot=eInvSlot_PrimaryWeapon), \\</v>
      </c>
      <c r="B76" s="234" t="s">
        <v>340</v>
      </c>
      <c r="C76" s="234"/>
      <c r="D76" s="234"/>
      <c r="E76" s="248" t="str">
        <f ca="1">IF(INDIRECT("V31")&lt;&gt;"","RandomNickNames[27]="""&amp;INDIRECT("V31")&amp;"""","")</f>
        <v>RandomNickNames[27]="Thunder"</v>
      </c>
      <c r="F76" s="234" t="s">
        <v>340</v>
      </c>
      <c r="G76" s="234"/>
      <c r="H76" s="234"/>
      <c r="I76" s="234"/>
      <c r="J76" s="234"/>
    </row>
    <row r="77" spans="1:10" x14ac:dyDescent="0.25">
      <c r="A77" s="240" t="str">
        <f ca="1">IF(INDIRECT("F7")="","\\","(AbilityName="""&amp;VLOOKUP(INDIRECT("F7"),Abilities,2,FALSE)&amp;""""&amp;IF(VLOOKUP(INDIRECT("F7"),Abilities,3,FALSE)="","",", ApplyToWeaponSlot=eInvSlot_"&amp;VLOOKUP(INDIRECT("F7"),Abilities,3,FALSE))&amp;"), \\")</f>
        <v>\\</v>
      </c>
      <c r="B77" s="234" t="s">
        <v>340</v>
      </c>
      <c r="C77" s="234"/>
      <c r="D77" s="234"/>
      <c r="E77" s="248" t="str">
        <f ca="1">IF(INDIRECT("V32")&lt;&gt;"","RandomNickNames[28]="""&amp;INDIRECT("V32")&amp;"""","")</f>
        <v>RandomNickNames[28]="Oak"</v>
      </c>
      <c r="F77" s="234" t="s">
        <v>340</v>
      </c>
      <c r="G77" s="234"/>
      <c r="H77" s="234"/>
      <c r="I77" s="234"/>
      <c r="J77" s="234"/>
    </row>
    <row r="78" spans="1:10" x14ac:dyDescent="0.25">
      <c r="A78" s="240" t="str">
        <f ca="1">IF(INDIRECT("I7")="","\\","(AbilityName="""&amp;VLOOKUP(INDIRECT("I7"),Abilities,2,FALSE)&amp;""""&amp;IF(VLOOKUP(INDIRECT("I7"),Abilities,3,FALSE)="","",", ApplyToWeaponSlot=eInvSlot_"&amp;VLOOKUP(INDIRECT("I7"),Abilities,3,FALSE))&amp;"), \\")</f>
        <v>\\</v>
      </c>
      <c r="B78" s="234" t="s">
        <v>340</v>
      </c>
      <c r="C78" s="234"/>
      <c r="D78" s="234"/>
      <c r="E78" s="248" t="str">
        <f ca="1">IF(INDIRECT("V33")&lt;&gt;"","RandomNickNames[29]="""&amp;INDIRECT("V33")&amp;"""","")</f>
        <v>RandomNickNames[29]="War"</v>
      </c>
      <c r="F78" s="234" t="s">
        <v>340</v>
      </c>
      <c r="G78" s="234"/>
      <c r="H78" s="234"/>
      <c r="I78" s="234"/>
      <c r="J78" s="234"/>
    </row>
    <row r="79" spans="1:10" x14ac:dyDescent="0.25">
      <c r="A79" s="240" t="str">
        <f ca="1">IF(INDIRECT("L7")="","\\","(AbilityName="""&amp;VLOOKUP(INDIRECT("L7"),Abilities,2,FALSE)&amp;""""&amp;IF(VLOOKUP(INDIRECT("L7"),Abilities,3,FALSE)="","",", ApplyToWeaponSlot=eInvSlot_"&amp;VLOOKUP(INDIRECT("L7"),Abilities,3,FALSE))&amp;"), \\")</f>
        <v>\\</v>
      </c>
      <c r="B79" s="234" t="s">
        <v>340</v>
      </c>
      <c r="C79" s="234"/>
      <c r="D79" s="234"/>
      <c r="E79" s="248" t="str">
        <f ca="1">IF(INDIRECT("V34")&lt;&gt;"","RandomNickNames[30]="""&amp;INDIRECT("V34")&amp;"""","")</f>
        <v>RandomNickNames[30]="Whoopsie"</v>
      </c>
      <c r="F79" s="234" t="s">
        <v>340</v>
      </c>
      <c r="G79" s="234"/>
      <c r="H79" s="234"/>
      <c r="I79" s="234"/>
      <c r="J79" s="234"/>
    </row>
    <row r="80" spans="1:10" x14ac:dyDescent="0.25">
      <c r="A80" s="240" t="s">
        <v>337</v>
      </c>
      <c r="B80" s="234" t="s">
        <v>340</v>
      </c>
      <c r="C80" s="234"/>
      <c r="D80" s="234"/>
      <c r="E80" s="248" t="str">
        <f ca="1">IF(INDIRECT("V35")&lt;&gt;"","RandomNickNames[31]="""&amp;INDIRECT("V35")&amp;"""","")</f>
        <v>RandomNickNames[31]="Zulu"</v>
      </c>
      <c r="F80" s="234" t="s">
        <v>340</v>
      </c>
      <c r="G80" s="234"/>
      <c r="H80" s="234"/>
      <c r="I80" s="234"/>
      <c r="J80" s="234"/>
    </row>
    <row r="81" spans="1:10" x14ac:dyDescent="0.25">
      <c r="A81" s="240"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aStatProgression=((StatType=eStat_Offense,StatAmount=3), (StatType=eStat_HP,StatAmount=0), (StatType=eStat_Hacking,StatAmount=0), (StatType=eStat_CombatSims,StatAmount=1), (StatType=eStat_Will,StatAmount=4)),\\</v>
      </c>
      <c r="B81" s="234" t="s">
        <v>340</v>
      </c>
      <c r="C81" s="234"/>
      <c r="D81" s="234"/>
      <c r="E81" s="248" t="str">
        <f>"; Male Nicknames"</f>
        <v>; Male Nicknames</v>
      </c>
      <c r="F81" s="234" t="s">
        <v>340</v>
      </c>
      <c r="G81" s="234"/>
      <c r="H81" s="234"/>
      <c r="I81" s="234"/>
      <c r="J81" s="234"/>
    </row>
    <row r="82" spans="1:10" x14ac:dyDescent="0.25">
      <c r="A82" s="240" t="s">
        <v>338</v>
      </c>
      <c r="B82" s="234" t="s">
        <v>340</v>
      </c>
      <c r="C82" s="234"/>
      <c r="D82" s="234"/>
      <c r="E82" s="248" t="str">
        <f ca="1">IF(INDIRECT("X4")&lt;&gt;"","RandomNickNames_Male[0]="""&amp;INDIRECT("X4")&amp;"""","")</f>
        <v>RandomNickNames_Male[0]="Candyman"</v>
      </c>
      <c r="F82" s="234" t="s">
        <v>340</v>
      </c>
      <c r="G82" s="234"/>
      <c r="H82" s="234"/>
      <c r="I82" s="234"/>
      <c r="J82" s="234"/>
    </row>
    <row r="83" spans="1:10" x14ac:dyDescent="0.25">
      <c r="A83" s="240" t="str">
        <f>"; lance corporal"</f>
        <v>; lance corporal</v>
      </c>
      <c r="B83" s="234" t="s">
        <v>340</v>
      </c>
      <c r="C83" s="234"/>
      <c r="D83" s="234"/>
      <c r="E83" s="248" t="str">
        <f ca="1">IF(INDIRECT("X5")&lt;&gt;"","RandomNickNames_Male[1]="""&amp;INDIRECT("X5")&amp;"""","")</f>
        <v>RandomNickNames_Male[1]="Magic Man"</v>
      </c>
      <c r="F83" s="234" t="s">
        <v>340</v>
      </c>
      <c r="G83" s="234"/>
      <c r="H83" s="234"/>
      <c r="I83" s="234"/>
      <c r="J83" s="234"/>
    </row>
    <row r="84" spans="1:10" x14ac:dyDescent="0.25">
      <c r="A84" s="240" t="str">
        <f ca="1">"+SoldierRanks=(  aAbilityTree=( (AbilityName="""&amp;VLOOKUP(INDIRECT("F13"),Abilities,2,FALSE)&amp;""""&amp;IF(VLOOKUP(INDIRECT("F13"),Abilities,3,FALSE)="","",", ApplyToWeaponSlot=eInvSlot_"&amp;VLOOKUP(INDIRECT("F13"),Abilities,3,FALSE))&amp;"), \\"</f>
        <v>+SoldierRanks=(  aAbilityTree=( (AbilityName="Shredder", ApplyToWeaponSlot=eInvSlot_PrimaryWeapon), \\</v>
      </c>
      <c r="B84" s="234" t="s">
        <v>340</v>
      </c>
      <c r="C84" s="234"/>
      <c r="D84" s="234"/>
      <c r="E84" s="248" t="str">
        <f ca="1">IF(INDIRECT("X6")&lt;&gt;"","RandomNickNames_Male[2]="""&amp;INDIRECT("X6")&amp;"""","")</f>
        <v>RandomNickNames_Male[2]="Priest"</v>
      </c>
      <c r="F84" s="234" t="s">
        <v>340</v>
      </c>
      <c r="G84" s="234"/>
      <c r="H84" s="234"/>
      <c r="I84" s="234"/>
      <c r="J84" s="234"/>
    </row>
    <row r="85" spans="1:10" x14ac:dyDescent="0.25">
      <c r="A85" s="240" t="str">
        <f ca="1">IF(INDIRECT("I13")="","\\","(AbilityName="""&amp;VLOOKUP(INDIRECT("I13"),Abilities,2,FALSE)&amp;""""&amp;IF(VLOOKUP(INDIRECT("I13"),Abilities,3,FALSE)="","",", ApplyToWeaponSlot=eInvSlot_"&amp;VLOOKUP(INDIRECT("I13"),Abilities,3,FALSE))&amp;"), \\")</f>
        <v>(AbilityName=" "), \\</v>
      </c>
      <c r="B85" s="234" t="s">
        <v>340</v>
      </c>
      <c r="C85" s="234"/>
      <c r="D85" s="234"/>
      <c r="E85" s="248" t="str">
        <f ca="1">IF(INDIRECT("X7")&lt;&gt;"","RandomNickNames_Male[3]="""&amp;INDIRECT("X7")&amp;"""","")</f>
        <v>RandomNickNames_Male[3]="Rainman"</v>
      </c>
      <c r="F85" s="234" t="s">
        <v>340</v>
      </c>
      <c r="G85" s="234"/>
      <c r="H85" s="234"/>
      <c r="I85" s="234"/>
      <c r="J85" s="234"/>
    </row>
    <row r="86" spans="1:10" x14ac:dyDescent="0.25">
      <c r="A86" s="240" t="str">
        <f ca="1">IF(INDIRECT("L13")="","\\","(AbilityName="""&amp;VLOOKUP(INDIRECT("L13"),Abilities,2,FALSE)&amp;""""&amp;IF(VLOOKUP(INDIRECT("L13"),Abilities,3,FALSE)="","",", ApplyToWeaponSlot=eInvSlot_"&amp;VLOOKUP(INDIRECT("L13"),Abilities,3,FALSE))&amp;"), \\")</f>
        <v>(AbilityName="Lockdown", ApplyToWeaponSlot=eInvSlot_PrimaryWeapon), \\</v>
      </c>
      <c r="B86" s="234" t="s">
        <v>340</v>
      </c>
      <c r="C86" s="234"/>
      <c r="D86" s="234"/>
      <c r="E86" s="248" t="str">
        <f ca="1">IF(INDIRECT("X8")&lt;&gt;"","RandomNickNames_Male[4]="""&amp;INDIRECT("X8")&amp;"""","")</f>
        <v>RandomNickNames_Male[4]="Rooster"</v>
      </c>
      <c r="F86" s="234" t="s">
        <v>340</v>
      </c>
      <c r="G86" s="234"/>
      <c r="H86" s="234"/>
      <c r="I86" s="234"/>
      <c r="J86" s="234"/>
    </row>
    <row r="87" spans="1:10" x14ac:dyDescent="0.25">
      <c r="A87" s="240" t="s">
        <v>337</v>
      </c>
      <c r="B87" s="234" t="s">
        <v>340</v>
      </c>
      <c r="C87" s="234"/>
      <c r="D87" s="234"/>
      <c r="E87" s="248" t="str">
        <f>"; Female Nicknames"</f>
        <v>; Female Nicknames</v>
      </c>
      <c r="F87" s="234" t="s">
        <v>340</v>
      </c>
      <c r="G87" s="234"/>
      <c r="H87" s="234"/>
      <c r="I87" s="234"/>
      <c r="J87" s="234"/>
    </row>
    <row r="88" spans="1:10" x14ac:dyDescent="0.25">
      <c r="A88" s="240"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(StatType=eStat_Will,StatAmount=4)),\\</v>
      </c>
      <c r="B88" s="234" t="s">
        <v>340</v>
      </c>
      <c r="C88" s="234"/>
      <c r="D88" s="234"/>
      <c r="E88" s="248" t="str">
        <f ca="1">IF(INDIRECT("X10")&lt;&gt;"","RandomNickNames_Female[0]="""&amp;INDIRECT("X10")&amp;"""","")</f>
        <v>RandomNickNames_Female[0]="Priestess"</v>
      </c>
      <c r="F88" s="234" t="s">
        <v>340</v>
      </c>
      <c r="G88" s="234"/>
      <c r="H88" s="234"/>
      <c r="I88" s="234"/>
      <c r="J88" s="234"/>
    </row>
    <row r="89" spans="1:10" x14ac:dyDescent="0.25">
      <c r="A89" s="240" t="s">
        <v>338</v>
      </c>
      <c r="B89" s="234" t="s">
        <v>340</v>
      </c>
      <c r="C89" s="234"/>
      <c r="D89" s="234"/>
      <c r="E89" s="248" t="str">
        <f ca="1">IF(INDIRECT("X11")&lt;&gt;"","RandomNickNames_Female[1]="""&amp;INDIRECT("X11")&amp;"""","")</f>
        <v>RandomNickNames_Female[1]="Wolfmother"</v>
      </c>
      <c r="F89" s="234" t="s">
        <v>340</v>
      </c>
      <c r="G89" s="234"/>
      <c r="H89" s="234"/>
      <c r="I89" s="234"/>
      <c r="J89" s="234"/>
    </row>
    <row r="90" spans="1:10" x14ac:dyDescent="0.25">
      <c r="A90" s="240" t="str">
        <f>"; corporal"</f>
        <v>; corporal</v>
      </c>
      <c r="B90" s="234" t="s">
        <v>340</v>
      </c>
      <c r="C90" s="234"/>
      <c r="D90" s="234"/>
      <c r="E90" s="248" t="str">
        <f ca="1">IF(INDIRECT("X12")&lt;&gt;"","RandomNickNames_Female[2]="""&amp;INDIRECT("X12")&amp;"""","")</f>
        <v>RandomNickNames_Female[2]="Black Widow"</v>
      </c>
      <c r="F90" s="234" t="s">
        <v>340</v>
      </c>
      <c r="G90" s="234"/>
      <c r="H90" s="234"/>
      <c r="I90" s="234"/>
      <c r="J90" s="234"/>
    </row>
    <row r="91" spans="1:10" x14ac:dyDescent="0.25">
      <c r="A91" s="240" t="str">
        <f ca="1">"+SoldierRanks=(  aAbilityTree=( (AbilityName="""&amp;VLOOKUP(INDIRECT("F17"),Abilities,2,FALSE)&amp;""""&amp;IF(VLOOKUP(INDIRECT("F17"),Abilities,3,FALSE)="","",", ApplyToWeaponSlot=eInvSlot_"&amp;VLOOKUP(INDIRECT("F17"),Abilities,3,FALSE))&amp;"), \\"</f>
        <v>+SoldierRanks=(  aAbilityTree=( (AbilityName=" "), \\</v>
      </c>
      <c r="B91" s="234" t="s">
        <v>340</v>
      </c>
      <c r="C91" s="234"/>
      <c r="D91" s="234"/>
      <c r="E91" s="248" t="str">
        <f ca="1">IF(INDIRECT("X13")&lt;&gt;"","RandomNickNames_Female[3]="""&amp;INDIRECT("X13")&amp;"""","")</f>
        <v>RandomNickNames_Female[3]="Duchess"</v>
      </c>
      <c r="F91" s="234" t="s">
        <v>340</v>
      </c>
      <c r="G91" s="234"/>
      <c r="H91" s="234"/>
      <c r="I91" s="234"/>
      <c r="J91" s="234"/>
    </row>
    <row r="92" spans="1:10" ht="15.75" thickBot="1" x14ac:dyDescent="0.3">
      <c r="A92" s="240" t="str">
        <f ca="1">IF(INDIRECT("I17")="","\\","(AbilityName="""&amp;VLOOKUP(INDIRECT("I17"),Abilities,2,FALSE)&amp;""""&amp;IF(VLOOKUP(INDIRECT("I17"),Abilities,3,FALSE)="","",", ApplyToWeaponSlot=eInvSlot_"&amp;VLOOKUP(INDIRECT("I17"),Abilities,3,FALSE))&amp;"), \\")</f>
        <v>(AbilityName="ShadowOps_BurstFire", ApplyToWeaponSlot=eInvSlot_PrimaryWeapon), \\</v>
      </c>
      <c r="B92" s="234" t="s">
        <v>340</v>
      </c>
      <c r="C92" s="234"/>
      <c r="D92" s="234"/>
      <c r="E92" s="249" t="str">
        <f ca="1">IF(INDIRECT("X14")&lt;&gt;"","RandomNickNames_Female[4]="""&amp;INDIRECT("X14")&amp;"""","")</f>
        <v>RandomNickNames_Female[4]="Queen"</v>
      </c>
      <c r="F92" s="234" t="s">
        <v>340</v>
      </c>
      <c r="G92" s="234"/>
      <c r="H92" s="234"/>
      <c r="I92" s="234"/>
      <c r="J92" s="234"/>
    </row>
    <row r="93" spans="1:10" x14ac:dyDescent="0.25">
      <c r="A93" s="240" t="str">
        <f ca="1">IF(INDIRECT("L17")="","\\","(AbilityName="""&amp;VLOOKUP(INDIRECT("L17"),Abilities,2,FALSE)&amp;""""&amp;IF(VLOOKUP(INDIRECT("L17"),Abilities,3,FALSE)="","",", ApplyToWeaponSlot=eInvSlot_"&amp;VLOOKUP(INDIRECT("L17"),Abilities,3,FALSE))&amp;"), \\")</f>
        <v>(AbilityName=" "), \\</v>
      </c>
      <c r="B93" s="234" t="s">
        <v>340</v>
      </c>
      <c r="C93" s="234"/>
      <c r="D93" s="234"/>
      <c r="E93" s="234"/>
      <c r="F93" s="234"/>
      <c r="G93" s="234"/>
      <c r="H93" s="234"/>
      <c r="I93" s="234"/>
      <c r="J93" s="234"/>
    </row>
    <row r="94" spans="1:10" x14ac:dyDescent="0.25">
      <c r="A94" s="240" t="s">
        <v>337</v>
      </c>
      <c r="B94" s="234" t="s">
        <v>340</v>
      </c>
      <c r="C94" s="234"/>
      <c r="D94" s="234"/>
      <c r="E94" s="234"/>
      <c r="F94" s="234"/>
      <c r="G94" s="234"/>
      <c r="H94" s="234"/>
      <c r="I94" s="234"/>
      <c r="J94" s="234"/>
    </row>
    <row r="95" spans="1:10" x14ac:dyDescent="0.25">
      <c r="A95" s="240"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234" t="s">
        <v>340</v>
      </c>
      <c r="C95" s="234"/>
      <c r="D95" s="234"/>
      <c r="E95" s="234"/>
      <c r="F95" s="234"/>
      <c r="G95" s="234"/>
      <c r="H95" s="234"/>
      <c r="I95" s="234"/>
      <c r="J95" s="234"/>
    </row>
    <row r="96" spans="1:10" x14ac:dyDescent="0.25">
      <c r="A96" s="240" t="s">
        <v>338</v>
      </c>
      <c r="B96" s="234" t="s">
        <v>340</v>
      </c>
      <c r="C96" s="234"/>
      <c r="D96" s="234"/>
      <c r="E96" s="234"/>
      <c r="F96" s="234"/>
      <c r="G96" s="234"/>
      <c r="H96" s="234"/>
      <c r="I96" s="234"/>
      <c r="J96" s="234"/>
    </row>
    <row r="97" spans="1:10" x14ac:dyDescent="0.25">
      <c r="A97" s="240" t="str">
        <f>"; sergeant"</f>
        <v>; sergeant</v>
      </c>
      <c r="B97" s="234" t="s">
        <v>340</v>
      </c>
      <c r="C97" s="234"/>
      <c r="D97" s="234"/>
      <c r="E97" s="234"/>
      <c r="F97" s="234"/>
      <c r="G97" s="234"/>
      <c r="H97" s="234"/>
      <c r="I97" s="234"/>
      <c r="J97" s="234"/>
    </row>
    <row r="98" spans="1:10" x14ac:dyDescent="0.25">
      <c r="A98" s="240" t="str">
        <f ca="1">"+SoldierRanks=(  aAbilityTree=( (AbilityName="""&amp;VLOOKUP(INDIRECT("F21"),Abilities,2,FALSE)&amp;""""&amp;IF(VLOOKUP(INDIRECT("F21"),Abilities,3,FALSE)="","",", ApplyToWeaponSlot=eInvSlot_"&amp;VLOOKUP(INDIRECT("F21"),Abilities,3,FALSE))&amp;"), \\"</f>
        <v>+SoldierRanks=(  aAbilityTree=( (AbilityName="Demolition", ApplyToWeaponSlot=eInvSlot_PrimaryWeapon), \\</v>
      </c>
      <c r="B98" s="234" t="s">
        <v>340</v>
      </c>
      <c r="C98" s="234"/>
      <c r="D98" s="234"/>
      <c r="E98" s="234"/>
      <c r="F98" s="234"/>
      <c r="G98" s="234"/>
      <c r="H98" s="234"/>
      <c r="I98" s="234"/>
      <c r="J98" s="234"/>
    </row>
    <row r="99" spans="1:10" x14ac:dyDescent="0.25">
      <c r="A99" s="240" t="str">
        <f ca="1">IF(INDIRECT("I21")="","\\","(AbilityName="""&amp;VLOOKUP(INDIRECT("I21"),Abilities,2,FALSE)&amp;""""&amp;IF(VLOOKUP(INDIRECT("I21"),Abilities,3,FALSE)="","",", ApplyToWeaponSlot=eInvSlot_"&amp;VLOOKUP(INDIRECT("I21"),Abilities,3,FALSE))&amp;"), \\")</f>
        <v>(AbilityName=" "), \\</v>
      </c>
      <c r="B99" s="234" t="s">
        <v>340</v>
      </c>
      <c r="C99" s="234"/>
      <c r="D99" s="234"/>
      <c r="E99" s="234"/>
      <c r="F99" s="234"/>
      <c r="G99" s="234"/>
      <c r="H99" s="234"/>
      <c r="I99" s="234"/>
      <c r="J99" s="234"/>
    </row>
    <row r="100" spans="1:10" x14ac:dyDescent="0.25">
      <c r="A100" s="240" t="str">
        <f ca="1">IF(INDIRECT("L21")="","\\","(AbilityName="""&amp;VLOOKUP(INDIRECT("L21"),Abilities,2,FALSE)&amp;""""&amp;IF(VLOOKUP(INDIRECT("L21"),Abilities,3,FALSE)="","",", ApplyToWeaponSlot=eInvSlot_"&amp;VLOOKUP(INDIRECT("L21"),Abilities,3,FALSE))&amp;"), \\")</f>
        <v>(AbilityName="IronCurtain", ApplyToWeaponSlot=eInvSlot_PrimaryWeapon), \\</v>
      </c>
      <c r="B100" s="234" t="s">
        <v>340</v>
      </c>
      <c r="C100" s="234"/>
      <c r="D100" s="234"/>
      <c r="E100" s="234"/>
      <c r="F100" s="234"/>
      <c r="G100" s="234"/>
      <c r="H100" s="234"/>
      <c r="I100" s="234"/>
      <c r="J100" s="234"/>
    </row>
    <row r="101" spans="1:10" x14ac:dyDescent="0.25">
      <c r="A101" s="240" t="s">
        <v>337</v>
      </c>
      <c r="B101" s="234" t="s">
        <v>340</v>
      </c>
      <c r="C101" s="234"/>
      <c r="D101" s="234"/>
      <c r="E101" s="234"/>
      <c r="F101" s="234"/>
      <c r="G101" s="234"/>
      <c r="H101" s="234"/>
      <c r="I101" s="234"/>
      <c r="J101" s="234"/>
    </row>
    <row r="102" spans="1:10" x14ac:dyDescent="0.25">
      <c r="A102" s="240"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234" t="s">
        <v>340</v>
      </c>
      <c r="C102" s="234"/>
      <c r="D102" s="234"/>
      <c r="E102" s="234"/>
      <c r="F102" s="234"/>
      <c r="G102" s="234"/>
      <c r="H102" s="234"/>
      <c r="I102" s="234"/>
      <c r="J102" s="234"/>
    </row>
    <row r="103" spans="1:10" x14ac:dyDescent="0.25">
      <c r="A103" s="240" t="s">
        <v>338</v>
      </c>
      <c r="B103" s="234" t="s">
        <v>340</v>
      </c>
      <c r="C103" s="234"/>
      <c r="D103" s="234"/>
      <c r="E103" s="234"/>
      <c r="F103" s="234"/>
      <c r="G103" s="234"/>
      <c r="H103" s="234"/>
      <c r="I103" s="234"/>
      <c r="J103" s="234"/>
    </row>
    <row r="104" spans="1:10" x14ac:dyDescent="0.25">
      <c r="A104" s="240" t="str">
        <f>"; staff sergeant"</f>
        <v>; staff sergeant</v>
      </c>
      <c r="B104" s="234" t="s">
        <v>340</v>
      </c>
      <c r="C104" s="234"/>
      <c r="D104" s="234"/>
      <c r="E104" s="234"/>
      <c r="F104" s="234"/>
      <c r="G104" s="234"/>
      <c r="H104" s="234"/>
      <c r="I104" s="234"/>
      <c r="J104" s="234"/>
    </row>
    <row r="105" spans="1:10" x14ac:dyDescent="0.25">
      <c r="A105" s="240" t="str">
        <f ca="1">"+SoldierRanks=(  aAbilityTree=( (AbilityName="""&amp;VLOOKUP(INDIRECT("F25"),Abilities,2,FALSE)&amp;""""&amp;IF(VLOOKUP(INDIRECT("F25"),Abilities,3,FALSE)="","",", ApplyToWeaponSlot=eInvSlot_"&amp;VLOOKUP(INDIRECT("F25"),Abilities,3,FALSE))&amp;"), \\"</f>
        <v>+SoldierRanks=(  aAbilityTree=( (AbilityName="ChainShot", ApplyToWeaponSlot=eInvSlot_PrimaryWeapon), \\</v>
      </c>
      <c r="B105" s="234" t="s">
        <v>340</v>
      </c>
      <c r="C105" s="234"/>
      <c r="D105" s="234"/>
      <c r="E105" s="234"/>
      <c r="F105" s="234"/>
      <c r="G105" s="234"/>
      <c r="H105" s="234"/>
      <c r="I105" s="234"/>
      <c r="J105" s="234"/>
    </row>
    <row r="106" spans="1:10" x14ac:dyDescent="0.25">
      <c r="A106" s="240" t="str">
        <f ca="1">IF(INDIRECT("I25")="","\\","(AbilityName="""&amp;VLOOKUP(INDIRECT("I25"),Abilities,2,FALSE)&amp;""""&amp;IF(VLOOKUP(INDIRECT("I25"),Abilities,3,FALSE)="","",", ApplyToWeaponSlot=eInvSlot_"&amp;VLOOKUP(INDIRECT("I25"),Abilities,3,FALSE))&amp;"), \\")</f>
        <v>(AbilityName=" "), \\</v>
      </c>
      <c r="B106" s="234" t="s">
        <v>340</v>
      </c>
      <c r="C106" s="234"/>
      <c r="D106" s="234"/>
      <c r="E106" s="234"/>
      <c r="F106" s="234"/>
      <c r="G106" s="234"/>
      <c r="H106" s="234"/>
      <c r="I106" s="234"/>
      <c r="J106" s="234"/>
    </row>
    <row r="107" spans="1:10" x14ac:dyDescent="0.25">
      <c r="A107" s="240" t="str">
        <f ca="1">IF(INDIRECT("L25")="","\\","(AbilityName="""&amp;VLOOKUP(INDIRECT("L25"),Abilities,2,FALSE)&amp;""""&amp;IF(VLOOKUP(INDIRECT("L25"),Abilities,3,FALSE)="","",", ApplyToWeaponSlot=eInvSlot_"&amp;VLOOKUP(INDIRECT("L25"),Abilities,3,FALSE))&amp;"), \\")</f>
        <v>(AbilityName="Mayhem", ApplyToWeaponSlot=eInvSlot_PrimaryWeapon), \\</v>
      </c>
      <c r="B107" s="234" t="s">
        <v>340</v>
      </c>
      <c r="C107" s="234"/>
      <c r="D107" s="234"/>
      <c r="E107" s="234"/>
      <c r="F107" s="234"/>
      <c r="G107" s="234"/>
      <c r="H107" s="234"/>
      <c r="I107" s="234"/>
      <c r="J107" s="234"/>
    </row>
    <row r="108" spans="1:10" x14ac:dyDescent="0.25">
      <c r="A108" s="240" t="s">
        <v>337</v>
      </c>
      <c r="B108" s="234" t="s">
        <v>340</v>
      </c>
      <c r="C108" s="234"/>
      <c r="D108" s="234"/>
      <c r="E108" s="234"/>
      <c r="F108" s="234"/>
      <c r="G108" s="234"/>
      <c r="H108" s="234"/>
      <c r="I108" s="234"/>
      <c r="J108" s="234"/>
    </row>
    <row r="109" spans="1:10" x14ac:dyDescent="0.25">
      <c r="A109" s="240"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(StatType=eStat_HP,StatAmount=1), (StatType=eStat_Hacking,StatAmount=0)),\\</v>
      </c>
      <c r="B109" s="234" t="s">
        <v>340</v>
      </c>
      <c r="C109" s="234"/>
      <c r="D109" s="234"/>
      <c r="E109" s="234"/>
      <c r="F109" s="234"/>
      <c r="G109" s="234"/>
      <c r="H109" s="234"/>
      <c r="I109" s="234"/>
      <c r="J109" s="234"/>
    </row>
    <row r="110" spans="1:10" x14ac:dyDescent="0.25">
      <c r="A110" s="240" t="s">
        <v>338</v>
      </c>
      <c r="B110" s="234" t="s">
        <v>340</v>
      </c>
      <c r="C110" s="234"/>
      <c r="D110" s="234"/>
      <c r="E110" s="234"/>
      <c r="F110" s="234"/>
      <c r="G110" s="234"/>
      <c r="H110" s="234"/>
      <c r="I110" s="234"/>
      <c r="J110" s="234"/>
    </row>
    <row r="111" spans="1:10" x14ac:dyDescent="0.25">
      <c r="A111" s="240" t="str">
        <f>"; tech sergeant"</f>
        <v>; tech sergeant</v>
      </c>
      <c r="B111" s="234" t="s">
        <v>340</v>
      </c>
      <c r="C111" s="234"/>
      <c r="D111" s="234"/>
      <c r="E111" s="234"/>
      <c r="F111" s="234"/>
      <c r="G111" s="234"/>
      <c r="H111" s="234"/>
      <c r="I111" s="234"/>
      <c r="J111" s="234"/>
    </row>
    <row r="112" spans="1:10" x14ac:dyDescent="0.25">
      <c r="A112" s="240" t="str">
        <f ca="1">"+SoldierRanks=(  aAbilityTree=( (AbilityName="""&amp;VLOOKUP(INDIRECT("F29"),Abilities,2,FALSE)&amp;""""&amp;IF(VLOOKUP(INDIRECT("F29"),Abilities,3,FALSE)="","",", ApplyToWeaponSlot=eInvSlot_"&amp;VLOOKUP(INDIRECT("F29"),Abilities,3,FALSE))&amp;"), \\"</f>
        <v>+SoldierRanks=(  aAbilityTree=( (AbilityName="CyclicFire", ApplyToWeaponSlot=eInvSlot_PrimaryWeapon), \\</v>
      </c>
      <c r="B112" s="234" t="s">
        <v>340</v>
      </c>
      <c r="C112" s="234"/>
      <c r="D112" s="234"/>
      <c r="E112" s="234"/>
      <c r="F112" s="234"/>
      <c r="G112" s="234"/>
      <c r="H112" s="234"/>
      <c r="I112" s="234"/>
      <c r="J112" s="234"/>
    </row>
    <row r="113" spans="1:10" x14ac:dyDescent="0.25">
      <c r="A113" s="240" t="str">
        <f ca="1">IF(INDIRECT("I29")="","\\","(AbilityName="""&amp;VLOOKUP(INDIRECT("I29"),Abilities,2,FALSE)&amp;""""&amp;IF(VLOOKUP(INDIRECT("I29"),Abilities,3,FALSE)="","",", ApplyToWeaponSlot=eInvSlot_"&amp;VLOOKUP(INDIRECT("I29"),Abilities,3,FALSE))&amp;"), \\")</f>
        <v>(AbilityName=" "), \\</v>
      </c>
      <c r="B113" s="234" t="s">
        <v>340</v>
      </c>
      <c r="C113" s="234"/>
      <c r="D113" s="234"/>
      <c r="E113" s="234"/>
      <c r="F113" s="234"/>
      <c r="G113" s="234"/>
      <c r="H113" s="234"/>
      <c r="I113" s="234"/>
      <c r="J113" s="234"/>
    </row>
    <row r="114" spans="1:10" x14ac:dyDescent="0.25">
      <c r="A114" s="240" t="str">
        <f ca="1">IF(INDIRECT("L29")="","\\","(AbilityName="""&amp;VLOOKUP(INDIRECT("L29"),Abilities,2,FALSE)&amp;""""&amp;IF(VLOOKUP(INDIRECT("L29"),Abilities,3,FALSE)="","",", ApplyToWeaponSlot=eInvSlot_"&amp;VLOOKUP(INDIRECT("L29"),Abilities,3,FALSE))&amp;"), \\")</f>
        <v>(AbilityName="DangerZone"), \\</v>
      </c>
      <c r="B114" s="234" t="s">
        <v>340</v>
      </c>
      <c r="C114" s="234"/>
      <c r="D114" s="234"/>
      <c r="E114" s="234"/>
      <c r="F114" s="234"/>
      <c r="G114" s="234"/>
      <c r="H114" s="234"/>
      <c r="I114" s="234"/>
      <c r="J114" s="234"/>
    </row>
    <row r="115" spans="1:10" x14ac:dyDescent="0.25">
      <c r="A115" s="240" t="s">
        <v>337</v>
      </c>
      <c r="B115" s="234" t="s">
        <v>340</v>
      </c>
      <c r="C115" s="234"/>
      <c r="D115" s="234"/>
      <c r="E115" s="234"/>
      <c r="F115" s="234"/>
      <c r="G115" s="234"/>
      <c r="H115" s="234"/>
      <c r="I115" s="234"/>
      <c r="J115" s="234"/>
    </row>
    <row r="116" spans="1:10" x14ac:dyDescent="0.25">
      <c r="A116" s="240"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234" t="s">
        <v>340</v>
      </c>
      <c r="C116" s="234"/>
      <c r="D116" s="234"/>
      <c r="E116" s="234"/>
      <c r="F116" s="234"/>
      <c r="G116" s="234"/>
      <c r="H116" s="234"/>
      <c r="I116" s="234"/>
      <c r="J116" s="234"/>
    </row>
    <row r="117" spans="1:10" x14ac:dyDescent="0.25">
      <c r="A117" s="240" t="s">
        <v>338</v>
      </c>
      <c r="B117" s="234" t="s">
        <v>340</v>
      </c>
      <c r="C117" s="234"/>
      <c r="D117" s="234"/>
      <c r="E117" s="234"/>
      <c r="F117" s="234"/>
      <c r="G117" s="234"/>
      <c r="H117" s="234"/>
      <c r="I117" s="234"/>
      <c r="J117" s="234"/>
    </row>
    <row r="118" spans="1:10" x14ac:dyDescent="0.25">
      <c r="A118" s="240" t="str">
        <f>";  gunnery sergeant"</f>
        <v>;  gunnery sergeant</v>
      </c>
      <c r="B118" s="234" t="s">
        <v>340</v>
      </c>
      <c r="C118" s="234"/>
      <c r="D118" s="234"/>
      <c r="E118" s="234"/>
      <c r="F118" s="234"/>
      <c r="G118" s="234"/>
      <c r="H118" s="234"/>
      <c r="I118" s="234"/>
      <c r="J118" s="234"/>
    </row>
    <row r="119" spans="1:10" x14ac:dyDescent="0.25">
      <c r="A119" s="240" t="str">
        <f ca="1">"+SoldierRanks=(  aAbilityTree=( (AbilityName="""&amp;VLOOKUP(INDIRECT("F33"),Abilities,2,FALSE)&amp;""""&amp;IF(VLOOKUP(INDIRECT("F33"),Abilities,3,FALSE)="","",", ApplyToWeaponSlot=eInvSlot_"&amp;VLOOKUP(INDIRECT("F33"),Abilities,3,FALSE))&amp;"), \\"</f>
        <v>+SoldierRanks=(  aAbilityTree=( (AbilityName=" "), \\</v>
      </c>
      <c r="B119" s="234" t="s">
        <v>340</v>
      </c>
      <c r="C119" s="234"/>
      <c r="D119" s="234"/>
      <c r="E119" s="234"/>
      <c r="F119" s="234"/>
      <c r="G119" s="234"/>
      <c r="H119" s="234"/>
      <c r="I119" s="234"/>
      <c r="J119" s="234"/>
    </row>
    <row r="120" spans="1:10" x14ac:dyDescent="0.25">
      <c r="A120" s="240" t="str">
        <f ca="1">IF(INDIRECT("I33")="","\\","(AbilityName="""&amp;VLOOKUP(INDIRECT("I33"),Abilities,2,FALSE)&amp;""""&amp;IF(VLOOKUP(INDIRECT("I33"),Abilities,3,FALSE)="","",", ApplyToWeaponSlot=eInvSlot_"&amp;VLOOKUP(INDIRECT("I33"),Abilities,3,FALSE))&amp;"), \\")</f>
        <v>(AbilityName="TraverseFire", ApplyToWeaponSlot=eInvSlot_PrimaryWeapon), \\</v>
      </c>
      <c r="B120" s="234" t="s">
        <v>340</v>
      </c>
      <c r="C120" s="234"/>
      <c r="D120" s="234"/>
      <c r="E120" s="234"/>
      <c r="F120" s="234"/>
      <c r="G120" s="234"/>
      <c r="H120" s="234"/>
      <c r="I120" s="234"/>
      <c r="J120" s="234"/>
    </row>
    <row r="121" spans="1:10" x14ac:dyDescent="0.25">
      <c r="A121" s="240" t="str">
        <f ca="1">IF(INDIRECT("L33")="","\\","(AbilityName="""&amp;VLOOKUP(INDIRECT("L33"),Abilities,2,FALSE)&amp;""""&amp;IF(VLOOKUP(INDIRECT("L33"),Abilities,3,FALSE)="","",", ApplyToWeaponSlot=eInvSlot_"&amp;VLOOKUP(INDIRECT("L33"),Abilities,3,FALSE))&amp;"), \\")</f>
        <v>(AbilityName=" "), \\</v>
      </c>
      <c r="B121" s="234" t="s">
        <v>340</v>
      </c>
      <c r="C121" s="234"/>
      <c r="D121" s="234"/>
      <c r="E121" s="234"/>
      <c r="F121" s="234"/>
      <c r="G121" s="234"/>
      <c r="H121" s="234"/>
      <c r="I121" s="234"/>
      <c r="J121" s="234"/>
    </row>
    <row r="122" spans="1:10" x14ac:dyDescent="0.25">
      <c r="A122" s="240" t="s">
        <v>337</v>
      </c>
      <c r="B122" s="234" t="s">
        <v>340</v>
      </c>
      <c r="C122" s="234"/>
      <c r="D122" s="234"/>
      <c r="E122" s="234"/>
      <c r="F122" s="234"/>
      <c r="G122" s="234"/>
      <c r="H122" s="234"/>
      <c r="I122" s="234"/>
      <c r="J122" s="234"/>
    </row>
    <row r="123" spans="1:10" x14ac:dyDescent="0.25">
      <c r="A123" s="240"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234" t="s">
        <v>340</v>
      </c>
      <c r="C123" s="234"/>
      <c r="D123" s="234"/>
      <c r="E123" s="234"/>
      <c r="F123" s="234"/>
      <c r="G123" s="234"/>
      <c r="H123" s="234"/>
      <c r="I123" s="234"/>
      <c r="J123" s="234"/>
    </row>
    <row r="124" spans="1:10" x14ac:dyDescent="0.25">
      <c r="A124" s="240" t="s">
        <v>338</v>
      </c>
      <c r="B124" s="234" t="s">
        <v>340</v>
      </c>
      <c r="C124" s="234"/>
      <c r="D124" s="234"/>
      <c r="E124" s="234"/>
      <c r="F124" s="234"/>
      <c r="G124" s="234"/>
      <c r="H124" s="234"/>
      <c r="I124" s="234"/>
      <c r="J124" s="234"/>
    </row>
    <row r="125" spans="1:10" x14ac:dyDescent="0.25">
      <c r="A125" s="240" t="str">
        <f>"; master sergeant"</f>
        <v>; master sergeant</v>
      </c>
      <c r="B125" s="234" t="s">
        <v>340</v>
      </c>
      <c r="C125" s="234"/>
      <c r="D125" s="234"/>
      <c r="E125" s="234"/>
      <c r="F125" s="234"/>
      <c r="G125" s="234"/>
      <c r="H125" s="234"/>
      <c r="I125" s="234"/>
      <c r="J125" s="234"/>
    </row>
    <row r="126" spans="1:10" x14ac:dyDescent="0.25">
      <c r="A126" s="240" t="str">
        <f ca="1">"+SoldierRanks=(  aAbilityTree=( (AbilityName="""&amp;VLOOKUP(INDIRECT("F37"),Abilities,2,FALSE)&amp;""""&amp;IF(VLOOKUP(INDIRECT("F37"),Abilities,3,FALSE)="","",", ApplyToWeaponSlot=eInvSlot_"&amp;VLOOKUP(INDIRECT("F37"),Abilities,3,FALSE))&amp;"), \\"</f>
        <v>+SoldierRanks=(  aAbilityTree=( (AbilityName="SaturationFire", ApplyToWeaponSlot=eInvSlot_PrimaryWeapon), \\</v>
      </c>
      <c r="B126" s="234" t="s">
        <v>340</v>
      </c>
      <c r="C126" s="234"/>
      <c r="D126" s="234"/>
      <c r="E126" s="234"/>
      <c r="F126" s="234"/>
      <c r="G126" s="234"/>
      <c r="H126" s="234"/>
      <c r="I126" s="234"/>
      <c r="J126" s="234"/>
    </row>
    <row r="127" spans="1:10" x14ac:dyDescent="0.25">
      <c r="A127" s="240" t="str">
        <f ca="1">IF(INDIRECT("I37")="","\\","(AbilityName="""&amp;VLOOKUP(INDIRECT("I37"),Abilities,2,FALSE)&amp;""""&amp;IF(VLOOKUP(INDIRECT("I37"),Abilities,3,FALSE)="","",", ApplyToWeaponSlot=eInvSlot_"&amp;VLOOKUP(INDIRECT("I37"),Abilities,3,FALSE))&amp;"), \\")</f>
        <v>(AbilityName=" "), \\</v>
      </c>
      <c r="B127" s="234" t="s">
        <v>340</v>
      </c>
      <c r="C127" s="234"/>
      <c r="D127" s="234"/>
      <c r="E127" s="234"/>
      <c r="F127" s="234"/>
      <c r="G127" s="234"/>
      <c r="H127" s="234"/>
      <c r="I127" s="234"/>
      <c r="J127" s="234"/>
    </row>
    <row r="128" spans="1:10" x14ac:dyDescent="0.25">
      <c r="A128" s="240" t="str">
        <f ca="1">IF(INDIRECT("L37")="","\\","(AbilityName="""&amp;VLOOKUP(INDIRECT("L37"),Abilities,2,FALSE)&amp;""""&amp;IF(VLOOKUP(INDIRECT("L37"),Abilities,3,FALSE)="","",", ApplyToWeaponSlot=eInvSlot_"&amp;VLOOKUP(INDIRECT("L37"),Abilities,3,FALSE))&amp;"), \\")</f>
        <v>(AbilityName="KillZone", ApplyToWeaponSlot=eInvSlot_PrimaryWeapon), \\</v>
      </c>
      <c r="B128" s="234" t="s">
        <v>340</v>
      </c>
      <c r="C128" s="234"/>
      <c r="D128" s="234"/>
      <c r="E128" s="234"/>
      <c r="F128" s="234"/>
      <c r="G128" s="234"/>
      <c r="H128" s="234"/>
      <c r="I128" s="234"/>
      <c r="J128" s="234"/>
    </row>
    <row r="129" spans="1:10" x14ac:dyDescent="0.25">
      <c r="A129" s="240" t="s">
        <v>337</v>
      </c>
      <c r="B129" s="234" t="s">
        <v>340</v>
      </c>
      <c r="C129" s="234"/>
      <c r="D129" s="234"/>
      <c r="E129" s="234"/>
      <c r="F129" s="234"/>
      <c r="G129" s="234"/>
      <c r="H129" s="234"/>
      <c r="I129" s="234"/>
      <c r="J129" s="234"/>
    </row>
    <row r="130" spans="1:10" x14ac:dyDescent="0.25">
      <c r="A130" s="240"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234" t="s">
        <v>340</v>
      </c>
      <c r="C130" s="234"/>
      <c r="D130" s="234"/>
      <c r="E130" s="234"/>
      <c r="F130" s="234"/>
      <c r="G130" s="234"/>
      <c r="H130" s="234"/>
      <c r="I130" s="234"/>
      <c r="J130" s="234"/>
    </row>
    <row r="131" spans="1:10" ht="15.75" thickBot="1" x14ac:dyDescent="0.3">
      <c r="A131" s="241" t="s">
        <v>338</v>
      </c>
      <c r="B131" s="234" t="s">
        <v>340</v>
      </c>
      <c r="C131" s="234"/>
      <c r="D131" s="234"/>
      <c r="E131" s="234"/>
      <c r="F131" s="234"/>
      <c r="G131" s="234"/>
      <c r="H131" s="234"/>
      <c r="I131" s="234"/>
      <c r="J131" s="234"/>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I37:J37"/>
    <mergeCell ref="F17:G17"/>
    <mergeCell ref="I17:J17"/>
    <mergeCell ref="L17:M1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L37:M37"/>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A40:B41"/>
    <mergeCell ref="C40:E41"/>
    <mergeCell ref="A42:B42"/>
    <mergeCell ref="C42:D42"/>
    <mergeCell ref="E42:F42"/>
    <mergeCell ref="F38:H39"/>
    <mergeCell ref="I38:K39"/>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1617"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1618"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1619"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1620"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1621"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1622"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1623"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1624"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1625"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1626"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1627"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1628"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1629"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90" t="s">
        <v>308</v>
      </c>
      <c r="B1" s="91"/>
      <c r="C1" s="94" t="s">
        <v>470</v>
      </c>
      <c r="D1" s="95"/>
      <c r="E1" s="95"/>
      <c r="F1" s="98" t="s">
        <v>324</v>
      </c>
      <c r="G1" s="99"/>
      <c r="H1" s="99"/>
      <c r="I1" s="99"/>
      <c r="J1" s="99"/>
      <c r="K1" s="99"/>
      <c r="L1" s="99"/>
      <c r="M1" s="99"/>
      <c r="N1" s="99"/>
      <c r="O1" s="100" t="s">
        <v>325</v>
      </c>
      <c r="P1" s="101"/>
      <c r="Q1" s="101"/>
      <c r="R1" s="101"/>
      <c r="S1" s="101"/>
      <c r="T1" s="101"/>
      <c r="U1" s="102"/>
      <c r="V1" s="196" t="s">
        <v>776</v>
      </c>
      <c r="W1" s="197"/>
      <c r="X1" s="197"/>
      <c r="Y1" s="197"/>
    </row>
    <row r="2" spans="1:25" ht="15" customHeight="1" thickBot="1" x14ac:dyDescent="0.3">
      <c r="A2" s="92"/>
      <c r="B2" s="93"/>
      <c r="C2" s="96"/>
      <c r="D2" s="97"/>
      <c r="E2" s="97"/>
      <c r="F2" s="98"/>
      <c r="G2" s="99"/>
      <c r="H2" s="99"/>
      <c r="I2" s="99"/>
      <c r="J2" s="99"/>
      <c r="K2" s="99"/>
      <c r="L2" s="99"/>
      <c r="M2" s="99"/>
      <c r="N2" s="99"/>
      <c r="O2" s="103"/>
      <c r="P2" s="104"/>
      <c r="Q2" s="104"/>
      <c r="R2" s="104"/>
      <c r="S2" s="104"/>
      <c r="T2" s="104"/>
      <c r="U2" s="105"/>
      <c r="V2" s="198"/>
      <c r="W2" s="199"/>
      <c r="X2" s="199"/>
      <c r="Y2" s="199"/>
    </row>
    <row r="3" spans="1:25" ht="18" thickBot="1" x14ac:dyDescent="0.35">
      <c r="A3" s="106" t="s">
        <v>309</v>
      </c>
      <c r="B3" s="107"/>
      <c r="C3" s="108" t="str">
        <f>Output!$L$1&amp;SUBSTITUTE(C1," ","")</f>
        <v>LWD_Hacker</v>
      </c>
      <c r="D3" s="109"/>
      <c r="E3" s="109"/>
      <c r="F3" s="110" t="s">
        <v>12</v>
      </c>
      <c r="G3" s="111"/>
      <c r="H3" s="111"/>
      <c r="I3" s="111"/>
      <c r="J3" s="111"/>
      <c r="K3" s="111"/>
      <c r="L3" s="111"/>
      <c r="M3" s="111"/>
      <c r="N3" s="112"/>
      <c r="O3" s="15"/>
      <c r="P3" s="16" t="s">
        <v>79</v>
      </c>
      <c r="Q3" s="17" t="s">
        <v>326</v>
      </c>
      <c r="R3" s="17" t="s">
        <v>328</v>
      </c>
      <c r="S3" s="17" t="s">
        <v>327</v>
      </c>
      <c r="T3" s="17" t="s">
        <v>330</v>
      </c>
      <c r="U3" s="18" t="s">
        <v>329</v>
      </c>
      <c r="V3" s="200" t="s">
        <v>810</v>
      </c>
      <c r="W3" s="201"/>
      <c r="X3" s="200" t="s">
        <v>811</v>
      </c>
      <c r="Y3" s="201"/>
    </row>
    <row r="4" spans="1:25" ht="18" thickTop="1" x14ac:dyDescent="0.3">
      <c r="A4" s="113" t="s">
        <v>310</v>
      </c>
      <c r="B4" s="114"/>
      <c r="C4" s="115" t="s">
        <v>314</v>
      </c>
      <c r="D4" s="116"/>
      <c r="E4" s="116"/>
      <c r="F4" s="119" t="s">
        <v>440</v>
      </c>
      <c r="G4" s="120"/>
      <c r="H4" s="4" t="str">
        <f>IFERROR(VLOOKUP(F4,Abilities,4,FALSE),"")</f>
        <v>LW2</v>
      </c>
      <c r="I4" s="121" t="s">
        <v>597</v>
      </c>
      <c r="J4" s="120"/>
      <c r="K4" s="35" t="str">
        <f>IFERROR(VLOOKUP(I4,Abilities,4,FALSE),"")</f>
        <v>SOLW</v>
      </c>
      <c r="L4" s="122" t="s">
        <v>137</v>
      </c>
      <c r="M4" s="120"/>
      <c r="N4" s="10" t="str">
        <f>IFERROR(VLOOKUP(L4,Abilities,4,FALSE),"")</f>
        <v>XCOM2</v>
      </c>
      <c r="O4" s="19" t="s">
        <v>12</v>
      </c>
      <c r="P4" s="4">
        <v>2</v>
      </c>
      <c r="Q4" s="20">
        <v>0</v>
      </c>
      <c r="R4" s="20"/>
      <c r="S4" s="4">
        <v>40</v>
      </c>
      <c r="T4" s="4">
        <v>1</v>
      </c>
      <c r="U4" s="10"/>
      <c r="V4" s="192" t="s">
        <v>777</v>
      </c>
      <c r="W4" s="193"/>
      <c r="X4" s="192" t="s">
        <v>801</v>
      </c>
      <c r="Y4" s="193"/>
    </row>
    <row r="5" spans="1:25" ht="15" customHeight="1" x14ac:dyDescent="0.25">
      <c r="A5" s="6"/>
      <c r="B5" s="5" t="b">
        <v>1</v>
      </c>
      <c r="C5" s="117"/>
      <c r="D5" s="118"/>
      <c r="E5" s="118"/>
      <c r="F5" s="123">
        <f>IFERROR(VLOOKUP(F4,Abilities,7,FALSE),"")</f>
        <v>0</v>
      </c>
      <c r="G5" s="124"/>
      <c r="H5" s="125"/>
      <c r="I5" s="129" t="str">
        <f>IFERROR(VLOOKUP(I4,Abilities,7,FALSE),"")</f>
        <v>Hacking an enemy unit grants a permanent boost to Hacking score.</v>
      </c>
      <c r="J5" s="130"/>
      <c r="K5" s="131"/>
      <c r="L5" s="130" t="str">
        <f>IFERROR(VLOOKUP(L4,Abilities,7,FALSE),"")</f>
        <v>You may target robotic and mechanical enemies with your GREMLIN, attempting to hack them and seize control.</v>
      </c>
      <c r="M5" s="130"/>
      <c r="N5" s="135"/>
      <c r="O5" s="26" t="s">
        <v>456</v>
      </c>
      <c r="P5" s="27">
        <v>2</v>
      </c>
      <c r="Q5" s="28">
        <v>1</v>
      </c>
      <c r="R5" s="28"/>
      <c r="S5" s="27">
        <v>5</v>
      </c>
      <c r="T5" s="27"/>
      <c r="U5" s="29"/>
      <c r="V5" s="190" t="s">
        <v>821</v>
      </c>
      <c r="W5" s="191"/>
      <c r="X5" s="190" t="s">
        <v>802</v>
      </c>
      <c r="Y5" s="191"/>
    </row>
    <row r="6" spans="1:25" ht="15" customHeight="1" x14ac:dyDescent="0.25">
      <c r="A6" s="6"/>
      <c r="B6" s="5" t="b">
        <v>0</v>
      </c>
      <c r="C6" s="137" t="s">
        <v>315</v>
      </c>
      <c r="D6" s="138"/>
      <c r="E6" s="11">
        <v>0</v>
      </c>
      <c r="F6" s="126"/>
      <c r="G6" s="127"/>
      <c r="H6" s="128"/>
      <c r="I6" s="132"/>
      <c r="J6" s="133"/>
      <c r="K6" s="134"/>
      <c r="L6" s="133"/>
      <c r="M6" s="133"/>
      <c r="N6" s="136"/>
      <c r="O6" s="19" t="s">
        <v>15</v>
      </c>
      <c r="P6" s="4">
        <v>2</v>
      </c>
      <c r="Q6" s="20">
        <v>0</v>
      </c>
      <c r="R6" s="20"/>
      <c r="S6" s="4">
        <v>5</v>
      </c>
      <c r="T6" s="4"/>
      <c r="U6" s="10"/>
      <c r="V6" s="190" t="s">
        <v>778</v>
      </c>
      <c r="W6" s="191"/>
      <c r="X6" s="192" t="s">
        <v>803</v>
      </c>
      <c r="Y6" s="193"/>
    </row>
    <row r="7" spans="1:25" ht="15" customHeight="1" x14ac:dyDescent="0.25">
      <c r="A7" s="6"/>
      <c r="B7" s="5" t="b">
        <v>0</v>
      </c>
      <c r="C7" s="137" t="s">
        <v>316</v>
      </c>
      <c r="D7" s="138"/>
      <c r="E7" s="11">
        <v>4</v>
      </c>
      <c r="F7" s="139"/>
      <c r="G7" s="140"/>
      <c r="H7" s="4" t="str">
        <f>IFERROR(VLOOKUP(F7,Abilities,4,FALSE),"")</f>
        <v/>
      </c>
      <c r="I7" s="141"/>
      <c r="J7" s="140"/>
      <c r="K7" s="4" t="str">
        <f>IFERROR(VLOOKUP(I7,Abilities,4,FALSE),"")</f>
        <v/>
      </c>
      <c r="L7" s="142"/>
      <c r="M7" s="140"/>
      <c r="N7" s="10" t="str">
        <f>IFERROR(VLOOKUP(L7,Abilities,4,FALSE),"")</f>
        <v/>
      </c>
      <c r="O7" s="26" t="s">
        <v>21</v>
      </c>
      <c r="P7" s="27">
        <v>2</v>
      </c>
      <c r="Q7" s="28">
        <v>0</v>
      </c>
      <c r="R7" s="28"/>
      <c r="S7" s="27">
        <v>5</v>
      </c>
      <c r="T7" s="27"/>
      <c r="U7" s="29"/>
      <c r="V7" s="192" t="s">
        <v>779</v>
      </c>
      <c r="W7" s="193"/>
      <c r="X7" s="190" t="s">
        <v>804</v>
      </c>
      <c r="Y7" s="191"/>
    </row>
    <row r="8" spans="1:25" ht="15" customHeight="1" thickBot="1" x14ac:dyDescent="0.3">
      <c r="A8" s="6"/>
      <c r="B8" s="5" t="b">
        <v>0</v>
      </c>
      <c r="C8" s="137" t="s">
        <v>317</v>
      </c>
      <c r="D8" s="143"/>
      <c r="E8" s="12" t="s">
        <v>764</v>
      </c>
      <c r="F8" s="144" t="str">
        <f>IFERROR(VLOOKUP(F7,Abilities,7,FALSE),"")</f>
        <v/>
      </c>
      <c r="G8" s="130"/>
      <c r="H8" s="131"/>
      <c r="I8" s="129" t="str">
        <f>IFERROR(VLOOKUP(I7,Abilities,7,FALSE),"")</f>
        <v/>
      </c>
      <c r="J8" s="130"/>
      <c r="K8" s="131"/>
      <c r="L8" s="130" t="str">
        <f>IFERROR(VLOOKUP(L7,Abilities,7,FALSE),"")</f>
        <v/>
      </c>
      <c r="M8" s="130"/>
      <c r="N8" s="135"/>
      <c r="O8" s="21" t="s">
        <v>457</v>
      </c>
      <c r="P8" s="4">
        <v>2</v>
      </c>
      <c r="Q8" s="20">
        <v>1</v>
      </c>
      <c r="R8" s="20"/>
      <c r="S8" s="4">
        <v>5</v>
      </c>
      <c r="T8" s="4"/>
      <c r="U8" s="10"/>
      <c r="V8" s="190" t="s">
        <v>851</v>
      </c>
      <c r="W8" s="191"/>
      <c r="X8" s="192" t="s">
        <v>805</v>
      </c>
      <c r="Y8" s="193"/>
    </row>
    <row r="9" spans="1:25" ht="15.75" thickBot="1" x14ac:dyDescent="0.3">
      <c r="A9" s="6"/>
      <c r="B9" s="5" t="b">
        <v>0</v>
      </c>
      <c r="C9" s="137" t="s">
        <v>319</v>
      </c>
      <c r="D9" s="143"/>
      <c r="E9" s="12">
        <v>1</v>
      </c>
      <c r="F9" s="145"/>
      <c r="G9" s="133"/>
      <c r="H9" s="134"/>
      <c r="I9" s="146"/>
      <c r="J9" s="147"/>
      <c r="K9" s="148"/>
      <c r="L9" s="133"/>
      <c r="M9" s="133"/>
      <c r="N9" s="136"/>
      <c r="O9" s="26" t="s">
        <v>458</v>
      </c>
      <c r="P9" s="27">
        <v>2</v>
      </c>
      <c r="Q9" s="28">
        <v>0</v>
      </c>
      <c r="R9" s="28"/>
      <c r="S9" s="27">
        <v>5</v>
      </c>
      <c r="T9" s="27"/>
      <c r="U9" s="29"/>
      <c r="V9" s="192" t="s">
        <v>781</v>
      </c>
      <c r="W9" s="193"/>
      <c r="X9" s="200" t="s">
        <v>812</v>
      </c>
      <c r="Y9" s="201"/>
    </row>
    <row r="10" spans="1:25" ht="18.75" x14ac:dyDescent="0.3">
      <c r="A10" s="6"/>
      <c r="B10" s="5" t="b">
        <v>0</v>
      </c>
      <c r="C10" s="137" t="s">
        <v>318</v>
      </c>
      <c r="D10" s="143"/>
      <c r="E10" s="12">
        <v>4</v>
      </c>
      <c r="F10" s="157" t="s">
        <v>311</v>
      </c>
      <c r="G10" s="158"/>
      <c r="H10" s="159"/>
      <c r="I10" s="160" t="s">
        <v>349</v>
      </c>
      <c r="J10" s="158"/>
      <c r="K10" s="159"/>
      <c r="L10" s="158" t="s">
        <v>312</v>
      </c>
      <c r="M10" s="158"/>
      <c r="N10" s="161"/>
      <c r="O10" s="36" t="s">
        <v>459</v>
      </c>
      <c r="P10" s="37">
        <v>2</v>
      </c>
      <c r="Q10" s="37">
        <v>0</v>
      </c>
      <c r="R10" s="37"/>
      <c r="S10" s="37">
        <v>5</v>
      </c>
      <c r="T10" s="37"/>
      <c r="U10" s="38"/>
      <c r="V10" s="190" t="s">
        <v>782</v>
      </c>
      <c r="W10" s="191"/>
      <c r="X10" s="192" t="s">
        <v>806</v>
      </c>
      <c r="Y10" s="193"/>
    </row>
    <row r="11" spans="1:25" ht="15.75" customHeight="1" thickBot="1" x14ac:dyDescent="0.3">
      <c r="A11" s="6"/>
      <c r="B11" s="5" t="b">
        <v>0</v>
      </c>
      <c r="C11" s="137" t="s">
        <v>320</v>
      </c>
      <c r="D11" s="143"/>
      <c r="E11" s="12">
        <v>4</v>
      </c>
      <c r="F11" s="162" t="s">
        <v>735</v>
      </c>
      <c r="G11" s="163"/>
      <c r="H11" s="164"/>
      <c r="I11" s="165"/>
      <c r="J11" s="163"/>
      <c r="K11" s="164"/>
      <c r="L11" s="163" t="s">
        <v>734</v>
      </c>
      <c r="M11" s="163"/>
      <c r="N11" s="166"/>
      <c r="O11" s="39" t="s">
        <v>460</v>
      </c>
      <c r="P11" s="40">
        <v>2</v>
      </c>
      <c r="Q11" s="41">
        <v>1</v>
      </c>
      <c r="R11" s="41"/>
      <c r="S11" s="40">
        <v>5</v>
      </c>
      <c r="T11" s="40"/>
      <c r="U11" s="42"/>
      <c r="V11" s="192" t="s">
        <v>824</v>
      </c>
      <c r="W11" s="193"/>
      <c r="X11" s="190" t="s">
        <v>807</v>
      </c>
      <c r="Y11" s="191"/>
    </row>
    <row r="12" spans="1:25" ht="18" customHeight="1" thickBot="1" x14ac:dyDescent="0.35">
      <c r="A12" s="6"/>
      <c r="B12" s="5" t="b">
        <v>1</v>
      </c>
      <c r="C12" s="137" t="s">
        <v>321</v>
      </c>
      <c r="D12" s="143"/>
      <c r="E12" s="12">
        <v>1</v>
      </c>
      <c r="F12" s="169" t="s">
        <v>443</v>
      </c>
      <c r="G12" s="170"/>
      <c r="H12" s="170"/>
      <c r="I12" s="170"/>
      <c r="J12" s="170"/>
      <c r="K12" s="170"/>
      <c r="L12" s="170"/>
      <c r="M12" s="170"/>
      <c r="N12" s="171"/>
      <c r="O12" s="149" t="s">
        <v>813</v>
      </c>
      <c r="P12" s="150"/>
      <c r="Q12" s="150"/>
      <c r="R12" s="150"/>
      <c r="S12" s="150"/>
      <c r="T12" s="150"/>
      <c r="U12" s="151"/>
      <c r="V12" s="192" t="s">
        <v>783</v>
      </c>
      <c r="W12" s="193"/>
      <c r="X12" s="192" t="s">
        <v>808</v>
      </c>
      <c r="Y12" s="193"/>
    </row>
    <row r="13" spans="1:25" ht="16.5" thickTop="1" thickBot="1" x14ac:dyDescent="0.3">
      <c r="A13" s="6"/>
      <c r="B13" s="5" t="b">
        <v>0</v>
      </c>
      <c r="C13" s="155" t="s">
        <v>322</v>
      </c>
      <c r="D13" s="156"/>
      <c r="E13" s="13" t="s">
        <v>323</v>
      </c>
      <c r="F13" s="119" t="s">
        <v>594</v>
      </c>
      <c r="G13" s="120"/>
      <c r="H13" s="4" t="str">
        <f>IFERROR(VLOOKUP(F13,Abilities,4,FALSE),"")</f>
        <v>SOLW</v>
      </c>
      <c r="I13" s="121" t="s">
        <v>962</v>
      </c>
      <c r="J13" s="120"/>
      <c r="K13" s="35" t="str">
        <f>IFERROR(VLOOKUP(I13,Abilities,4,FALSE),"")</f>
        <v>BLANK</v>
      </c>
      <c r="L13" s="122" t="s">
        <v>273</v>
      </c>
      <c r="M13" s="120"/>
      <c r="N13" s="10" t="str">
        <f>IFERROR(VLOOKUP(L13,Abilities,4,FALSE),"")</f>
        <v>LW2</v>
      </c>
      <c r="O13" s="152"/>
      <c r="P13" s="153"/>
      <c r="Q13" s="153"/>
      <c r="R13" s="153"/>
      <c r="S13" s="153"/>
      <c r="T13" s="153"/>
      <c r="U13" s="154"/>
      <c r="V13" s="192" t="s">
        <v>796</v>
      </c>
      <c r="W13" s="193"/>
      <c r="X13" s="190" t="s">
        <v>809</v>
      </c>
      <c r="Y13" s="191"/>
    </row>
    <row r="14" spans="1:25" ht="15.75" thickBot="1" x14ac:dyDescent="0.3">
      <c r="A14" s="6"/>
      <c r="B14" s="7" t="b">
        <v>0</v>
      </c>
      <c r="F14" s="144" t="str">
        <f>IFERROR(VLOOKUP(F13,Abilities,7,FALSE),"")</f>
        <v>Give a friendly unit concealment.</v>
      </c>
      <c r="G14" s="130"/>
      <c r="H14" s="131"/>
      <c r="I14" s="129" t="str">
        <f>IFERROR(VLOOKUP(I13,Abilities,7,FALSE),"")</f>
        <v xml:space="preserve"> </v>
      </c>
      <c r="J14" s="130"/>
      <c r="K14" s="131"/>
      <c r="L14" s="130">
        <f>IFERROR(VLOOKUP(L13,Abilities,7,FALSE),"")</f>
        <v>0</v>
      </c>
      <c r="M14" s="130"/>
      <c r="N14" s="135"/>
      <c r="O14" s="22"/>
      <c r="P14" s="23" t="s">
        <v>331</v>
      </c>
      <c r="Q14" s="24" t="s">
        <v>332</v>
      </c>
      <c r="R14" s="24" t="s">
        <v>333</v>
      </c>
      <c r="S14" s="24" t="s">
        <v>334</v>
      </c>
      <c r="T14" s="24" t="s">
        <v>336</v>
      </c>
      <c r="U14" s="25" t="s">
        <v>335</v>
      </c>
      <c r="V14" s="190" t="s">
        <v>852</v>
      </c>
      <c r="W14" s="191"/>
      <c r="X14" s="194" t="s">
        <v>814</v>
      </c>
      <c r="Y14" s="195"/>
    </row>
    <row r="15" spans="1:25" ht="15.75" thickBot="1" x14ac:dyDescent="0.3">
      <c r="A15" s="6"/>
      <c r="B15" s="7" t="b">
        <v>0</v>
      </c>
      <c r="F15" s="167"/>
      <c r="G15" s="147"/>
      <c r="H15" s="148"/>
      <c r="I15" s="146"/>
      <c r="J15" s="147"/>
      <c r="K15" s="148"/>
      <c r="L15" s="147"/>
      <c r="M15" s="147"/>
      <c r="N15" s="168"/>
      <c r="O15" s="19" t="s">
        <v>12</v>
      </c>
      <c r="P15" s="4"/>
      <c r="Q15" s="20">
        <v>4</v>
      </c>
      <c r="R15" s="20"/>
      <c r="S15" s="4"/>
      <c r="T15" s="4"/>
      <c r="U15" s="10"/>
      <c r="V15" s="190" t="s">
        <v>823</v>
      </c>
      <c r="W15" s="191"/>
    </row>
    <row r="16" spans="1:25" ht="18" thickBot="1" x14ac:dyDescent="0.35">
      <c r="A16" s="6"/>
      <c r="B16" s="7" t="b">
        <v>0</v>
      </c>
      <c r="F16" s="169" t="s">
        <v>15</v>
      </c>
      <c r="G16" s="170"/>
      <c r="H16" s="170"/>
      <c r="I16" s="170"/>
      <c r="J16" s="170"/>
      <c r="K16" s="170"/>
      <c r="L16" s="170"/>
      <c r="M16" s="170"/>
      <c r="N16" s="171"/>
      <c r="O16" s="26" t="s">
        <v>456</v>
      </c>
      <c r="P16" s="27"/>
      <c r="Q16" s="28">
        <v>4</v>
      </c>
      <c r="R16" s="28"/>
      <c r="S16" s="27"/>
      <c r="T16" s="27"/>
      <c r="U16" s="29"/>
      <c r="V16" s="190" t="s">
        <v>786</v>
      </c>
      <c r="W16" s="191"/>
    </row>
    <row r="17" spans="1:23" ht="16.5" thickTop="1" thickBot="1" x14ac:dyDescent="0.3">
      <c r="A17" s="8"/>
      <c r="B17" s="9" t="b">
        <v>0</v>
      </c>
      <c r="F17" s="121" t="s">
        <v>962</v>
      </c>
      <c r="G17" s="120"/>
      <c r="H17" s="4" t="str">
        <f>IFERROR(VLOOKUP(F17,Abilities,4,FALSE),"")</f>
        <v>BLANK</v>
      </c>
      <c r="I17" s="121" t="s">
        <v>124</v>
      </c>
      <c r="J17" s="120"/>
      <c r="K17" s="35" t="str">
        <f>IFERROR(VLOOKUP(I17,Abilities,4,FALSE),"")</f>
        <v>XCOM2</v>
      </c>
      <c r="L17" s="121" t="s">
        <v>962</v>
      </c>
      <c r="M17" s="120"/>
      <c r="N17" s="10" t="str">
        <f>IFERROR(VLOOKUP(L17,Abilities,4,FALSE),"")</f>
        <v>BLANK</v>
      </c>
      <c r="O17" s="19" t="s">
        <v>15</v>
      </c>
      <c r="P17" s="4"/>
      <c r="Q17" s="20"/>
      <c r="R17" s="20"/>
      <c r="S17" s="4"/>
      <c r="T17" s="4"/>
      <c r="U17" s="10"/>
      <c r="V17" s="192" t="s">
        <v>787</v>
      </c>
      <c r="W17" s="193"/>
    </row>
    <row r="18" spans="1:23" x14ac:dyDescent="0.25">
      <c r="A18" s="172" t="s">
        <v>344</v>
      </c>
      <c r="B18" s="173"/>
      <c r="F18" s="144" t="str">
        <f>IFERROR(VLOOKUP(F17,Abilities,7,FALSE),"")</f>
        <v xml:space="preserve"> </v>
      </c>
      <c r="G18" s="130"/>
      <c r="H18" s="131"/>
      <c r="I18" s="129" t="str">
        <f>IFERROR(VLOOKUP(I17,Abilities,7,FALSE),"")</f>
        <v>Give +20 defense to an ally.</v>
      </c>
      <c r="J18" s="130"/>
      <c r="K18" s="131"/>
      <c r="L18" s="130" t="str">
        <f>IFERROR(VLOOKUP(L17,Abilities,7,FALSE),"")</f>
        <v xml:space="preserve"> </v>
      </c>
      <c r="M18" s="130"/>
      <c r="N18" s="135"/>
      <c r="O18" s="26" t="s">
        <v>21</v>
      </c>
      <c r="P18" s="27"/>
      <c r="Q18" s="28"/>
      <c r="R18" s="28"/>
      <c r="S18" s="27"/>
      <c r="T18" s="27"/>
      <c r="U18" s="29"/>
      <c r="V18" s="190" t="s">
        <v>788</v>
      </c>
      <c r="W18" s="191"/>
    </row>
    <row r="19" spans="1:23" ht="15.75" thickBot="1" x14ac:dyDescent="0.3">
      <c r="A19" s="174"/>
      <c r="B19" s="175"/>
      <c r="D19" s="3"/>
      <c r="F19" s="167"/>
      <c r="G19" s="147"/>
      <c r="H19" s="148"/>
      <c r="I19" s="146"/>
      <c r="J19" s="147"/>
      <c r="K19" s="148"/>
      <c r="L19" s="147"/>
      <c r="M19" s="147"/>
      <c r="N19" s="168"/>
      <c r="O19" s="21" t="s">
        <v>457</v>
      </c>
      <c r="P19" s="4"/>
      <c r="Q19" s="20"/>
      <c r="R19" s="20"/>
      <c r="S19" s="4"/>
      <c r="T19" s="4"/>
      <c r="U19" s="10"/>
      <c r="V19" s="192" t="s">
        <v>789</v>
      </c>
      <c r="W19" s="193"/>
    </row>
    <row r="20" spans="1:23" ht="18" thickBot="1" x14ac:dyDescent="0.35">
      <c r="A20" s="176" t="s">
        <v>914</v>
      </c>
      <c r="B20" s="177"/>
      <c r="C20" s="178"/>
      <c r="D20" s="178"/>
      <c r="E20" s="179"/>
      <c r="F20" s="169" t="s">
        <v>21</v>
      </c>
      <c r="G20" s="170"/>
      <c r="H20" s="170"/>
      <c r="I20" s="170"/>
      <c r="J20" s="170"/>
      <c r="K20" s="170"/>
      <c r="L20" s="170"/>
      <c r="M20" s="170"/>
      <c r="N20" s="171"/>
      <c r="O20" s="26" t="s">
        <v>458</v>
      </c>
      <c r="P20" s="27"/>
      <c r="Q20" s="28"/>
      <c r="R20" s="28"/>
      <c r="S20" s="27"/>
      <c r="T20" s="27"/>
      <c r="U20" s="29"/>
      <c r="V20" s="192" t="s">
        <v>790</v>
      </c>
      <c r="W20" s="193"/>
    </row>
    <row r="21" spans="1:23" ht="15.75" thickTop="1" x14ac:dyDescent="0.25">
      <c r="A21" s="176"/>
      <c r="B21" s="177"/>
      <c r="C21" s="177"/>
      <c r="D21" s="177"/>
      <c r="E21" s="180"/>
      <c r="F21" s="119" t="s">
        <v>149</v>
      </c>
      <c r="G21" s="120"/>
      <c r="H21" s="4" t="str">
        <f>IFERROR(VLOOKUP(F21,Abilities,4,FALSE),"")</f>
        <v>XCOM2</v>
      </c>
      <c r="I21" s="121" t="s">
        <v>962</v>
      </c>
      <c r="J21" s="120"/>
      <c r="K21" s="35" t="str">
        <f>IFERROR(VLOOKUP(I21,Abilities,4,FALSE),"")</f>
        <v>BLANK</v>
      </c>
      <c r="L21" s="122" t="s">
        <v>131</v>
      </c>
      <c r="M21" s="120"/>
      <c r="N21" s="10" t="str">
        <f>IFERROR(VLOOKUP(L21,Abilities,4,FALSE),"")</f>
        <v>XCOM2</v>
      </c>
      <c r="O21" s="36" t="s">
        <v>459</v>
      </c>
      <c r="P21" s="37"/>
      <c r="Q21" s="37"/>
      <c r="R21" s="37"/>
      <c r="S21" s="37"/>
      <c r="T21" s="37"/>
      <c r="U21" s="38"/>
      <c r="V21" s="190" t="s">
        <v>791</v>
      </c>
      <c r="W21" s="191"/>
    </row>
    <row r="22" spans="1:23" ht="15.75" thickBot="1" x14ac:dyDescent="0.3">
      <c r="A22" s="181"/>
      <c r="B22" s="182"/>
      <c r="C22" s="182"/>
      <c r="D22" s="182"/>
      <c r="E22" s="183"/>
      <c r="F22" s="144" t="str">
        <f>IFERROR(VLOOKUP(F21,Abilities,7,FALSE),"")</f>
        <v>Aid Protocol now grants the target a Covering Fire Overwatch shot, but the Aid Protocol cooldown is increased by 1 turn. Giving a soldier Threat Assessment before he/she is opening fire as part of an overwatch ambush will result in the said soldier firing again after the squad loses concealment. This allows for an additional shot in an overwatch ambush.</v>
      </c>
      <c r="G22" s="130"/>
      <c r="H22" s="131"/>
      <c r="I22" s="129" t="str">
        <f>IFERROR(VLOOKUP(I21,Abilities,7,FALSE),"")</f>
        <v xml:space="preserve"> </v>
      </c>
      <c r="J22" s="130"/>
      <c r="K22" s="131"/>
      <c r="L22" s="130" t="str">
        <f>IFERROR(VLOOKUP(L21,Abilities,7,FALSE),"")</f>
        <v>Send the GREMLIN to an enemy to jolt them, dealing guaranteed damage, which is increased against robotic enemies. Twice per mission.</v>
      </c>
      <c r="M22" s="130"/>
      <c r="N22" s="135"/>
      <c r="O22" s="39" t="s">
        <v>460</v>
      </c>
      <c r="P22" s="40"/>
      <c r="Q22" s="41"/>
      <c r="R22" s="41"/>
      <c r="S22" s="40"/>
      <c r="T22" s="40"/>
      <c r="U22" s="42"/>
      <c r="V22" s="192" t="s">
        <v>792</v>
      </c>
      <c r="W22" s="193"/>
    </row>
    <row r="23" spans="1:23" ht="15.75" thickBot="1" x14ac:dyDescent="0.3">
      <c r="A23" s="184" t="s">
        <v>352</v>
      </c>
      <c r="B23" s="185"/>
      <c r="C23" s="185"/>
      <c r="D23" s="185"/>
      <c r="E23" s="186"/>
      <c r="F23" s="167"/>
      <c r="G23" s="147"/>
      <c r="H23" s="148"/>
      <c r="I23" s="146"/>
      <c r="J23" s="147"/>
      <c r="K23" s="148"/>
      <c r="L23" s="147"/>
      <c r="M23" s="147"/>
      <c r="N23" s="168"/>
      <c r="O23" s="14"/>
      <c r="P23" s="14"/>
      <c r="Q23" s="3"/>
      <c r="V23" s="190" t="s">
        <v>849</v>
      </c>
      <c r="W23" s="191"/>
    </row>
    <row r="24" spans="1:23" ht="18" thickBot="1" x14ac:dyDescent="0.35">
      <c r="A24" s="187"/>
      <c r="B24" s="188"/>
      <c r="C24" s="188"/>
      <c r="D24" s="188"/>
      <c r="E24" s="189"/>
      <c r="F24" s="169" t="s">
        <v>444</v>
      </c>
      <c r="G24" s="170"/>
      <c r="H24" s="170"/>
      <c r="I24" s="170"/>
      <c r="J24" s="170"/>
      <c r="K24" s="170"/>
      <c r="L24" s="170"/>
      <c r="M24" s="170"/>
      <c r="N24" s="171"/>
      <c r="O24" s="14"/>
      <c r="P24" s="14"/>
      <c r="Q24" s="3"/>
      <c r="V24" s="192" t="s">
        <v>794</v>
      </c>
      <c r="W24" s="193"/>
    </row>
    <row r="25" spans="1:23" ht="15.75" thickTop="1" x14ac:dyDescent="0.25">
      <c r="A25" s="50"/>
      <c r="B25" s="51"/>
      <c r="C25" s="51"/>
      <c r="D25" s="51"/>
      <c r="E25" s="52"/>
      <c r="F25" s="119" t="s">
        <v>598</v>
      </c>
      <c r="G25" s="120"/>
      <c r="H25" s="4" t="str">
        <f>IFERROR(VLOOKUP(F25,Abilities,4,FALSE),"")</f>
        <v>SOLW</v>
      </c>
      <c r="I25" s="121" t="s">
        <v>962</v>
      </c>
      <c r="J25" s="120"/>
      <c r="K25" s="35" t="str">
        <f>IFERROR(VLOOKUP(I25,Abilities,4,FALSE),"")</f>
        <v>BLANK</v>
      </c>
      <c r="L25" s="122" t="s">
        <v>374</v>
      </c>
      <c r="M25" s="120"/>
      <c r="N25" s="10" t="str">
        <f>IFERROR(VLOOKUP(L25,Abilities,4,FALSE),"")</f>
        <v>LW2</v>
      </c>
      <c r="O25" s="14"/>
      <c r="P25" s="14"/>
      <c r="Q25" s="3"/>
      <c r="V25" s="190" t="s">
        <v>795</v>
      </c>
      <c r="W25" s="191"/>
    </row>
    <row r="26" spans="1:23" x14ac:dyDescent="0.25">
      <c r="A26" s="50"/>
      <c r="B26" s="51"/>
      <c r="C26" s="51"/>
      <c r="D26" s="51"/>
      <c r="E26" s="52"/>
      <c r="F26" s="144" t="str">
        <f>IFERROR(VLOOKUP(F25,Abilities,7,FALSE),"")</f>
        <v>All squad members get &lt;Ability:+Crit&gt; Crit chance against enemies you can see.</v>
      </c>
      <c r="G26" s="130"/>
      <c r="H26" s="131"/>
      <c r="I26" s="129" t="str">
        <f>IFERROR(VLOOKUP(I25,Abilities,7,FALSE),"")</f>
        <v xml:space="preserve"> </v>
      </c>
      <c r="J26" s="130"/>
      <c r="K26" s="131"/>
      <c r="L26" s="130">
        <f>IFERROR(VLOOKUP(L25,Abilities,7,FALSE),"")</f>
        <v>0</v>
      </c>
      <c r="M26" s="130"/>
      <c r="N26" s="135"/>
      <c r="O26" s="14"/>
      <c r="P26" s="14"/>
      <c r="Q26" s="3"/>
      <c r="V26" s="190" t="s">
        <v>853</v>
      </c>
      <c r="W26" s="191"/>
    </row>
    <row r="27" spans="1:23" ht="15.75" thickBot="1" x14ac:dyDescent="0.3">
      <c r="A27" s="50"/>
      <c r="B27" s="51"/>
      <c r="C27" s="51"/>
      <c r="D27" s="51"/>
      <c r="E27" s="52"/>
      <c r="F27" s="167"/>
      <c r="G27" s="147"/>
      <c r="H27" s="148"/>
      <c r="I27" s="146"/>
      <c r="J27" s="147"/>
      <c r="K27" s="148"/>
      <c r="L27" s="147"/>
      <c r="M27" s="147"/>
      <c r="N27" s="168"/>
      <c r="O27" s="14"/>
      <c r="P27" s="14"/>
      <c r="Q27" s="3"/>
      <c r="V27" s="192" t="s">
        <v>798</v>
      </c>
      <c r="W27" s="193"/>
    </row>
    <row r="28" spans="1:23" ht="18" thickBot="1" x14ac:dyDescent="0.35">
      <c r="A28" s="50"/>
      <c r="B28" s="51"/>
      <c r="C28" s="51"/>
      <c r="D28" s="51"/>
      <c r="E28" s="52"/>
      <c r="F28" s="169" t="s">
        <v>445</v>
      </c>
      <c r="G28" s="170"/>
      <c r="H28" s="170"/>
      <c r="I28" s="170"/>
      <c r="J28" s="170"/>
      <c r="K28" s="170"/>
      <c r="L28" s="170"/>
      <c r="M28" s="170"/>
      <c r="N28" s="171"/>
      <c r="O28" s="14"/>
      <c r="P28" s="14"/>
      <c r="Q28" s="3"/>
      <c r="V28" s="190" t="s">
        <v>799</v>
      </c>
      <c r="W28" s="191"/>
    </row>
    <row r="29" spans="1:23" ht="15.75" thickTop="1" x14ac:dyDescent="0.25">
      <c r="A29" s="50"/>
      <c r="B29" s="51"/>
      <c r="C29" s="51"/>
      <c r="D29" s="51"/>
      <c r="E29" s="52"/>
      <c r="F29" s="119" t="s">
        <v>143</v>
      </c>
      <c r="G29" s="120"/>
      <c r="H29" s="4" t="str">
        <f>IFERROR(VLOOKUP(F29,Abilities,4,FALSE),"")</f>
        <v>XCOM2</v>
      </c>
      <c r="I29" s="121" t="s">
        <v>962</v>
      </c>
      <c r="J29" s="120"/>
      <c r="K29" s="35" t="str">
        <f>IFERROR(VLOOKUP(I29,Abilities,4,FALSE),"")</f>
        <v>BLANK</v>
      </c>
      <c r="L29" s="122" t="s">
        <v>277</v>
      </c>
      <c r="M29" s="120"/>
      <c r="N29" s="10" t="str">
        <f>IFERROR(VLOOKUP(L29,Abilities,4,FALSE),"")</f>
        <v>LW2</v>
      </c>
      <c r="O29" s="14"/>
      <c r="P29" s="14"/>
      <c r="Q29" s="3"/>
      <c r="V29" s="190" t="s">
        <v>825</v>
      </c>
      <c r="W29" s="191"/>
    </row>
    <row r="30" spans="1:23" x14ac:dyDescent="0.25">
      <c r="A30" s="50"/>
      <c r="B30" s="51"/>
      <c r="C30" s="51"/>
      <c r="D30" s="51"/>
      <c r="E30" s="52"/>
      <c r="F30" s="144" t="str">
        <f>IFERROR(VLOOKUP(F29,Abilities,7,FALSE),"")</f>
        <v>The GREMLIN can trigger an instant scan of the area, increasing the Specialist's sight radius substantially for one turn and revealing any hidden enemies.</v>
      </c>
      <c r="G30" s="130"/>
      <c r="H30" s="131"/>
      <c r="I30" s="129" t="str">
        <f>IFERROR(VLOOKUP(I29,Abilities,7,FALSE),"")</f>
        <v xml:space="preserve"> </v>
      </c>
      <c r="J30" s="130"/>
      <c r="K30" s="131"/>
      <c r="L30" s="130">
        <f>IFERROR(VLOOKUP(L29,Abilities,7,FALSE),"")</f>
        <v>0</v>
      </c>
      <c r="M30" s="130"/>
      <c r="N30" s="135"/>
      <c r="O30" s="14"/>
      <c r="P30" s="14"/>
      <c r="Q30" s="3"/>
      <c r="V30" s="190" t="s">
        <v>819</v>
      </c>
      <c r="W30" s="191"/>
    </row>
    <row r="31" spans="1:23" ht="15.75" thickBot="1" x14ac:dyDescent="0.3">
      <c r="A31" s="50"/>
      <c r="B31" s="51"/>
      <c r="C31" s="51"/>
      <c r="D31" s="51"/>
      <c r="E31" s="52"/>
      <c r="F31" s="167"/>
      <c r="G31" s="147"/>
      <c r="H31" s="148"/>
      <c r="I31" s="146"/>
      <c r="J31" s="147"/>
      <c r="K31" s="148"/>
      <c r="L31" s="147"/>
      <c r="M31" s="147"/>
      <c r="N31" s="168"/>
      <c r="O31" s="14"/>
      <c r="P31" s="14"/>
      <c r="Q31" s="3"/>
      <c r="V31" s="192" t="s">
        <v>820</v>
      </c>
      <c r="W31" s="193"/>
    </row>
    <row r="32" spans="1:23" ht="18" thickBot="1" x14ac:dyDescent="0.35">
      <c r="A32" s="50"/>
      <c r="B32" s="51"/>
      <c r="C32" s="51"/>
      <c r="D32" s="51"/>
      <c r="E32" s="52"/>
      <c r="F32" s="169" t="s">
        <v>446</v>
      </c>
      <c r="G32" s="170"/>
      <c r="H32" s="170"/>
      <c r="I32" s="170"/>
      <c r="J32" s="170"/>
      <c r="K32" s="170"/>
      <c r="L32" s="170"/>
      <c r="M32" s="170"/>
      <c r="N32" s="171"/>
      <c r="O32" s="14"/>
      <c r="P32" s="14"/>
      <c r="Q32" s="3"/>
      <c r="V32" s="192" t="s">
        <v>815</v>
      </c>
      <c r="W32" s="193"/>
    </row>
    <row r="33" spans="1:23" ht="15.75" thickTop="1" x14ac:dyDescent="0.25">
      <c r="A33" s="50"/>
      <c r="B33" s="51"/>
      <c r="C33" s="51"/>
      <c r="D33" s="51"/>
      <c r="E33" s="52"/>
      <c r="F33" s="121" t="s">
        <v>962</v>
      </c>
      <c r="G33" s="120"/>
      <c r="H33" s="4" t="str">
        <f>IFERROR(VLOOKUP(F33,Abilities,4,FALSE),"")</f>
        <v>BLANK</v>
      </c>
      <c r="I33" s="121" t="s">
        <v>1075</v>
      </c>
      <c r="J33" s="120"/>
      <c r="K33" s="35" t="str">
        <f>IFERROR(VLOOKUP(I33,Abilities,4,FALSE),"")</f>
        <v>LWD</v>
      </c>
      <c r="L33" s="121" t="s">
        <v>962</v>
      </c>
      <c r="M33" s="120"/>
      <c r="N33" s="10" t="str">
        <f>IFERROR(VLOOKUP(L33,Abilities,4,FALSE),"")</f>
        <v>BLANK</v>
      </c>
      <c r="O33" s="14"/>
      <c r="P33" s="14"/>
      <c r="Q33" s="3"/>
      <c r="V33" s="192" t="s">
        <v>822</v>
      </c>
      <c r="W33" s="193"/>
    </row>
    <row r="34" spans="1:23" x14ac:dyDescent="0.25">
      <c r="A34" s="50"/>
      <c r="B34" s="51"/>
      <c r="C34" s="51"/>
      <c r="D34" s="51"/>
      <c r="E34" s="52"/>
      <c r="F34" s="144" t="str">
        <f>IFERROR(VLOOKUP(F33,Abilities,7,FALSE),"")</f>
        <v xml:space="preserve"> </v>
      </c>
      <c r="G34" s="130"/>
      <c r="H34" s="131"/>
      <c r="I34" s="129" t="str">
        <f>IFERROR(VLOOKUP(I33,Abilities,7,FALSE),"")</f>
        <v>Activate to immediately reset all cooldowns</v>
      </c>
      <c r="J34" s="130"/>
      <c r="K34" s="131"/>
      <c r="L34" s="130" t="str">
        <f>IFERROR(VLOOKUP(L33,Abilities,7,FALSE),"")</f>
        <v xml:space="preserve"> </v>
      </c>
      <c r="M34" s="130"/>
      <c r="N34" s="135"/>
      <c r="O34" s="14"/>
      <c r="P34" s="14"/>
      <c r="Q34" s="3"/>
      <c r="V34" s="190" t="s">
        <v>816</v>
      </c>
      <c r="W34" s="191"/>
    </row>
    <row r="35" spans="1:23" ht="15.75" thickBot="1" x14ac:dyDescent="0.3">
      <c r="A35" s="50"/>
      <c r="B35" s="51"/>
      <c r="C35" s="51"/>
      <c r="D35" s="51"/>
      <c r="E35" s="52"/>
      <c r="F35" s="167"/>
      <c r="G35" s="147"/>
      <c r="H35" s="148"/>
      <c r="I35" s="146"/>
      <c r="J35" s="147"/>
      <c r="K35" s="148"/>
      <c r="L35" s="147"/>
      <c r="M35" s="147"/>
      <c r="N35" s="168"/>
      <c r="O35" s="14"/>
      <c r="P35" s="14"/>
      <c r="Q35" s="3"/>
      <c r="V35" s="194" t="s">
        <v>850</v>
      </c>
      <c r="W35" s="195"/>
    </row>
    <row r="36" spans="1:23" ht="18" thickBot="1" x14ac:dyDescent="0.35">
      <c r="A36" s="50"/>
      <c r="B36" s="51"/>
      <c r="C36" s="51"/>
      <c r="D36" s="51"/>
      <c r="E36" s="52"/>
      <c r="F36" s="169" t="s">
        <v>447</v>
      </c>
      <c r="G36" s="170"/>
      <c r="H36" s="170"/>
      <c r="I36" s="170"/>
      <c r="J36" s="170"/>
      <c r="K36" s="170"/>
      <c r="L36" s="170"/>
      <c r="M36" s="170"/>
      <c r="N36" s="171"/>
    </row>
    <row r="37" spans="1:23" ht="15.75" thickTop="1" x14ac:dyDescent="0.25">
      <c r="A37" s="50"/>
      <c r="B37" s="51"/>
      <c r="C37" s="51"/>
      <c r="D37" s="51"/>
      <c r="E37" s="52"/>
      <c r="F37" s="119" t="s">
        <v>408</v>
      </c>
      <c r="G37" s="120"/>
      <c r="H37" s="4" t="str">
        <f>IFERROR(VLOOKUP(F37,Abilities,4,FALSE),"")</f>
        <v>LW2</v>
      </c>
      <c r="I37" s="121" t="s">
        <v>962</v>
      </c>
      <c r="J37" s="120"/>
      <c r="K37" s="35" t="str">
        <f>IFERROR(VLOOKUP(I37,Abilities,4,FALSE),"")</f>
        <v>BLANK</v>
      </c>
      <c r="L37" s="122" t="s">
        <v>442</v>
      </c>
      <c r="M37" s="120"/>
      <c r="N37" s="10" t="str">
        <f>IFERROR(VLOOKUP(L37,Abilities,4,FALSE),"")</f>
        <v>LW2</v>
      </c>
    </row>
    <row r="38" spans="1:23" x14ac:dyDescent="0.25">
      <c r="A38" s="50"/>
      <c r="B38" s="51"/>
      <c r="C38" s="51"/>
      <c r="D38" s="51"/>
      <c r="E38" s="52"/>
      <c r="F38" s="144">
        <f>IFERROR(VLOOKUP(F37,Abilities,7,FALSE),"")</f>
        <v>0</v>
      </c>
      <c r="G38" s="130"/>
      <c r="H38" s="131"/>
      <c r="I38" s="129" t="str">
        <f>IFERROR(VLOOKUP(I37,Abilities,7,FALSE),"")</f>
        <v xml:space="preserve"> </v>
      </c>
      <c r="J38" s="130"/>
      <c r="K38" s="131"/>
      <c r="L38" s="130">
        <f>IFERROR(VLOOKUP(L37,Abilities,7,FALSE),"")</f>
        <v>0</v>
      </c>
      <c r="M38" s="130"/>
      <c r="N38" s="135"/>
    </row>
    <row r="39" spans="1:23" ht="15.75" thickBot="1" x14ac:dyDescent="0.3">
      <c r="A39" s="53"/>
      <c r="B39" s="54"/>
      <c r="C39" s="54"/>
      <c r="D39" s="54"/>
      <c r="E39" s="55"/>
      <c r="F39" s="167"/>
      <c r="G39" s="147"/>
      <c r="H39" s="148"/>
      <c r="I39" s="146"/>
      <c r="J39" s="147"/>
      <c r="K39" s="148"/>
      <c r="L39" s="147"/>
      <c r="M39" s="147"/>
      <c r="N39" s="168"/>
    </row>
    <row r="40" spans="1:23" ht="15" customHeight="1" x14ac:dyDescent="0.25">
      <c r="A40" s="86" t="s">
        <v>1200</v>
      </c>
      <c r="B40" s="86"/>
      <c r="C40" s="88" t="str">
        <f>SUBSTITUTE(C1," ","")</f>
        <v>Hacker</v>
      </c>
      <c r="D40" s="88"/>
      <c r="E40" s="88"/>
      <c r="F40" s="238"/>
      <c r="G40" s="238"/>
      <c r="H40" s="237"/>
      <c r="I40" s="237"/>
      <c r="J40" s="237"/>
    </row>
    <row r="41" spans="1:23" ht="15" customHeight="1" thickBot="1" x14ac:dyDescent="0.3">
      <c r="A41" s="87"/>
      <c r="B41" s="87"/>
      <c r="C41" s="89"/>
      <c r="D41" s="89"/>
      <c r="E41" s="89"/>
      <c r="F41" s="239"/>
      <c r="G41" s="239"/>
      <c r="H41" s="237"/>
      <c r="I41" s="237"/>
      <c r="J41" s="237"/>
    </row>
    <row r="42" spans="1:23" ht="16.5" thickBot="1" x14ac:dyDescent="0.3">
      <c r="A42" s="242" t="s">
        <v>339</v>
      </c>
      <c r="B42" s="244"/>
      <c r="C42" s="253" t="s">
        <v>342</v>
      </c>
      <c r="D42" s="247"/>
      <c r="E42" s="251" t="s">
        <v>343</v>
      </c>
      <c r="F42" s="250"/>
      <c r="G42" s="234"/>
      <c r="H42" s="235"/>
      <c r="I42" s="235"/>
      <c r="J42" s="235"/>
    </row>
    <row r="43" spans="1:23" x14ac:dyDescent="0.25">
      <c r="A43" s="243" t="str">
        <f ca="1">"; "&amp;INDIRECT("C1")&amp;" class data"</f>
        <v>; Hacker class data</v>
      </c>
      <c r="B43" s="234" t="s">
        <v>340</v>
      </c>
      <c r="C43" s="254" t="str">
        <f ca="1">"; "&amp;INDIRECT("C1")&amp;" class loadout"</f>
        <v>; Hacker class loadout</v>
      </c>
      <c r="D43" s="234" t="s">
        <v>340</v>
      </c>
      <c r="E43" s="252" t="str">
        <f ca="1">"["&amp;INDIRECT("C3")&amp;" X2SoldierClassTemplate]"</f>
        <v>[LWD_Hacker X2SoldierClassTemplate]</v>
      </c>
      <c r="F43" s="234" t="s">
        <v>340</v>
      </c>
      <c r="G43" s="234"/>
      <c r="H43" s="235"/>
      <c r="I43" s="235"/>
      <c r="J43" s="235"/>
    </row>
    <row r="44" spans="1:23" x14ac:dyDescent="0.25">
      <c r="A44" s="240"/>
      <c r="B44" s="234"/>
      <c r="C44" s="245"/>
      <c r="D44" s="234" t="s">
        <v>340</v>
      </c>
      <c r="E44" s="248" t="str">
        <f ca="1">"+DisplayName="""&amp;INDIRECT("C1")&amp;""""</f>
        <v>+DisplayName="Hacker"</v>
      </c>
      <c r="F44" s="234" t="s">
        <v>340</v>
      </c>
      <c r="G44" s="234"/>
      <c r="H44" s="235"/>
      <c r="I44" s="235"/>
      <c r="J44" s="235"/>
    </row>
    <row r="45" spans="1:23" x14ac:dyDescent="0.25">
      <c r="A45" s="240" t="str">
        <f>"[XComGame.X2SoldierClass_DefaultClasses]"</f>
        <v>[XComGame.X2SoldierClass_DefaultClasses]</v>
      </c>
      <c r="B45" s="234" t="s">
        <v>340</v>
      </c>
      <c r="C45" s="245" t="s">
        <v>341</v>
      </c>
      <c r="D45" s="234" t="s">
        <v>340</v>
      </c>
      <c r="E45" s="248" t="str">
        <f ca="1">"+ClassSummary="""&amp;INDIRECT("A20")&amp;""""</f>
        <v>+ClassSummary="The Hacker is a a savant when it comes to computers. They use their GREMLINs to keep Advent's systems on the fritz."</v>
      </c>
      <c r="F45" s="234" t="s">
        <v>340</v>
      </c>
      <c r="G45" s="234"/>
      <c r="H45" s="235"/>
      <c r="I45" s="235"/>
      <c r="J45" s="235"/>
    </row>
    <row r="46" spans="1:23" x14ac:dyDescent="0.25">
      <c r="A46" s="240" t="str">
        <f ca="1">"+SoldierClasses="&amp;INDIRECT("C3")</f>
        <v>+SoldierClasses=LWD_Hacker</v>
      </c>
      <c r="B46" s="234" t="s">
        <v>340</v>
      </c>
      <c r="C46" s="245"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+Loadouts=(LoadoutName="SquaddieLWD_Hacker", Items[0]=(Item="AssaultRifle_CV"), Items[1]=(Item="Gremlin_CV"))</v>
      </c>
      <c r="D46" s="234" t="s">
        <v>340</v>
      </c>
      <c r="E46" s="248" t="str">
        <f ca="1">"+LeftAbilityTreeTitle="""&amp;INDIRECT("F11")&amp;""""</f>
        <v>+LeftAbilityTreeTitle="Operator"</v>
      </c>
      <c r="F46" s="234" t="s">
        <v>340</v>
      </c>
      <c r="G46" s="234"/>
      <c r="H46" s="235"/>
      <c r="I46" s="234"/>
      <c r="J46" s="234"/>
    </row>
    <row r="47" spans="1:23" x14ac:dyDescent="0.25">
      <c r="A47" s="240"/>
      <c r="B47" s="234" t="s">
        <v>340</v>
      </c>
      <c r="C47" s="245"/>
      <c r="D47" s="234" t="s">
        <v>340</v>
      </c>
      <c r="E47" s="248" t="str">
        <f ca="1">"+RightAbilityTreeTitle="""&amp;INDIRECT("L11")&amp;""""</f>
        <v>+RightAbilityTreeTitle="Decker"</v>
      </c>
      <c r="F47" s="234" t="s">
        <v>340</v>
      </c>
      <c r="G47" s="234"/>
      <c r="H47" s="235"/>
      <c r="I47" s="234"/>
      <c r="J47" s="234"/>
    </row>
    <row r="48" spans="1:23" x14ac:dyDescent="0.25">
      <c r="A48" s="240" t="str">
        <f ca="1">"["&amp;INDIRECT("C3")&amp;" X2SoldierClassTemplate]"</f>
        <v>[LWD_Hacker X2SoldierClassTemplate]</v>
      </c>
      <c r="B48" s="234" t="s">
        <v>340</v>
      </c>
      <c r="C48" s="245" t="s">
        <v>351</v>
      </c>
      <c r="D48" s="234" t="s">
        <v>340</v>
      </c>
      <c r="E48" s="248" t="str">
        <f>"; Nicknames"</f>
        <v>; Nicknames</v>
      </c>
      <c r="F48" s="234" t="s">
        <v>340</v>
      </c>
      <c r="G48" s="234"/>
      <c r="H48" s="234"/>
      <c r="I48" s="234"/>
      <c r="J48" s="234"/>
    </row>
    <row r="49" spans="1:10" ht="15.75" thickBot="1" x14ac:dyDescent="0.3">
      <c r="A49" s="240" t="str">
        <f ca="1">"+bMultiplayerOnly="&amp;INDIRECT("E6")</f>
        <v>+bMultiplayerOnly=0</v>
      </c>
      <c r="B49" s="234" t="s">
        <v>340</v>
      </c>
      <c r="C49" s="246" t="str">
        <f ca="1">"+DEBUG_StartingSoldierClasses="""&amp;INDIRECT("C3")&amp;""""</f>
        <v>+DEBUG_StartingSoldierClasses="LWD_Hacker"</v>
      </c>
      <c r="D49" s="234" t="s">
        <v>340</v>
      </c>
      <c r="E49" s="248" t="str">
        <f ca="1">IF(INDIRECT("V4")&lt;&gt;"","RandomNickNames[0]="""&amp;INDIRECT("V4")&amp;"""","")</f>
        <v>RandomNickNames[0]="Angel"</v>
      </c>
      <c r="F49" s="234" t="s">
        <v>340</v>
      </c>
      <c r="G49" s="234"/>
      <c r="H49" s="234"/>
      <c r="I49" s="234"/>
      <c r="J49" s="234"/>
    </row>
    <row r="50" spans="1:10" x14ac:dyDescent="0.25">
      <c r="A50" s="240" t="str">
        <f ca="1">"+ClassPoints="&amp;INDIRECT("E7")</f>
        <v>+ClassPoints=4</v>
      </c>
      <c r="B50" s="234" t="s">
        <v>340</v>
      </c>
      <c r="C50" s="234"/>
      <c r="D50" s="234"/>
      <c r="E50" s="248" t="str">
        <f ca="1">IF(INDIRECT("V5")&lt;&gt;"","RandomNickNames[1]="""&amp;INDIRECT("V5")&amp;"""","")</f>
        <v>RandomNickNames[1]="Bargain"</v>
      </c>
      <c r="F50" s="234" t="s">
        <v>340</v>
      </c>
      <c r="G50" s="234"/>
      <c r="H50" s="234"/>
      <c r="I50" s="234"/>
      <c r="J50" s="234"/>
    </row>
    <row r="51" spans="1:10" x14ac:dyDescent="0.25">
      <c r="A51" s="240" t="str">
        <f ca="1">"+IconImage="&amp;""""&amp;INDIRECT("E8")&amp;""""</f>
        <v>+IconImage="img:///UILibrary_LWD.class_hacker"</v>
      </c>
      <c r="B51" s="234" t="s">
        <v>340</v>
      </c>
      <c r="C51" s="234"/>
      <c r="D51" s="234"/>
      <c r="E51" s="248" t="str">
        <f ca="1">IF(INDIRECT("V6")&lt;&gt;"","RandomNickNames[2]="""&amp;INDIRECT("V6")&amp;"""","")</f>
        <v>RandomNickNames[2]="Beta"</v>
      </c>
      <c r="F51" s="234" t="s">
        <v>340</v>
      </c>
      <c r="G51" s="234"/>
      <c r="H51" s="234"/>
      <c r="I51" s="234"/>
      <c r="J51" s="234"/>
    </row>
    <row r="52" spans="1:10" x14ac:dyDescent="0.25">
      <c r="A52" s="240" t="str">
        <f ca="1">"+NumInForcedDeck="&amp;INDIRECT("E9")</f>
        <v>+NumInForcedDeck=1</v>
      </c>
      <c r="B52" s="234" t="s">
        <v>340</v>
      </c>
      <c r="C52" s="234"/>
      <c r="D52" s="234"/>
      <c r="E52" s="248" t="str">
        <f ca="1">IF(INDIRECT("V7")&lt;&gt;"","RandomNickNames[3]="""&amp;INDIRECT("V7")&amp;"""","")</f>
        <v>RandomNickNames[3]="Bishop"</v>
      </c>
      <c r="F52" s="234" t="s">
        <v>340</v>
      </c>
      <c r="G52" s="234"/>
      <c r="H52" s="234"/>
      <c r="I52" s="234"/>
      <c r="J52" s="234"/>
    </row>
    <row r="53" spans="1:10" x14ac:dyDescent="0.25">
      <c r="A53" s="240" t="str">
        <f ca="1">"+NumInDeck="&amp;INDIRECT("E10")</f>
        <v>+NumInDeck=4</v>
      </c>
      <c r="B53" s="234" t="s">
        <v>340</v>
      </c>
      <c r="C53" s="234"/>
      <c r="D53" s="234"/>
      <c r="E53" s="248" t="str">
        <f ca="1">IF(INDIRECT("V8")&lt;&gt;"","RandomNickNames[4]="""&amp;INDIRECT("V8")&amp;"""","")</f>
        <v>RandomNickNames[4]="Malware"</v>
      </c>
      <c r="F53" s="234" t="s">
        <v>340</v>
      </c>
      <c r="G53" s="234"/>
      <c r="H53" s="234"/>
      <c r="I53" s="234"/>
      <c r="J53" s="234"/>
    </row>
    <row r="54" spans="1:10" x14ac:dyDescent="0.25">
      <c r="A54" s="240" t="str">
        <f ca="1">"+KillAssistsPerKill="&amp;INDIRECT("E11")</f>
        <v>+KillAssistsPerKill=4</v>
      </c>
      <c r="B54" s="234" t="s">
        <v>340</v>
      </c>
      <c r="C54" s="234"/>
      <c r="D54" s="234"/>
      <c r="E54" s="248" t="str">
        <f ca="1">IF(INDIRECT("V9")&lt;&gt;"","RandomNickNames[5]="""&amp;INDIRECT("V9")&amp;"""","")</f>
        <v>RandomNickNames[5]="Breaker"</v>
      </c>
      <c r="F54" s="234" t="s">
        <v>340</v>
      </c>
      <c r="G54" s="234"/>
      <c r="H54" s="234"/>
      <c r="I54" s="234"/>
      <c r="J54" s="234"/>
    </row>
    <row r="55" spans="1:10" x14ac:dyDescent="0.25">
      <c r="A55" s="240" t="str">
        <f ca="1">"+SquaddieLoadout=Squaddie"&amp;INDIRECT("C3")</f>
        <v>+SquaddieLoadout=SquaddieLWD_Hacker</v>
      </c>
      <c r="B55" s="234" t="s">
        <v>340</v>
      </c>
      <c r="C55" s="234"/>
      <c r="D55" s="234"/>
      <c r="E55" s="248" t="str">
        <f ca="1">IF(INDIRECT("V10")&lt;&gt;"","RandomNickNames[6]="""&amp;INDIRECT("V10")&amp;"""","")</f>
        <v>RandomNickNames[6]="Broker"</v>
      </c>
      <c r="F55" s="234" t="s">
        <v>340</v>
      </c>
      <c r="G55" s="234"/>
      <c r="H55" s="234"/>
      <c r="I55" s="234"/>
      <c r="J55" s="234"/>
    </row>
    <row r="56" spans="1:10" x14ac:dyDescent="0.25">
      <c r="A56" s="240" t="str">
        <f ca="1">";+bAllowAWCAbilities="&amp;INDIRECT("E12")&amp;" ; Not a thing in LW2"</f>
        <v>;+bAllowAWCAbilities=1 ; Not a thing in LW2</v>
      </c>
      <c r="B56" s="234" t="s">
        <v>340</v>
      </c>
      <c r="C56" s="234"/>
      <c r="D56" s="234"/>
      <c r="E56" s="248" t="str">
        <f ca="1">IF(INDIRECT("V11")&lt;&gt;"","RandomNickNames[7]="""&amp;INDIRECT("V11")&amp;"""","")</f>
        <v>RandomNickNames[7]="Conquest"</v>
      </c>
      <c r="F56" s="234" t="s">
        <v>340</v>
      </c>
      <c r="G56" s="234"/>
      <c r="H56" s="234"/>
      <c r="I56" s="234"/>
      <c r="J56" s="234"/>
    </row>
    <row r="57" spans="1:10" x14ac:dyDescent="0.25">
      <c r="A57" s="240" t="str">
        <f ca="1">IF(INDIRECT("B5")=FALSE,";","")&amp;"+AllowedWeapons=(SlotType=eInvSlot_PrimaryWeapon, WeaponType=""rifle"")"</f>
        <v>+AllowedWeapons=(SlotType=eInvSlot_PrimaryWeapon, WeaponType="rifle")</v>
      </c>
      <c r="B57" s="234" t="s">
        <v>340</v>
      </c>
      <c r="C57" s="234"/>
      <c r="D57" s="234"/>
      <c r="E57" s="248" t="str">
        <f ca="1">IF(INDIRECT("V12")&lt;&gt;"","RandomNickNames[8]="""&amp;INDIRECT("V12")&amp;"""","")</f>
        <v>RandomNickNames[8]="Deacon"</v>
      </c>
      <c r="F57" s="234" t="s">
        <v>340</v>
      </c>
      <c r="G57" s="234"/>
      <c r="H57" s="234"/>
      <c r="I57" s="234"/>
      <c r="J57" s="234"/>
    </row>
    <row r="58" spans="1:10" x14ac:dyDescent="0.25">
      <c r="A58" s="240" t="str">
        <f ca="1">IF(INDIRECT("B6")=FALSE,";","")&amp;"+AllowedWeapons=(SlotType=eInvSlot_PrimaryWeapon, WeaponType=""cannon"")"</f>
        <v>;+AllowedWeapons=(SlotType=eInvSlot_PrimaryWeapon, WeaponType="cannon")</v>
      </c>
      <c r="B58" s="234" t="s">
        <v>340</v>
      </c>
      <c r="C58" s="234"/>
      <c r="D58" s="234"/>
      <c r="E58" s="248" t="str">
        <f ca="1">IF(INDIRECT("V13")&lt;&gt;"","RandomNickNames[9]="""&amp;INDIRECT("V13")&amp;"""","")</f>
        <v>RandomNickNames[9]="Professor"</v>
      </c>
      <c r="F58" s="234" t="s">
        <v>340</v>
      </c>
      <c r="G58" s="234"/>
      <c r="H58" s="234"/>
      <c r="I58" s="234"/>
      <c r="J58" s="234"/>
    </row>
    <row r="59" spans="1:10" x14ac:dyDescent="0.25">
      <c r="A59" s="240" t="str">
        <f ca="1">IF(INDIRECT("B7")=FALSE,";","")&amp;"+AllowedWeapons=(SlotType=eInvSlot_PrimaryWeapon, WeaponType=""shotgun"")"</f>
        <v>;+AllowedWeapons=(SlotType=eInvSlot_PrimaryWeapon, WeaponType="shotgun")</v>
      </c>
      <c r="B59" s="234" t="s">
        <v>340</v>
      </c>
      <c r="C59" s="234"/>
      <c r="D59" s="234"/>
      <c r="E59" s="248" t="str">
        <f ca="1">IF(INDIRECT("V14")&lt;&gt;"","RandomNickNames[10]="""&amp;INDIRECT("V14")&amp;"""","")</f>
        <v>RandomNickNames[10]="Spybot"</v>
      </c>
      <c r="F59" s="234" t="s">
        <v>340</v>
      </c>
      <c r="G59" s="234"/>
      <c r="H59" s="234"/>
      <c r="I59" s="234"/>
      <c r="J59" s="234"/>
    </row>
    <row r="60" spans="1:10" x14ac:dyDescent="0.25">
      <c r="A60" s="240" t="str">
        <f ca="1">IF(INDIRECT("B8")=FALSE,";","")&amp;"+AllowedWeapons=(SlotType=eInvSlot_PrimaryWeapon, WeaponType=""sniper_rifle"")"</f>
        <v>;+AllowedWeapons=(SlotType=eInvSlot_PrimaryWeapon, WeaponType="sniper_rifle")</v>
      </c>
      <c r="B60" s="234" t="s">
        <v>340</v>
      </c>
      <c r="C60" s="234"/>
      <c r="D60" s="234"/>
      <c r="E60" s="248" t="str">
        <f ca="1">IF(INDIRECT("V15")&lt;&gt;"","RandomNickNames[11]="""&amp;INDIRECT("V15")&amp;"""","")</f>
        <v>RandomNickNames[11]="Famine"</v>
      </c>
      <c r="F60" s="234" t="s">
        <v>340</v>
      </c>
      <c r="G60" s="234"/>
      <c r="H60" s="234"/>
      <c r="I60" s="234"/>
      <c r="J60" s="234"/>
    </row>
    <row r="61" spans="1:10" x14ac:dyDescent="0.25">
      <c r="A61" s="240" t="str">
        <f ca="1">IF(INDIRECT("B9")=FALSE,";","")&amp;"+AllowedWeapons=(SlotType=eInvSlot_SecondaryWeapon, WeaponType=""gauntlet"")"</f>
        <v>;+AllowedWeapons=(SlotType=eInvSlot_SecondaryWeapon, WeaponType="gauntlet")</v>
      </c>
      <c r="B61" s="234" t="s">
        <v>340</v>
      </c>
      <c r="C61" s="234"/>
      <c r="D61" s="234"/>
      <c r="E61" s="248" t="str">
        <f ca="1">IF(INDIRECT("V16")&lt;&gt;"","RandomNickNames[12]="""&amp;INDIRECT("V16")&amp;"""","")</f>
        <v>RandomNickNames[12]="Feedback"</v>
      </c>
      <c r="F61" s="234" t="s">
        <v>340</v>
      </c>
      <c r="G61" s="234"/>
      <c r="H61" s="234"/>
      <c r="I61" s="234"/>
      <c r="J61" s="234"/>
    </row>
    <row r="62" spans="1:10" x14ac:dyDescent="0.25">
      <c r="A62" s="240" t="str">
        <f ca="1">IF(INDIRECT("B10")=FALSE,";","")&amp;"+AllowedWeapons=(SlotType=eInvSlot_SecondaryWeapon, WeaponType=""combatknife"")"</f>
        <v>;+AllowedWeapons=(SlotType=eInvSlot_SecondaryWeapon, WeaponType="combatknife")</v>
      </c>
      <c r="B62" s="234" t="s">
        <v>340</v>
      </c>
      <c r="C62" s="234"/>
      <c r="D62" s="234"/>
      <c r="E62" s="248" t="str">
        <f ca="1">IF(INDIRECT("V17")&lt;&gt;"","RandomNickNames[13]="""&amp;INDIRECT("V17")&amp;"""","")</f>
        <v>RandomNickNames[13]="Firewall"</v>
      </c>
      <c r="F62" s="234" t="s">
        <v>340</v>
      </c>
      <c r="G62" s="234"/>
      <c r="H62" s="234"/>
      <c r="I62" s="234"/>
      <c r="J62" s="234"/>
    </row>
    <row r="63" spans="1:10" x14ac:dyDescent="0.25">
      <c r="A63" s="240" t="str">
        <f ca="1">IF(INDIRECT("B11")=FALSE,";","")&amp;"+AllowedWeapons=(SlotType=eInvSlot_SecondaryWeapon, WeaponType=""grenade_launcher"")"</f>
        <v>;+AllowedWeapons=(SlotType=eInvSlot_SecondaryWeapon, WeaponType="grenade_launcher")</v>
      </c>
      <c r="B63" s="234" t="s">
        <v>340</v>
      </c>
      <c r="C63" s="234"/>
      <c r="D63" s="234"/>
      <c r="E63" s="248" t="str">
        <f ca="1">IF(INDIRECT("V18")&lt;&gt;"","RandomNickNames[14]="""&amp;INDIRECT("V18")&amp;"""","")</f>
        <v>RandomNickNames[14]="Genius"</v>
      </c>
      <c r="F63" s="234" t="s">
        <v>340</v>
      </c>
      <c r="G63" s="234"/>
      <c r="H63" s="234"/>
      <c r="I63" s="234"/>
      <c r="J63" s="234"/>
    </row>
    <row r="64" spans="1:10" x14ac:dyDescent="0.25">
      <c r="A64" s="240" t="str">
        <f ca="1">IF(INDIRECT("B12")=FALSE,";","")&amp;"+AllowedWeapons=(SlotType=eInvSlot_SecondaryWeapon, WeaponType=""gremlin"")"</f>
        <v>+AllowedWeapons=(SlotType=eInvSlot_SecondaryWeapon, WeaponType="gremlin")</v>
      </c>
      <c r="B64" s="234" t="s">
        <v>340</v>
      </c>
      <c r="C64" s="234"/>
      <c r="D64" s="234"/>
      <c r="E64" s="248" t="str">
        <f ca="1">IF(INDIRECT("V19")&lt;&gt;"","RandomNickNames[15]="""&amp;INDIRECT("V19")&amp;"""","")</f>
        <v>RandomNickNames[15]="Gizmo"</v>
      </c>
      <c r="F64" s="234" t="s">
        <v>340</v>
      </c>
      <c r="G64" s="234"/>
      <c r="H64" s="234"/>
      <c r="I64" s="234"/>
      <c r="J64" s="234"/>
    </row>
    <row r="65" spans="1:10" x14ac:dyDescent="0.25">
      <c r="A65" s="240" t="str">
        <f ca="1">IF(INDIRECT("B13")=FALSE,";","")&amp;"+AllowedWeapons=(SlotType=eInvSlot_SecondaryWeapon, WeaponType=""sword"")"</f>
        <v>;+AllowedWeapons=(SlotType=eInvSlot_SecondaryWeapon, WeaponType="sword")</v>
      </c>
      <c r="B65" s="234" t="s">
        <v>340</v>
      </c>
      <c r="C65" s="234"/>
      <c r="D65" s="234"/>
      <c r="E65" s="248" t="str">
        <f ca="1">IF(INDIRECT("V20")&lt;&gt;"","RandomNickNames[16]="""&amp;INDIRECT("V20")&amp;"""","")</f>
        <v>RandomNickNames[16]="Jester"</v>
      </c>
      <c r="F65" s="234" t="s">
        <v>340</v>
      </c>
      <c r="G65" s="234"/>
      <c r="H65" s="234"/>
      <c r="I65" s="234"/>
      <c r="J65" s="234"/>
    </row>
    <row r="66" spans="1:10" x14ac:dyDescent="0.25">
      <c r="A66" s="240" t="str">
        <f ca="1">IF(INDIRECT("B14")=FALSE,";","")&amp;"+AllowedWeapons=(SlotType=eInvSlot_SecondaryWeapon, WeaponType=""sawedoffshotgun"")"</f>
        <v>;+AllowedWeapons=(SlotType=eInvSlot_SecondaryWeapon, WeaponType="sawedoffshotgun")</v>
      </c>
      <c r="B66" s="234" t="s">
        <v>340</v>
      </c>
      <c r="C66" s="234"/>
      <c r="D66" s="234"/>
      <c r="E66" s="248" t="str">
        <f ca="1">IF(INDIRECT("V21")&lt;&gt;"","RandomNickNames[17]="""&amp;INDIRECT("V21")&amp;"""","")</f>
        <v>RandomNickNames[17]="Jolt"</v>
      </c>
      <c r="F66" s="234" t="s">
        <v>340</v>
      </c>
      <c r="G66" s="234"/>
      <c r="H66" s="234"/>
      <c r="I66" s="234"/>
      <c r="J66" s="234"/>
    </row>
    <row r="67" spans="1:10" x14ac:dyDescent="0.25">
      <c r="A67" s="240" t="str">
        <f ca="1">IF(INDIRECT("B15")=FALSE,";","")&amp;"+AllowedWeapons=(SlotType=eInvSlot_SecondaryWeapon, WeaponType=""arcthrower"")"</f>
        <v>;+AllowedWeapons=(SlotType=eInvSlot_SecondaryWeapon, WeaponType="arcthrower")</v>
      </c>
      <c r="B67" s="234" t="s">
        <v>340</v>
      </c>
      <c r="C67" s="234"/>
      <c r="D67" s="234"/>
      <c r="E67" s="248" t="str">
        <f ca="1">IF(INDIRECT("V22")&lt;&gt;"","RandomNickNames[18]="""&amp;INDIRECT("V22")&amp;"""","")</f>
        <v>RandomNickNames[18]="Lightning"</v>
      </c>
      <c r="F67" s="234" t="s">
        <v>340</v>
      </c>
      <c r="G67" s="234"/>
      <c r="H67" s="234"/>
      <c r="I67" s="234"/>
      <c r="J67" s="234"/>
    </row>
    <row r="68" spans="1:10" x14ac:dyDescent="0.25">
      <c r="A68" s="240" t="str">
        <f ca="1">IF(INDIRECT("B16")=FALSE,";","")&amp;"+AllowedWeapons=(SlotType=eInvSlot_SecondaryWeapon, WeaponType=""holotargeter"")"</f>
        <v>;+AllowedWeapons=(SlotType=eInvSlot_SecondaryWeapon, WeaponType="holotargeter")</v>
      </c>
      <c r="B68" s="234" t="s">
        <v>340</v>
      </c>
      <c r="C68" s="234"/>
      <c r="D68" s="234"/>
      <c r="E68" s="248" t="str">
        <f ca="1">IF(INDIRECT("V23")&lt;&gt;"","RandomNickNames[19]="""&amp;INDIRECT("V23")&amp;"""","")</f>
        <v>RandomNickNames[19]="Worm"</v>
      </c>
      <c r="F68" s="234" t="s">
        <v>340</v>
      </c>
      <c r="G68" s="234"/>
      <c r="H68" s="234"/>
      <c r="I68" s="234"/>
      <c r="J68" s="234"/>
    </row>
    <row r="69" spans="1:10" x14ac:dyDescent="0.25">
      <c r="A69" s="240" t="str">
        <f ca="1">IF(INDIRECT("B17")=FALSE,";","")&amp;"+AllowedWeapons=(SlotType=eInvSlot_SecondaryWeapon, WeaponType=""psiamp"")"</f>
        <v>;+AllowedWeapons=(SlotType=eInvSlot_SecondaryWeapon, WeaponType="psiamp")</v>
      </c>
      <c r="B69" s="234" t="s">
        <v>340</v>
      </c>
      <c r="C69" s="234"/>
      <c r="D69" s="234"/>
      <c r="E69" s="248" t="str">
        <f ca="1">IF(INDIRECT("V24")&lt;&gt;"","RandomNickNames[20]="""&amp;INDIRECT("V24")&amp;"""","")</f>
        <v>RandomNickNames[20]="Mega"</v>
      </c>
      <c r="F69" s="234" t="s">
        <v>340</v>
      </c>
      <c r="G69" s="234"/>
      <c r="H69" s="234"/>
      <c r="I69" s="234"/>
      <c r="J69" s="234"/>
    </row>
    <row r="70" spans="1:10" x14ac:dyDescent="0.25">
      <c r="A70" s="240" t="str">
        <f ca="1">IF(INDIRECT("B9")=FALSE,";","")&amp;"+AllowedWeapons=(SlotType=eInvSlot_HeavyWeapon, WeaponType=""heavyammo"")"</f>
        <v>;+AllowedWeapons=(SlotType=eInvSlot_HeavyWeapon, WeaponType="heavyammo")</v>
      </c>
      <c r="B70" s="234" t="s">
        <v>340</v>
      </c>
      <c r="C70" s="234"/>
      <c r="D70" s="234"/>
      <c r="E70" s="248" t="str">
        <f ca="1">IF(INDIRECT("V25")&lt;&gt;"","RandomNickNames[21]="""&amp;INDIRECT("V25")&amp;"""","")</f>
        <v>RandomNickNames[21]="Newton"</v>
      </c>
      <c r="F70" s="234" t="s">
        <v>340</v>
      </c>
      <c r="G70" s="234"/>
      <c r="H70" s="234"/>
      <c r="I70" s="234"/>
      <c r="J70" s="234"/>
    </row>
    <row r="71" spans="1:10" x14ac:dyDescent="0.25">
      <c r="A71" s="240" t="str">
        <f ca="1">IF(INDIRECT("B9")=TRUE,";","")&amp;"+AllowedWeapons=(SlotType=eInvSlot_HeavyWeapon, WeaponType=""heavy"")"</f>
        <v>+AllowedWeapons=(SlotType=eInvSlot_HeavyWeapon, WeaponType="heavy")</v>
      </c>
      <c r="B71" s="234" t="s">
        <v>340</v>
      </c>
      <c r="C71" s="234"/>
      <c r="D71" s="234"/>
      <c r="E71" s="248" t="str">
        <f ca="1">IF(INDIRECT("V26")&lt;&gt;"","RandomNickNames[22]="""&amp;INDIRECT("V26")&amp;"""","")</f>
        <v>RandomNickNames[22]="Botnet"</v>
      </c>
      <c r="F71" s="234" t="s">
        <v>340</v>
      </c>
      <c r="G71" s="234"/>
      <c r="H71" s="234"/>
      <c r="I71" s="234"/>
      <c r="J71" s="234"/>
    </row>
    <row r="72" spans="1:10" x14ac:dyDescent="0.25">
      <c r="A72" s="240" t="str">
        <f ca="1">"+AllowedArmors="&amp;INDIRECT("E13")</f>
        <v>+AllowedArmors=soldier</v>
      </c>
      <c r="B72" s="234" t="s">
        <v>340</v>
      </c>
      <c r="C72" s="234"/>
      <c r="D72" s="234"/>
      <c r="E72" s="248" t="str">
        <f ca="1">IF(INDIRECT("V27")&lt;&gt;"","RandomNickNames[23]="""&amp;INDIRECT("V27")&amp;"""","")</f>
        <v>RandomNickNames[23]="Rascal"</v>
      </c>
      <c r="F72" s="234" t="s">
        <v>340</v>
      </c>
      <c r="G72" s="234"/>
      <c r="H72" s="234"/>
      <c r="I72" s="234"/>
      <c r="J72" s="234"/>
    </row>
    <row r="73" spans="1:10" x14ac:dyDescent="0.25">
      <c r="A73" s="240" t="str">
        <f>"; squaddie"</f>
        <v>; squaddie</v>
      </c>
      <c r="B73" s="234" t="s">
        <v>340</v>
      </c>
      <c r="C73" s="234"/>
      <c r="D73" s="234"/>
      <c r="E73" s="248" t="str">
        <f ca="1">IF(INDIRECT("V28")&lt;&gt;"","RandomNickNames[24]="""&amp;INDIRECT("V28")&amp;"""","")</f>
        <v>RandomNickNames[24]="Rattler"</v>
      </c>
      <c r="F73" s="234" t="s">
        <v>340</v>
      </c>
      <c r="G73" s="234"/>
      <c r="H73" s="234"/>
      <c r="I73" s="234"/>
      <c r="J73" s="234"/>
    </row>
    <row r="74" spans="1:10" x14ac:dyDescent="0.25">
      <c r="A74" s="240" t="str">
        <f ca="1">"+SoldierRanks=(  aAbilityTree=( (AbilityName="""&amp;VLOOKUP(INDIRECT("F4"),Abilities,2,FALSE)&amp;""""&amp;IF(VLOOKUP(INDIRECT("F4"),Abilities,3,FALSE)="","",", ApplyToWeaponSlot=eInvSlot_"&amp;VLOOKUP(INDIRECT("F4"),Abilities,3,FALSE))&amp;"), \\"</f>
        <v>+SoldierRanks=(  aAbilityTree=( (AbilityName="IntrusionProtocol", ApplyToWeaponSlot=eInvSlot_SecondaryWeapon), \\</v>
      </c>
      <c r="B74" s="234" t="s">
        <v>340</v>
      </c>
      <c r="C74" s="234"/>
      <c r="D74" s="234"/>
      <c r="E74" s="248" t="str">
        <f ca="1">IF(INDIRECT("V29")&lt;&gt;"","RandomNickNames[25]="""&amp;INDIRECT("V29")&amp;"""","")</f>
        <v>RandomNickNames[25]="Revelation"</v>
      </c>
      <c r="F74" s="234" t="s">
        <v>340</v>
      </c>
      <c r="G74" s="234"/>
      <c r="H74" s="234"/>
      <c r="I74" s="234"/>
      <c r="J74" s="234"/>
    </row>
    <row r="75" spans="1:10" x14ac:dyDescent="0.25">
      <c r="A75" s="240" t="str">
        <f ca="1">IF(INDIRECT("I4")="","\\","(AbilityName="""&amp;VLOOKUP(INDIRECT("I4"),Abilities,2,FALSE)&amp;""""&amp;IF(VLOOKUP(INDIRECT("I4"),Abilities,3,FALSE)="","",", ApplyToWeaponSlot=eInvSlot_"&amp;VLOOKUP(INDIRECT("I4"),Abilities,3,FALSE))&amp;"), \\")</f>
        <v>(AbilityName="ShadowOps_ReverseEngineering"), \\</v>
      </c>
      <c r="B75" s="234" t="s">
        <v>340</v>
      </c>
      <c r="C75" s="234"/>
      <c r="D75" s="234"/>
      <c r="E75" s="248" t="str">
        <f ca="1">IF(INDIRECT("V30")&lt;&gt;"","RandomNickNames[26]="""&amp;INDIRECT("V30")&amp;"""","")</f>
        <v>RandomNickNames[26]="Skipper"</v>
      </c>
      <c r="F75" s="234" t="s">
        <v>340</v>
      </c>
      <c r="G75" s="234"/>
      <c r="H75" s="234"/>
      <c r="I75" s="234"/>
      <c r="J75" s="234"/>
    </row>
    <row r="76" spans="1:10" x14ac:dyDescent="0.25">
      <c r="A76" s="240" t="str">
        <f ca="1">IF(INDIRECT("L4")="","\\","(AbilityName="""&amp;VLOOKUP(INDIRECT("L4"),Abilities,2,FALSE)&amp;""""&amp;IF(VLOOKUP(INDIRECT("L4"),Abilities,3,FALSE)="","",", ApplyToWeaponSlot=eInvSlot_"&amp;VLOOKUP(INDIRECT("L4"),Abilities,3,FALSE))&amp;"), \\")</f>
        <v>(AbilityName="HaywireProtocol", ApplyToWeaponSlot=eInvSlot_SecondaryWeapon), \\</v>
      </c>
      <c r="B76" s="234" t="s">
        <v>340</v>
      </c>
      <c r="C76" s="234"/>
      <c r="D76" s="234"/>
      <c r="E76" s="248" t="str">
        <f ca="1">IF(INDIRECT("V31")&lt;&gt;"","RandomNickNames[27]="""&amp;INDIRECT("V31")&amp;"""","")</f>
        <v>RandomNickNames[27]="Thunder"</v>
      </c>
      <c r="F76" s="234" t="s">
        <v>340</v>
      </c>
      <c r="G76" s="234"/>
      <c r="H76" s="234"/>
      <c r="I76" s="234"/>
      <c r="J76" s="234"/>
    </row>
    <row r="77" spans="1:10" x14ac:dyDescent="0.25">
      <c r="A77" s="240" t="str">
        <f ca="1">IF(INDIRECT("F7")="","\\","(AbilityName="""&amp;VLOOKUP(INDIRECT("F7"),Abilities,2,FALSE)&amp;""""&amp;IF(VLOOKUP(INDIRECT("F7"),Abilities,3,FALSE)="","",", ApplyToWeaponSlot=eInvSlot_"&amp;VLOOKUP(INDIRECT("F7"),Abilities,3,FALSE))&amp;"), \\")</f>
        <v>\\</v>
      </c>
      <c r="B77" s="234" t="s">
        <v>340</v>
      </c>
      <c r="C77" s="234"/>
      <c r="D77" s="234"/>
      <c r="E77" s="248" t="str">
        <f ca="1">IF(INDIRECT("V32")&lt;&gt;"","RandomNickNames[28]="""&amp;INDIRECT("V32")&amp;"""","")</f>
        <v>RandomNickNames[28]="Undertaker"</v>
      </c>
      <c r="F77" s="234" t="s">
        <v>340</v>
      </c>
      <c r="G77" s="234"/>
      <c r="H77" s="234"/>
      <c r="I77" s="234"/>
      <c r="J77" s="234"/>
    </row>
    <row r="78" spans="1:10" x14ac:dyDescent="0.25">
      <c r="A78" s="240" t="str">
        <f ca="1">IF(INDIRECT("I7")="","\\","(AbilityName="""&amp;VLOOKUP(INDIRECT("I7"),Abilities,2,FALSE)&amp;""""&amp;IF(VLOOKUP(INDIRECT("I7"),Abilities,3,FALSE)="","",", ApplyToWeaponSlot=eInvSlot_"&amp;VLOOKUP(INDIRECT("I7"),Abilities,3,FALSE))&amp;"), \\")</f>
        <v>\\</v>
      </c>
      <c r="B78" s="234" t="s">
        <v>340</v>
      </c>
      <c r="C78" s="234"/>
      <c r="D78" s="234"/>
      <c r="E78" s="248" t="str">
        <f ca="1">IF(INDIRECT("V33")&lt;&gt;"","RandomNickNames[29]="""&amp;INDIRECT("V33")&amp;"""","")</f>
        <v>RandomNickNames[29]="War"</v>
      </c>
      <c r="F78" s="234" t="s">
        <v>340</v>
      </c>
      <c r="G78" s="234"/>
      <c r="H78" s="234"/>
      <c r="I78" s="234"/>
      <c r="J78" s="234"/>
    </row>
    <row r="79" spans="1:10" x14ac:dyDescent="0.25">
      <c r="A79" s="240" t="str">
        <f ca="1">IF(INDIRECT("L7")="","\\","(AbilityName="""&amp;VLOOKUP(INDIRECT("L7"),Abilities,2,FALSE)&amp;""""&amp;IF(VLOOKUP(INDIRECT("L7"),Abilities,3,FALSE)="","",", ApplyToWeaponSlot=eInvSlot_"&amp;VLOOKUP(INDIRECT("L7"),Abilities,3,FALSE))&amp;"), \\")</f>
        <v>\\</v>
      </c>
      <c r="B79" s="234" t="s">
        <v>340</v>
      </c>
      <c r="C79" s="234"/>
      <c r="D79" s="234"/>
      <c r="E79" s="248" t="str">
        <f ca="1">IF(INDIRECT("V34")&lt;&gt;"","RandomNickNames[30]="""&amp;INDIRECT("V34")&amp;"""","")</f>
        <v>RandomNickNames[30]="Whoopsie"</v>
      </c>
      <c r="F79" s="234" t="s">
        <v>340</v>
      </c>
      <c r="G79" s="234"/>
      <c r="H79" s="234"/>
      <c r="I79" s="234"/>
      <c r="J79" s="234"/>
    </row>
    <row r="80" spans="1:10" x14ac:dyDescent="0.25">
      <c r="A80" s="240" t="s">
        <v>337</v>
      </c>
      <c r="B80" s="234" t="s">
        <v>340</v>
      </c>
      <c r="C80" s="234"/>
      <c r="D80" s="234"/>
      <c r="E80" s="248" t="str">
        <f ca="1">IF(INDIRECT("V35")&lt;&gt;"","RandomNickNames[31]="""&amp;INDIRECT("V35")&amp;"""","")</f>
        <v>RandomNickNames[31]="Virus"</v>
      </c>
      <c r="F80" s="234" t="s">
        <v>340</v>
      </c>
      <c r="G80" s="234"/>
      <c r="H80" s="234"/>
      <c r="I80" s="234"/>
      <c r="J80" s="234"/>
    </row>
    <row r="81" spans="1:10" x14ac:dyDescent="0.25">
      <c r="A81" s="240"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(StatType=eStat_Hacking,StatAmount=40), (StatType=eStat_CombatSims,StatAmount=1), (StatType=eStat_Will,StatAmount=4)),\\</v>
      </c>
      <c r="B81" s="234" t="s">
        <v>340</v>
      </c>
      <c r="C81" s="234"/>
      <c r="D81" s="234"/>
      <c r="E81" s="248" t="str">
        <f>"; Male Nicknames"</f>
        <v>; Male Nicknames</v>
      </c>
      <c r="F81" s="234" t="s">
        <v>340</v>
      </c>
      <c r="G81" s="234"/>
      <c r="H81" s="234"/>
      <c r="I81" s="234"/>
      <c r="J81" s="234"/>
    </row>
    <row r="82" spans="1:10" x14ac:dyDescent="0.25">
      <c r="A82" s="240" t="s">
        <v>338</v>
      </c>
      <c r="B82" s="234" t="s">
        <v>340</v>
      </c>
      <c r="C82" s="234"/>
      <c r="D82" s="234"/>
      <c r="E82" s="248" t="str">
        <f ca="1">IF(INDIRECT("X4")&lt;&gt;"","RandomNickNames_Male[0]="""&amp;INDIRECT("X4")&amp;"""","")</f>
        <v>RandomNickNames_Male[0]="Candyman"</v>
      </c>
      <c r="F82" s="234" t="s">
        <v>340</v>
      </c>
      <c r="G82" s="234"/>
      <c r="H82" s="234"/>
      <c r="I82" s="234"/>
      <c r="J82" s="234"/>
    </row>
    <row r="83" spans="1:10" x14ac:dyDescent="0.25">
      <c r="A83" s="240" t="str">
        <f>"; lance corporal"</f>
        <v>; lance corporal</v>
      </c>
      <c r="B83" s="234" t="s">
        <v>340</v>
      </c>
      <c r="C83" s="234"/>
      <c r="D83" s="234"/>
      <c r="E83" s="248" t="str">
        <f ca="1">IF(INDIRECT("X5")&lt;&gt;"","RandomNickNames_Male[1]="""&amp;INDIRECT("X5")&amp;"""","")</f>
        <v>RandomNickNames_Male[1]="Magic Man"</v>
      </c>
      <c r="F83" s="234" t="s">
        <v>340</v>
      </c>
      <c r="G83" s="234"/>
      <c r="H83" s="234"/>
      <c r="I83" s="234"/>
      <c r="J83" s="234"/>
    </row>
    <row r="84" spans="1:10" x14ac:dyDescent="0.25">
      <c r="A84" s="240" t="str">
        <f ca="1">"+SoldierRanks=(  aAbilityTree=( (AbilityName="""&amp;VLOOKUP(INDIRECT("F13"),Abilities,2,FALSE)&amp;""""&amp;IF(VLOOKUP(INDIRECT("F13"),Abilities,3,FALSE)="","",", ApplyToWeaponSlot=eInvSlot_"&amp;VLOOKUP(INDIRECT("F13"),Abilities,3,FALSE))&amp;"), \\"</f>
        <v>+SoldierRanks=(  aAbilityTree=( (AbilityName="ShadowOps_StealthProtocol", ApplyToWeaponSlot=eInvSlot_SecondaryWeapon), \\</v>
      </c>
      <c r="B84" s="234" t="s">
        <v>340</v>
      </c>
      <c r="C84" s="234"/>
      <c r="D84" s="234"/>
      <c r="E84" s="248" t="str">
        <f ca="1">IF(INDIRECT("X6")&lt;&gt;"","RandomNickNames_Male[2]="""&amp;INDIRECT("X6")&amp;"""","")</f>
        <v>RandomNickNames_Male[2]="Priest"</v>
      </c>
      <c r="F84" s="234" t="s">
        <v>340</v>
      </c>
      <c r="G84" s="234"/>
      <c r="H84" s="234"/>
      <c r="I84" s="234"/>
      <c r="J84" s="234"/>
    </row>
    <row r="85" spans="1:10" x14ac:dyDescent="0.25">
      <c r="A85" s="240" t="str">
        <f ca="1">IF(INDIRECT("I13")="","\\","(AbilityName="""&amp;VLOOKUP(INDIRECT("I13"),Abilities,2,FALSE)&amp;""""&amp;IF(VLOOKUP(INDIRECT("I13"),Abilities,3,FALSE)="","",", ApplyToWeaponSlot=eInvSlot_"&amp;VLOOKUP(INDIRECT("I13"),Abilities,3,FALSE))&amp;"), \\")</f>
        <v>(AbilityName=" "), \\</v>
      </c>
      <c r="B85" s="234" t="s">
        <v>340</v>
      </c>
      <c r="C85" s="234"/>
      <c r="D85" s="234"/>
      <c r="E85" s="248" t="str">
        <f ca="1">IF(INDIRECT("X7")&lt;&gt;"","RandomNickNames_Male[3]="""&amp;INDIRECT("X7")&amp;"""","")</f>
        <v>RandomNickNames_Male[3]="Rainman"</v>
      </c>
      <c r="F85" s="234" t="s">
        <v>340</v>
      </c>
      <c r="G85" s="234"/>
      <c r="H85" s="234"/>
      <c r="I85" s="234"/>
      <c r="J85" s="234"/>
    </row>
    <row r="86" spans="1:10" x14ac:dyDescent="0.25">
      <c r="A86" s="240" t="str">
        <f ca="1">IF(INDIRECT("L13")="","\\","(AbilityName="""&amp;VLOOKUP(INDIRECT("L13"),Abilities,2,FALSE)&amp;""""&amp;IF(VLOOKUP(INDIRECT("L13"),Abilities,3,FALSE)="","",", ApplyToWeaponSlot=eInvSlot_"&amp;VLOOKUP(INDIRECT("L13"),Abilities,3,FALSE))&amp;"), \\")</f>
        <v>(AbilityName="Interference", ApplyToWeaponSlot=eInvSlot_SecondaryWeapon), \\</v>
      </c>
      <c r="B86" s="234" t="s">
        <v>340</v>
      </c>
      <c r="C86" s="234"/>
      <c r="D86" s="234"/>
      <c r="E86" s="248" t="str">
        <f ca="1">IF(INDIRECT("X8")&lt;&gt;"","RandomNickNames_Male[4]="""&amp;INDIRECT("X8")&amp;"""","")</f>
        <v>RandomNickNames_Male[4]="Rooster"</v>
      </c>
      <c r="F86" s="234" t="s">
        <v>340</v>
      </c>
      <c r="G86" s="234"/>
      <c r="H86" s="234"/>
      <c r="I86" s="234"/>
      <c r="J86" s="234"/>
    </row>
    <row r="87" spans="1:10" x14ac:dyDescent="0.25">
      <c r="A87" s="240" t="s">
        <v>337</v>
      </c>
      <c r="B87" s="234" t="s">
        <v>340</v>
      </c>
      <c r="C87" s="234"/>
      <c r="D87" s="234"/>
      <c r="E87" s="248" t="str">
        <f>"; Female Nicknames"</f>
        <v>; Female Nicknames</v>
      </c>
      <c r="F87" s="234" t="s">
        <v>340</v>
      </c>
      <c r="G87" s="234"/>
      <c r="H87" s="234"/>
      <c r="I87" s="234"/>
      <c r="J87" s="234"/>
    </row>
    <row r="88" spans="1:10" x14ac:dyDescent="0.25">
      <c r="A88" s="240"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(StatType=eStat_Hacking,StatAmount=5), (StatType=eStat_Will,StatAmount=4)),\\</v>
      </c>
      <c r="B88" s="234" t="s">
        <v>340</v>
      </c>
      <c r="C88" s="234"/>
      <c r="D88" s="234"/>
      <c r="E88" s="248" t="str">
        <f ca="1">IF(INDIRECT("X10")&lt;&gt;"","RandomNickNames_Female[0]="""&amp;INDIRECT("X10")&amp;"""","")</f>
        <v>RandomNickNames_Female[0]="Priestess"</v>
      </c>
      <c r="F88" s="234" t="s">
        <v>340</v>
      </c>
      <c r="G88" s="234"/>
      <c r="H88" s="234"/>
      <c r="I88" s="234"/>
      <c r="J88" s="234"/>
    </row>
    <row r="89" spans="1:10" x14ac:dyDescent="0.25">
      <c r="A89" s="240" t="s">
        <v>338</v>
      </c>
      <c r="B89" s="234" t="s">
        <v>340</v>
      </c>
      <c r="C89" s="234"/>
      <c r="D89" s="234"/>
      <c r="E89" s="248" t="str">
        <f ca="1">IF(INDIRECT("X11")&lt;&gt;"","RandomNickNames_Female[1]="""&amp;INDIRECT("X11")&amp;"""","")</f>
        <v>RandomNickNames_Female[1]="Wolfmother"</v>
      </c>
      <c r="F89" s="234" t="s">
        <v>340</v>
      </c>
      <c r="G89" s="234"/>
      <c r="H89" s="234"/>
      <c r="I89" s="234"/>
      <c r="J89" s="234"/>
    </row>
    <row r="90" spans="1:10" x14ac:dyDescent="0.25">
      <c r="A90" s="240" t="str">
        <f>"; corporal"</f>
        <v>; corporal</v>
      </c>
      <c r="B90" s="234" t="s">
        <v>340</v>
      </c>
      <c r="C90" s="234"/>
      <c r="D90" s="234"/>
      <c r="E90" s="248" t="str">
        <f ca="1">IF(INDIRECT("X12")&lt;&gt;"","RandomNickNames_Female[2]="""&amp;INDIRECT("X12")&amp;"""","")</f>
        <v>RandomNickNames_Female[2]="Black Widow"</v>
      </c>
      <c r="F90" s="234" t="s">
        <v>340</v>
      </c>
      <c r="G90" s="234"/>
      <c r="H90" s="234"/>
      <c r="I90" s="234"/>
      <c r="J90" s="234"/>
    </row>
    <row r="91" spans="1:10" x14ac:dyDescent="0.25">
      <c r="A91" s="240" t="str">
        <f ca="1">"+SoldierRanks=(  aAbilityTree=( (AbilityName="""&amp;VLOOKUP(INDIRECT("F17"),Abilities,2,FALSE)&amp;""""&amp;IF(VLOOKUP(INDIRECT("F17"),Abilities,3,FALSE)="","",", ApplyToWeaponSlot=eInvSlot_"&amp;VLOOKUP(INDIRECT("F17"),Abilities,3,FALSE))&amp;"), \\"</f>
        <v>+SoldierRanks=(  aAbilityTree=( (AbilityName=" "), \\</v>
      </c>
      <c r="B91" s="234" t="s">
        <v>340</v>
      </c>
      <c r="C91" s="234"/>
      <c r="D91" s="234"/>
      <c r="E91" s="248" t="str">
        <f ca="1">IF(INDIRECT("X13")&lt;&gt;"","RandomNickNames_Female[3]="""&amp;INDIRECT("X13")&amp;"""","")</f>
        <v>RandomNickNames_Female[3]="Duchess"</v>
      </c>
      <c r="F91" s="234" t="s">
        <v>340</v>
      </c>
      <c r="G91" s="234"/>
      <c r="H91" s="234"/>
      <c r="I91" s="234"/>
      <c r="J91" s="234"/>
    </row>
    <row r="92" spans="1:10" ht="15.75" thickBot="1" x14ac:dyDescent="0.3">
      <c r="A92" s="240" t="str">
        <f ca="1">IF(INDIRECT("I17")="","\\","(AbilityName="""&amp;VLOOKUP(INDIRECT("I17"),Abilities,2,FALSE)&amp;""""&amp;IF(VLOOKUP(INDIRECT("I17"),Abilities,3,FALSE)="","",", ApplyToWeaponSlot=eInvSlot_"&amp;VLOOKUP(INDIRECT("I17"),Abilities,3,FALSE))&amp;"), \\")</f>
        <v>(AbilityName="AidProtocol", ApplyToWeaponSlot=eInvSlot_SecondaryWeapon), \\</v>
      </c>
      <c r="B92" s="234" t="s">
        <v>340</v>
      </c>
      <c r="C92" s="234"/>
      <c r="D92" s="234"/>
      <c r="E92" s="249" t="str">
        <f ca="1">IF(INDIRECT("X14")&lt;&gt;"","RandomNickNames_Female[4]="""&amp;INDIRECT("X14")&amp;"""","")</f>
        <v>RandomNickNames_Female[4]="Queen"</v>
      </c>
      <c r="F92" s="234" t="s">
        <v>340</v>
      </c>
      <c r="G92" s="234"/>
      <c r="H92" s="234"/>
      <c r="I92" s="234"/>
      <c r="J92" s="234"/>
    </row>
    <row r="93" spans="1:10" x14ac:dyDescent="0.25">
      <c r="A93" s="240" t="str">
        <f ca="1">IF(INDIRECT("L17")="","\\","(AbilityName="""&amp;VLOOKUP(INDIRECT("L17"),Abilities,2,FALSE)&amp;""""&amp;IF(VLOOKUP(INDIRECT("L17"),Abilities,3,FALSE)="","",", ApplyToWeaponSlot=eInvSlot_"&amp;VLOOKUP(INDIRECT("L17"),Abilities,3,FALSE))&amp;"), \\")</f>
        <v>(AbilityName=" "), \\</v>
      </c>
      <c r="B93" s="234" t="s">
        <v>340</v>
      </c>
      <c r="C93" s="234"/>
      <c r="D93" s="234"/>
      <c r="E93" s="234"/>
      <c r="F93" s="234"/>
      <c r="G93" s="234"/>
      <c r="H93" s="234"/>
      <c r="I93" s="234"/>
      <c r="J93" s="234"/>
    </row>
    <row r="94" spans="1:10" x14ac:dyDescent="0.25">
      <c r="A94" s="240" t="s">
        <v>337</v>
      </c>
      <c r="B94" s="234" t="s">
        <v>340</v>
      </c>
      <c r="C94" s="234"/>
      <c r="D94" s="234"/>
      <c r="E94" s="234"/>
      <c r="F94" s="234"/>
      <c r="G94" s="234"/>
      <c r="H94" s="234"/>
      <c r="I94" s="234"/>
      <c r="J94" s="234"/>
    </row>
    <row r="95" spans="1:10" x14ac:dyDescent="0.25">
      <c r="A95" s="240"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(StatType=eStat_Hacking,StatAmount=5)),\\</v>
      </c>
      <c r="B95" s="234" t="s">
        <v>340</v>
      </c>
      <c r="C95" s="234"/>
      <c r="D95" s="234"/>
      <c r="E95" s="234"/>
      <c r="F95" s="234"/>
      <c r="G95" s="234"/>
      <c r="H95" s="234"/>
      <c r="I95" s="234"/>
      <c r="J95" s="234"/>
    </row>
    <row r="96" spans="1:10" x14ac:dyDescent="0.25">
      <c r="A96" s="240" t="s">
        <v>338</v>
      </c>
      <c r="B96" s="234" t="s">
        <v>340</v>
      </c>
      <c r="C96" s="234"/>
      <c r="D96" s="234"/>
      <c r="E96" s="234"/>
      <c r="F96" s="234"/>
      <c r="G96" s="234"/>
      <c r="H96" s="234"/>
      <c r="I96" s="234"/>
      <c r="J96" s="234"/>
    </row>
    <row r="97" spans="1:10" x14ac:dyDescent="0.25">
      <c r="A97" s="240" t="str">
        <f>"; sergeant"</f>
        <v>; sergeant</v>
      </c>
      <c r="B97" s="234" t="s">
        <v>340</v>
      </c>
      <c r="C97" s="234"/>
      <c r="D97" s="234"/>
      <c r="E97" s="234"/>
      <c r="F97" s="234"/>
      <c r="G97" s="234"/>
      <c r="H97" s="234"/>
      <c r="I97" s="234"/>
      <c r="J97" s="234"/>
    </row>
    <row r="98" spans="1:10" x14ac:dyDescent="0.25">
      <c r="A98" s="240" t="str">
        <f ca="1">"+SoldierRanks=(  aAbilityTree=( (AbilityName="""&amp;VLOOKUP(INDIRECT("F21"),Abilities,2,FALSE)&amp;""""&amp;IF(VLOOKUP(INDIRECT("F21"),Abilities,3,FALSE)="","",", ApplyToWeaponSlot=eInvSlot_"&amp;VLOOKUP(INDIRECT("F21"),Abilities,3,FALSE))&amp;"), \\"</f>
        <v>+SoldierRanks=(  aAbilityTree=( (AbilityName="ThreatAssessment", ApplyToWeaponSlot=eInvSlot_Unknown), \\</v>
      </c>
      <c r="B98" s="234" t="s">
        <v>340</v>
      </c>
      <c r="C98" s="234"/>
      <c r="D98" s="234"/>
      <c r="E98" s="234"/>
      <c r="F98" s="234"/>
      <c r="G98" s="234"/>
      <c r="H98" s="234"/>
      <c r="I98" s="234"/>
      <c r="J98" s="234"/>
    </row>
    <row r="99" spans="1:10" x14ac:dyDescent="0.25">
      <c r="A99" s="240" t="str">
        <f ca="1">IF(INDIRECT("I21")="","\\","(AbilityName="""&amp;VLOOKUP(INDIRECT("I21"),Abilities,2,FALSE)&amp;""""&amp;IF(VLOOKUP(INDIRECT("I21"),Abilities,3,FALSE)="","",", ApplyToWeaponSlot=eInvSlot_"&amp;VLOOKUP(INDIRECT("I21"),Abilities,3,FALSE))&amp;"), \\")</f>
        <v>(AbilityName=" "), \\</v>
      </c>
      <c r="B99" s="234" t="s">
        <v>340</v>
      </c>
      <c r="C99" s="234"/>
      <c r="D99" s="234"/>
      <c r="E99" s="234"/>
      <c r="F99" s="234"/>
      <c r="G99" s="234"/>
      <c r="H99" s="234"/>
      <c r="I99" s="234"/>
      <c r="J99" s="234"/>
    </row>
    <row r="100" spans="1:10" x14ac:dyDescent="0.25">
      <c r="A100" s="240" t="str">
        <f ca="1">IF(INDIRECT("L21")="","\\","(AbilityName="""&amp;VLOOKUP(INDIRECT("L21"),Abilities,2,FALSE)&amp;""""&amp;IF(VLOOKUP(INDIRECT("L21"),Abilities,3,FALSE)="","",", ApplyToWeaponSlot=eInvSlot_"&amp;VLOOKUP(INDIRECT("L21"),Abilities,3,FALSE))&amp;"), \\")</f>
        <v>(AbilityName="CombatProtocol", ApplyToWeaponSlot=eInvSlot_SecondaryWeapon), \\</v>
      </c>
      <c r="B100" s="234" t="s">
        <v>340</v>
      </c>
      <c r="C100" s="234"/>
      <c r="D100" s="234"/>
      <c r="E100" s="234"/>
      <c r="F100" s="234"/>
      <c r="G100" s="234"/>
      <c r="H100" s="234"/>
      <c r="I100" s="234"/>
      <c r="J100" s="234"/>
    </row>
    <row r="101" spans="1:10" x14ac:dyDescent="0.25">
      <c r="A101" s="240" t="s">
        <v>337</v>
      </c>
      <c r="B101" s="234" t="s">
        <v>340</v>
      </c>
      <c r="C101" s="234"/>
      <c r="D101" s="234"/>
      <c r="E101" s="234"/>
      <c r="F101" s="234"/>
      <c r="G101" s="234"/>
      <c r="H101" s="234"/>
      <c r="I101" s="234"/>
      <c r="J101" s="234"/>
    </row>
    <row r="102" spans="1:10" x14ac:dyDescent="0.25">
      <c r="A102" s="240"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(StatType=eStat_Hacking,StatAmount=5)),\\</v>
      </c>
      <c r="B102" s="234" t="s">
        <v>340</v>
      </c>
      <c r="C102" s="234"/>
      <c r="D102" s="234"/>
      <c r="E102" s="234"/>
      <c r="F102" s="234"/>
      <c r="G102" s="234"/>
      <c r="H102" s="234"/>
      <c r="I102" s="234"/>
      <c r="J102" s="234"/>
    </row>
    <row r="103" spans="1:10" x14ac:dyDescent="0.25">
      <c r="A103" s="240" t="s">
        <v>338</v>
      </c>
      <c r="B103" s="234" t="s">
        <v>340</v>
      </c>
      <c r="C103" s="234"/>
      <c r="D103" s="234"/>
      <c r="E103" s="234"/>
      <c r="F103" s="234"/>
      <c r="G103" s="234"/>
      <c r="H103" s="234"/>
      <c r="I103" s="234"/>
      <c r="J103" s="234"/>
    </row>
    <row r="104" spans="1:10" x14ac:dyDescent="0.25">
      <c r="A104" s="240" t="str">
        <f>"; staff sergeant"</f>
        <v>; staff sergeant</v>
      </c>
      <c r="B104" s="234" t="s">
        <v>340</v>
      </c>
      <c r="C104" s="234"/>
      <c r="D104" s="234"/>
      <c r="E104" s="234"/>
      <c r="F104" s="234"/>
      <c r="G104" s="234"/>
      <c r="H104" s="234"/>
      <c r="I104" s="234"/>
      <c r="J104" s="234"/>
    </row>
    <row r="105" spans="1:10" x14ac:dyDescent="0.25">
      <c r="A105" s="240" t="str">
        <f ca="1">"+SoldierRanks=(  aAbilityTree=( (AbilityName="""&amp;VLOOKUP(INDIRECT("F25"),Abilities,2,FALSE)&amp;""""&amp;IF(VLOOKUP(INDIRECT("F25"),Abilities,3,FALSE)="","",", ApplyToWeaponSlot=eInvSlot_"&amp;VLOOKUP(INDIRECT("F25"),Abilities,3,FALSE))&amp;"), \\"</f>
        <v>+SoldierRanks=(  aAbilityTree=( (AbilityName="ShadowOps_SensorOverlays"), \\</v>
      </c>
      <c r="B105" s="234" t="s">
        <v>340</v>
      </c>
      <c r="C105" s="234"/>
      <c r="D105" s="234"/>
      <c r="E105" s="234"/>
      <c r="F105" s="234"/>
      <c r="G105" s="234"/>
      <c r="H105" s="234"/>
      <c r="I105" s="234"/>
      <c r="J105" s="234"/>
    </row>
    <row r="106" spans="1:10" x14ac:dyDescent="0.25">
      <c r="A106" s="240" t="str">
        <f ca="1">IF(INDIRECT("I25")="","\\","(AbilityName="""&amp;VLOOKUP(INDIRECT("I25"),Abilities,2,FALSE)&amp;""""&amp;IF(VLOOKUP(INDIRECT("I25"),Abilities,3,FALSE)="","",", ApplyToWeaponSlot=eInvSlot_"&amp;VLOOKUP(INDIRECT("I25"),Abilities,3,FALSE))&amp;"), \\")</f>
        <v>(AbilityName=" "), \\</v>
      </c>
      <c r="B106" s="234" t="s">
        <v>340</v>
      </c>
      <c r="C106" s="234"/>
      <c r="D106" s="234"/>
      <c r="E106" s="234"/>
      <c r="F106" s="234"/>
      <c r="G106" s="234"/>
      <c r="H106" s="234"/>
      <c r="I106" s="234"/>
      <c r="J106" s="234"/>
    </row>
    <row r="107" spans="1:10" x14ac:dyDescent="0.25">
      <c r="A107" s="240" t="str">
        <f ca="1">IF(INDIRECT("L25")="","\\","(AbilityName="""&amp;VLOOKUP(INDIRECT("L25"),Abilities,2,FALSE)&amp;""""&amp;IF(VLOOKUP(INDIRECT("L25"),Abilities,3,FALSE)="","",", ApplyToWeaponSlot=eInvSlot_"&amp;VLOOKUP(INDIRECT("L25"),Abilities,3,FALSE))&amp;"), \\")</f>
        <v>(AbilityName="Failsafe", ApplyToWeaponSlot=eInvSlot_SecondaryWeapon), \\</v>
      </c>
      <c r="B107" s="234" t="s">
        <v>340</v>
      </c>
      <c r="C107" s="234"/>
      <c r="D107" s="234"/>
      <c r="E107" s="234"/>
      <c r="F107" s="234"/>
      <c r="G107" s="234"/>
      <c r="H107" s="234"/>
      <c r="I107" s="234"/>
      <c r="J107" s="234"/>
    </row>
    <row r="108" spans="1:10" x14ac:dyDescent="0.25">
      <c r="A108" s="240" t="s">
        <v>337</v>
      </c>
      <c r="B108" s="234" t="s">
        <v>340</v>
      </c>
      <c r="C108" s="234"/>
      <c r="D108" s="234"/>
      <c r="E108" s="234"/>
      <c r="F108" s="234"/>
      <c r="G108" s="234"/>
      <c r="H108" s="234"/>
      <c r="I108" s="234"/>
      <c r="J108" s="234"/>
    </row>
    <row r="109" spans="1:10" x14ac:dyDescent="0.25">
      <c r="A109" s="240"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(StatType=eStat_Hacking,StatAmount=5)),\\</v>
      </c>
      <c r="B109" s="234" t="s">
        <v>340</v>
      </c>
      <c r="C109" s="234"/>
      <c r="D109" s="234"/>
      <c r="E109" s="234"/>
      <c r="F109" s="234"/>
      <c r="G109" s="234"/>
      <c r="H109" s="234"/>
      <c r="I109" s="234"/>
      <c r="J109" s="234"/>
    </row>
    <row r="110" spans="1:10" x14ac:dyDescent="0.25">
      <c r="A110" s="240" t="s">
        <v>338</v>
      </c>
      <c r="B110" s="234" t="s">
        <v>340</v>
      </c>
      <c r="C110" s="234"/>
      <c r="D110" s="234"/>
      <c r="E110" s="234"/>
      <c r="F110" s="234"/>
      <c r="G110" s="234"/>
      <c r="H110" s="234"/>
      <c r="I110" s="234"/>
      <c r="J110" s="234"/>
    </row>
    <row r="111" spans="1:10" x14ac:dyDescent="0.25">
      <c r="A111" s="240" t="str">
        <f>"; tech sergeant"</f>
        <v>; tech sergeant</v>
      </c>
      <c r="B111" s="234" t="s">
        <v>340</v>
      </c>
      <c r="C111" s="234"/>
      <c r="D111" s="234"/>
      <c r="E111" s="234"/>
      <c r="F111" s="234"/>
      <c r="G111" s="234"/>
      <c r="H111" s="234"/>
      <c r="I111" s="234"/>
      <c r="J111" s="234"/>
    </row>
    <row r="112" spans="1:10" x14ac:dyDescent="0.25">
      <c r="A112" s="240" t="str">
        <f ca="1">"+SoldierRanks=(  aAbilityTree=( (AbilityName="""&amp;VLOOKUP(INDIRECT("F29"),Abilities,2,FALSE)&amp;""""&amp;IF(VLOOKUP(INDIRECT("F29"),Abilities,3,FALSE)="","",", ApplyToWeaponSlot=eInvSlot_"&amp;VLOOKUP(INDIRECT("F29"),Abilities,3,FALSE))&amp;"), \\"</f>
        <v>+SoldierRanks=(  aAbilityTree=( (AbilityName="ScanningProtocol", ApplyToWeaponSlot=eInvSlot_SecondaryWeapon), \\</v>
      </c>
      <c r="B112" s="234" t="s">
        <v>340</v>
      </c>
      <c r="C112" s="234"/>
      <c r="D112" s="234"/>
      <c r="E112" s="234"/>
      <c r="F112" s="234"/>
      <c r="G112" s="234"/>
      <c r="H112" s="234"/>
      <c r="I112" s="234"/>
      <c r="J112" s="234"/>
    </row>
    <row r="113" spans="1:10" x14ac:dyDescent="0.25">
      <c r="A113" s="240" t="str">
        <f ca="1">IF(INDIRECT("I29")="","\\","(AbilityName="""&amp;VLOOKUP(INDIRECT("I29"),Abilities,2,FALSE)&amp;""""&amp;IF(VLOOKUP(INDIRECT("I29"),Abilities,3,FALSE)="","",", ApplyToWeaponSlot=eInvSlot_"&amp;VLOOKUP(INDIRECT("I29"),Abilities,3,FALSE))&amp;"), \\")</f>
        <v>(AbilityName=" "), \\</v>
      </c>
      <c r="B113" s="234" t="s">
        <v>340</v>
      </c>
      <c r="C113" s="234"/>
      <c r="D113" s="234"/>
      <c r="E113" s="234"/>
      <c r="F113" s="234"/>
      <c r="G113" s="234"/>
      <c r="H113" s="234"/>
      <c r="I113" s="234"/>
      <c r="J113" s="234"/>
    </row>
    <row r="114" spans="1:10" x14ac:dyDescent="0.25">
      <c r="A114" s="240" t="str">
        <f ca="1">IF(INDIRECT("L29")="","\\","(AbilityName="""&amp;VLOOKUP(INDIRECT("L29"),Abilities,2,FALSE)&amp;""""&amp;IF(VLOOKUP(INDIRECT("L29"),Abilities,3,FALSE)="","",", ApplyToWeaponSlot=eInvSlot_"&amp;VLOOKUP(INDIRECT("L29"),Abilities,3,FALSE))&amp;"), \\")</f>
        <v>(AbilityName="Trojan", ApplyToWeaponSlot=eInvSlot_SecondaryWeapon), \\</v>
      </c>
      <c r="B114" s="234" t="s">
        <v>340</v>
      </c>
      <c r="C114" s="234"/>
      <c r="D114" s="234"/>
      <c r="E114" s="234"/>
      <c r="F114" s="234"/>
      <c r="G114" s="234"/>
      <c r="H114" s="234"/>
      <c r="I114" s="234"/>
      <c r="J114" s="234"/>
    </row>
    <row r="115" spans="1:10" x14ac:dyDescent="0.25">
      <c r="A115" s="240" t="s">
        <v>337</v>
      </c>
      <c r="B115" s="234" t="s">
        <v>340</v>
      </c>
      <c r="C115" s="234"/>
      <c r="D115" s="234"/>
      <c r="E115" s="234"/>
      <c r="F115" s="234"/>
      <c r="G115" s="234"/>
      <c r="H115" s="234"/>
      <c r="I115" s="234"/>
      <c r="J115" s="234"/>
    </row>
    <row r="116" spans="1:10" x14ac:dyDescent="0.25">
      <c r="A116" s="240"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(StatType=eStat_Hacking,StatAmount=5)),\\</v>
      </c>
      <c r="B116" s="234" t="s">
        <v>340</v>
      </c>
      <c r="C116" s="234"/>
      <c r="D116" s="234"/>
      <c r="E116" s="234"/>
      <c r="F116" s="234"/>
      <c r="G116" s="234"/>
      <c r="H116" s="234"/>
      <c r="I116" s="234"/>
      <c r="J116" s="234"/>
    </row>
    <row r="117" spans="1:10" x14ac:dyDescent="0.25">
      <c r="A117" s="240" t="s">
        <v>338</v>
      </c>
      <c r="B117" s="234" t="s">
        <v>340</v>
      </c>
      <c r="C117" s="234"/>
      <c r="D117" s="234"/>
      <c r="E117" s="234"/>
      <c r="F117" s="234"/>
      <c r="G117" s="234"/>
      <c r="H117" s="234"/>
      <c r="I117" s="234"/>
      <c r="J117" s="234"/>
    </row>
    <row r="118" spans="1:10" x14ac:dyDescent="0.25">
      <c r="A118" s="240" t="str">
        <f>";  gunnery sergeant"</f>
        <v>;  gunnery sergeant</v>
      </c>
      <c r="B118" s="234" t="s">
        <v>340</v>
      </c>
      <c r="C118" s="234"/>
      <c r="D118" s="234"/>
      <c r="E118" s="234"/>
      <c r="F118" s="234"/>
      <c r="G118" s="234"/>
      <c r="H118" s="234"/>
      <c r="I118" s="234"/>
      <c r="J118" s="234"/>
    </row>
    <row r="119" spans="1:10" x14ac:dyDescent="0.25">
      <c r="A119" s="240" t="str">
        <f ca="1">"+SoldierRanks=(  aAbilityTree=( (AbilityName="""&amp;VLOOKUP(INDIRECT("F33"),Abilities,2,FALSE)&amp;""""&amp;IF(VLOOKUP(INDIRECT("F33"),Abilities,3,FALSE)="","",", ApplyToWeaponSlot=eInvSlot_"&amp;VLOOKUP(INDIRECT("F33"),Abilities,3,FALSE))&amp;"), \\"</f>
        <v>+SoldierRanks=(  aAbilityTree=( (AbilityName=" "), \\</v>
      </c>
      <c r="B119" s="234" t="s">
        <v>340</v>
      </c>
      <c r="C119" s="234"/>
      <c r="D119" s="234"/>
      <c r="E119" s="234"/>
      <c r="F119" s="234"/>
      <c r="G119" s="234"/>
      <c r="H119" s="234"/>
      <c r="I119" s="234"/>
      <c r="J119" s="234"/>
    </row>
    <row r="120" spans="1:10" x14ac:dyDescent="0.25">
      <c r="A120" s="240" t="str">
        <f ca="1">IF(INDIRECT("I33")="","\\","(AbilityName="""&amp;VLOOKUP(INDIRECT("I33"),Abilities,2,FALSE)&amp;""""&amp;IF(VLOOKUP(INDIRECT("I33"),Abilities,3,FALSE)="","",", ApplyToWeaponSlot=eInvSlot_"&amp;VLOOKUP(INDIRECT("I33"),Abilities,3,FALSE))&amp;"), \\")</f>
        <v>(AbilityName="LWD_SelfAware", ApplyToWeaponSlot=eInvSlot_SecondaryWeapon), \\</v>
      </c>
      <c r="B120" s="234" t="s">
        <v>340</v>
      </c>
      <c r="C120" s="234"/>
      <c r="D120" s="234"/>
      <c r="E120" s="234"/>
      <c r="F120" s="234"/>
      <c r="G120" s="234"/>
      <c r="H120" s="234"/>
      <c r="I120" s="234"/>
      <c r="J120" s="234"/>
    </row>
    <row r="121" spans="1:10" x14ac:dyDescent="0.25">
      <c r="A121" s="240" t="str">
        <f ca="1">IF(INDIRECT("L33")="","\\","(AbilityName="""&amp;VLOOKUP(INDIRECT("L33"),Abilities,2,FALSE)&amp;""""&amp;IF(VLOOKUP(INDIRECT("L33"),Abilities,3,FALSE)="","",", ApplyToWeaponSlot=eInvSlot_"&amp;VLOOKUP(INDIRECT("L33"),Abilities,3,FALSE))&amp;"), \\")</f>
        <v>(AbilityName=" "), \\</v>
      </c>
      <c r="B121" s="234" t="s">
        <v>340</v>
      </c>
      <c r="C121" s="234"/>
      <c r="D121" s="234"/>
      <c r="E121" s="234"/>
      <c r="F121" s="234"/>
      <c r="G121" s="234"/>
      <c r="H121" s="234"/>
      <c r="I121" s="234"/>
      <c r="J121" s="234"/>
    </row>
    <row r="122" spans="1:10" x14ac:dyDescent="0.25">
      <c r="A122" s="240" t="s">
        <v>337</v>
      </c>
      <c r="B122" s="234" t="s">
        <v>340</v>
      </c>
      <c r="C122" s="234"/>
      <c r="D122" s="234"/>
      <c r="E122" s="234"/>
      <c r="F122" s="234"/>
      <c r="G122" s="234"/>
      <c r="H122" s="234"/>
      <c r="I122" s="234"/>
      <c r="J122" s="234"/>
    </row>
    <row r="123" spans="1:10" x14ac:dyDescent="0.25">
      <c r="A123" s="240"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(StatType=eStat_Hacking,StatAmount=5)),\\</v>
      </c>
      <c r="B123" s="234" t="s">
        <v>340</v>
      </c>
      <c r="C123" s="234"/>
      <c r="D123" s="234"/>
      <c r="E123" s="234"/>
      <c r="F123" s="234"/>
      <c r="G123" s="234"/>
      <c r="H123" s="234"/>
      <c r="I123" s="234"/>
      <c r="J123" s="234"/>
    </row>
    <row r="124" spans="1:10" x14ac:dyDescent="0.25">
      <c r="A124" s="240" t="s">
        <v>338</v>
      </c>
      <c r="B124" s="234" t="s">
        <v>340</v>
      </c>
      <c r="C124" s="234"/>
      <c r="D124" s="234"/>
      <c r="E124" s="234"/>
      <c r="F124" s="234"/>
      <c r="G124" s="234"/>
      <c r="H124" s="234"/>
      <c r="I124" s="234"/>
      <c r="J124" s="234"/>
    </row>
    <row r="125" spans="1:10" x14ac:dyDescent="0.25">
      <c r="A125" s="240" t="str">
        <f>"; master sergeant"</f>
        <v>; master sergeant</v>
      </c>
      <c r="B125" s="234" t="s">
        <v>340</v>
      </c>
      <c r="C125" s="234"/>
      <c r="D125" s="234"/>
      <c r="E125" s="234"/>
      <c r="F125" s="234"/>
      <c r="G125" s="234"/>
      <c r="H125" s="234"/>
      <c r="I125" s="234"/>
      <c r="J125" s="234"/>
    </row>
    <row r="126" spans="1:10" x14ac:dyDescent="0.25">
      <c r="A126" s="240" t="str">
        <f ca="1">"+SoldierRanks=(  aAbilityTree=( (AbilityName="""&amp;VLOOKUP(INDIRECT("F37"),Abilities,2,FALSE)&amp;""""&amp;IF(VLOOKUP(INDIRECT("F37"),Abilities,3,FALSE)="","",", ApplyToWeaponSlot=eInvSlot_"&amp;VLOOKUP(INDIRECT("F37"),Abilities,3,FALSE))&amp;"), \\"</f>
        <v>+SoldierRanks=(  aAbilityTree=( (AbilityName="Tradecraft"), \\</v>
      </c>
      <c r="B126" s="234" t="s">
        <v>340</v>
      </c>
      <c r="C126" s="234"/>
      <c r="D126" s="234"/>
      <c r="E126" s="234"/>
      <c r="F126" s="234"/>
      <c r="G126" s="234"/>
      <c r="H126" s="234"/>
      <c r="I126" s="234"/>
      <c r="J126" s="234"/>
    </row>
    <row r="127" spans="1:10" x14ac:dyDescent="0.25">
      <c r="A127" s="240" t="str">
        <f ca="1">IF(INDIRECT("I37")="","\\","(AbilityName="""&amp;VLOOKUP(INDIRECT("I37"),Abilities,2,FALSE)&amp;""""&amp;IF(VLOOKUP(INDIRECT("I37"),Abilities,3,FALSE)="","",", ApplyToWeaponSlot=eInvSlot_"&amp;VLOOKUP(INDIRECT("I37"),Abilities,3,FALSE))&amp;"), \\")</f>
        <v>(AbilityName=" "), \\</v>
      </c>
      <c r="B127" s="234" t="s">
        <v>340</v>
      </c>
      <c r="C127" s="234"/>
      <c r="D127" s="234"/>
      <c r="E127" s="234"/>
      <c r="F127" s="234"/>
      <c r="G127" s="234"/>
      <c r="H127" s="234"/>
      <c r="I127" s="234"/>
      <c r="J127" s="234"/>
    </row>
    <row r="128" spans="1:10" x14ac:dyDescent="0.25">
      <c r="A128" s="240" t="str">
        <f ca="1">IF(INDIRECT("L37")="","\\","(AbilityName="""&amp;VLOOKUP(INDIRECT("L37"),Abilities,2,FALSE)&amp;""""&amp;IF(VLOOKUP(INDIRECT("L37"),Abilities,3,FALSE)="","",", ApplyToWeaponSlot=eInvSlot_"&amp;VLOOKUP(INDIRECT("L37"),Abilities,3,FALSE))&amp;"), \\")</f>
        <v>(AbilityName="FullOverride", ApplyToWeaponSlot=eInvSlot_SecondaryWeapon), \\</v>
      </c>
      <c r="B128" s="234" t="s">
        <v>340</v>
      </c>
      <c r="C128" s="234"/>
      <c r="D128" s="234"/>
      <c r="E128" s="234"/>
      <c r="F128" s="234"/>
      <c r="G128" s="234"/>
      <c r="H128" s="234"/>
      <c r="I128" s="234"/>
      <c r="J128" s="234"/>
    </row>
    <row r="129" spans="1:10" x14ac:dyDescent="0.25">
      <c r="A129" s="240" t="s">
        <v>337</v>
      </c>
      <c r="B129" s="234" t="s">
        <v>340</v>
      </c>
      <c r="C129" s="234"/>
      <c r="D129" s="234"/>
      <c r="E129" s="234"/>
      <c r="F129" s="234"/>
      <c r="G129" s="234"/>
      <c r="H129" s="234"/>
      <c r="I129" s="234"/>
      <c r="J129" s="234"/>
    </row>
    <row r="130" spans="1:10" x14ac:dyDescent="0.25">
      <c r="A130" s="240"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(StatType=eStat_Hacking,StatAmount=5)),\\</v>
      </c>
      <c r="B130" s="234" t="s">
        <v>340</v>
      </c>
      <c r="C130" s="234"/>
      <c r="D130" s="234"/>
      <c r="E130" s="234"/>
      <c r="F130" s="234"/>
      <c r="G130" s="234"/>
      <c r="H130" s="234"/>
      <c r="I130" s="234"/>
      <c r="J130" s="234"/>
    </row>
    <row r="131" spans="1:10" ht="15.75" thickBot="1" x14ac:dyDescent="0.3">
      <c r="A131" s="241" t="s">
        <v>338</v>
      </c>
      <c r="B131" s="234" t="s">
        <v>340</v>
      </c>
      <c r="C131" s="234"/>
      <c r="D131" s="234"/>
      <c r="E131" s="234"/>
      <c r="F131" s="234"/>
      <c r="G131" s="234"/>
      <c r="H131" s="234"/>
      <c r="I131" s="234"/>
      <c r="J131" s="234"/>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I37:J37"/>
    <mergeCell ref="F17:G17"/>
    <mergeCell ref="I17:J17"/>
    <mergeCell ref="L17:M1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L37:M37"/>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A40:B41"/>
    <mergeCell ref="C40:E41"/>
    <mergeCell ref="A42:B42"/>
    <mergeCell ref="C42:D42"/>
    <mergeCell ref="E42:F42"/>
    <mergeCell ref="F38:H39"/>
    <mergeCell ref="I38:K39"/>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2641"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2642"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2643"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2644"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2645"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2646"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2647"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2648"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2649"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2650"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2651"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2652"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2653"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90" t="s">
        <v>308</v>
      </c>
      <c r="B1" s="91"/>
      <c r="C1" s="94" t="s">
        <v>479</v>
      </c>
      <c r="D1" s="95"/>
      <c r="E1" s="95"/>
      <c r="F1" s="98" t="s">
        <v>324</v>
      </c>
      <c r="G1" s="99"/>
      <c r="H1" s="99"/>
      <c r="I1" s="99"/>
      <c r="J1" s="99"/>
      <c r="K1" s="99"/>
      <c r="L1" s="99"/>
      <c r="M1" s="99"/>
      <c r="N1" s="99"/>
      <c r="O1" s="100" t="s">
        <v>325</v>
      </c>
      <c r="P1" s="101"/>
      <c r="Q1" s="101"/>
      <c r="R1" s="101"/>
      <c r="S1" s="101"/>
      <c r="T1" s="101"/>
      <c r="U1" s="102"/>
      <c r="V1" s="196" t="s">
        <v>776</v>
      </c>
      <c r="W1" s="197"/>
      <c r="X1" s="197"/>
      <c r="Y1" s="197"/>
    </row>
    <row r="2" spans="1:25" ht="15" customHeight="1" thickBot="1" x14ac:dyDescent="0.3">
      <c r="A2" s="92"/>
      <c r="B2" s="93"/>
      <c r="C2" s="96"/>
      <c r="D2" s="97"/>
      <c r="E2" s="97"/>
      <c r="F2" s="98"/>
      <c r="G2" s="99"/>
      <c r="H2" s="99"/>
      <c r="I2" s="99"/>
      <c r="J2" s="99"/>
      <c r="K2" s="99"/>
      <c r="L2" s="99"/>
      <c r="M2" s="99"/>
      <c r="N2" s="99"/>
      <c r="O2" s="103"/>
      <c r="P2" s="104"/>
      <c r="Q2" s="104"/>
      <c r="R2" s="104"/>
      <c r="S2" s="104"/>
      <c r="T2" s="104"/>
      <c r="U2" s="105"/>
      <c r="V2" s="198"/>
      <c r="W2" s="199"/>
      <c r="X2" s="199"/>
      <c r="Y2" s="199"/>
    </row>
    <row r="3" spans="1:25" ht="18" thickBot="1" x14ac:dyDescent="0.35">
      <c r="A3" s="106" t="s">
        <v>309</v>
      </c>
      <c r="B3" s="107"/>
      <c r="C3" s="108" t="str">
        <f>Output!$L$1&amp;SUBSTITUTE(C1," ","")</f>
        <v>LWD_Hunter</v>
      </c>
      <c r="D3" s="109"/>
      <c r="E3" s="109"/>
      <c r="F3" s="110" t="s">
        <v>12</v>
      </c>
      <c r="G3" s="111"/>
      <c r="H3" s="111"/>
      <c r="I3" s="111"/>
      <c r="J3" s="111"/>
      <c r="K3" s="111"/>
      <c r="L3" s="111"/>
      <c r="M3" s="111"/>
      <c r="N3" s="112"/>
      <c r="O3" s="15"/>
      <c r="P3" s="16" t="s">
        <v>79</v>
      </c>
      <c r="Q3" s="17" t="s">
        <v>326</v>
      </c>
      <c r="R3" s="17" t="s">
        <v>328</v>
      </c>
      <c r="S3" s="17" t="s">
        <v>327</v>
      </c>
      <c r="T3" s="17" t="s">
        <v>330</v>
      </c>
      <c r="U3" s="18" t="s">
        <v>329</v>
      </c>
      <c r="V3" s="200" t="s">
        <v>810</v>
      </c>
      <c r="W3" s="201"/>
      <c r="X3" s="200" t="s">
        <v>811</v>
      </c>
      <c r="Y3" s="201"/>
    </row>
    <row r="4" spans="1:25" ht="18" thickTop="1" x14ac:dyDescent="0.3">
      <c r="A4" s="113" t="s">
        <v>310</v>
      </c>
      <c r="B4" s="114"/>
      <c r="C4" s="115" t="s">
        <v>314</v>
      </c>
      <c r="D4" s="116"/>
      <c r="E4" s="116"/>
      <c r="F4" s="119" t="s">
        <v>8</v>
      </c>
      <c r="G4" s="120"/>
      <c r="H4" s="4" t="str">
        <f>IFERROR(VLOOKUP(F4,Abilities,4,FALSE),"")</f>
        <v>LW2</v>
      </c>
      <c r="I4" s="121" t="s">
        <v>208</v>
      </c>
      <c r="J4" s="120"/>
      <c r="K4" s="35" t="str">
        <f>IFERROR(VLOOKUP(I4,Abilities,4,FALSE),"")</f>
        <v>LW2</v>
      </c>
      <c r="L4" s="122" t="s">
        <v>53</v>
      </c>
      <c r="M4" s="120"/>
      <c r="N4" s="10" t="str">
        <f>IFERROR(VLOOKUP(L4,Abilities,4,FALSE),"")</f>
        <v>XCOM2</v>
      </c>
      <c r="O4" s="19" t="s">
        <v>12</v>
      </c>
      <c r="P4" s="4">
        <v>5</v>
      </c>
      <c r="Q4" s="20">
        <v>0</v>
      </c>
      <c r="R4" s="20"/>
      <c r="S4" s="4">
        <v>0</v>
      </c>
      <c r="T4" s="4">
        <v>1</v>
      </c>
      <c r="U4" s="10"/>
      <c r="V4" s="192" t="s">
        <v>777</v>
      </c>
      <c r="W4" s="193"/>
      <c r="X4" s="192" t="s">
        <v>801</v>
      </c>
      <c r="Y4" s="193"/>
    </row>
    <row r="5" spans="1:25" ht="15" customHeight="1" x14ac:dyDescent="0.25">
      <c r="A5" s="6"/>
      <c r="B5" s="5" t="b">
        <v>0</v>
      </c>
      <c r="C5" s="117"/>
      <c r="D5" s="118"/>
      <c r="E5" s="118"/>
      <c r="F5" s="123">
        <f>IFERROR(VLOOKUP(F4,Abilities,7,FALSE),"")</f>
        <v>0</v>
      </c>
      <c r="G5" s="124"/>
      <c r="H5" s="125"/>
      <c r="I5" s="129">
        <f>IFERROR(VLOOKUP(I4,Abilities,7,FALSE),"")</f>
        <v>0</v>
      </c>
      <c r="J5" s="130"/>
      <c r="K5" s="131"/>
      <c r="L5" s="130" t="str">
        <f>IFERROR(VLOOKUP(L4,Abilities,7,FALSE),"")</f>
        <v>You can target enemies within squadmates' sight, provided there is line of sight to the target.</v>
      </c>
      <c r="M5" s="130"/>
      <c r="N5" s="135"/>
      <c r="O5" s="26" t="s">
        <v>456</v>
      </c>
      <c r="P5" s="27">
        <v>4</v>
      </c>
      <c r="Q5" s="28">
        <v>1</v>
      </c>
      <c r="R5" s="28"/>
      <c r="S5" s="27">
        <v>0</v>
      </c>
      <c r="T5" s="27"/>
      <c r="U5" s="29"/>
      <c r="V5" s="190" t="s">
        <v>821</v>
      </c>
      <c r="W5" s="191"/>
      <c r="X5" s="190" t="s">
        <v>802</v>
      </c>
      <c r="Y5" s="191"/>
    </row>
    <row r="6" spans="1:25" ht="15" customHeight="1" x14ac:dyDescent="0.25">
      <c r="A6" s="6"/>
      <c r="B6" s="5" t="b">
        <v>0</v>
      </c>
      <c r="C6" s="137" t="s">
        <v>315</v>
      </c>
      <c r="D6" s="138"/>
      <c r="E6" s="11">
        <v>0</v>
      </c>
      <c r="F6" s="126"/>
      <c r="G6" s="127"/>
      <c r="H6" s="128"/>
      <c r="I6" s="132"/>
      <c r="J6" s="133"/>
      <c r="K6" s="134"/>
      <c r="L6" s="133"/>
      <c r="M6" s="133"/>
      <c r="N6" s="136"/>
      <c r="O6" s="19" t="s">
        <v>15</v>
      </c>
      <c r="P6" s="4">
        <v>4</v>
      </c>
      <c r="Q6" s="20">
        <v>0</v>
      </c>
      <c r="R6" s="20"/>
      <c r="S6" s="4">
        <v>0</v>
      </c>
      <c r="T6" s="4"/>
      <c r="U6" s="10"/>
      <c r="V6" s="190" t="s">
        <v>778</v>
      </c>
      <c r="W6" s="191"/>
      <c r="X6" s="192" t="s">
        <v>803</v>
      </c>
      <c r="Y6" s="193"/>
    </row>
    <row r="7" spans="1:25" ht="15" customHeight="1" x14ac:dyDescent="0.25">
      <c r="A7" s="6"/>
      <c r="B7" s="5" t="b">
        <v>0</v>
      </c>
      <c r="C7" s="137" t="s">
        <v>316</v>
      </c>
      <c r="D7" s="138"/>
      <c r="E7" s="11">
        <v>4</v>
      </c>
      <c r="F7" s="139"/>
      <c r="G7" s="140"/>
      <c r="H7" s="4" t="str">
        <f>IFERROR(VLOOKUP(F7,Abilities,4,FALSE),"")</f>
        <v/>
      </c>
      <c r="I7" s="141"/>
      <c r="J7" s="140"/>
      <c r="K7" s="4" t="str">
        <f>IFERROR(VLOOKUP(I7,Abilities,4,FALSE),"")</f>
        <v/>
      </c>
      <c r="L7" s="142"/>
      <c r="M7" s="140"/>
      <c r="N7" s="10" t="str">
        <f>IFERROR(VLOOKUP(L7,Abilities,4,FALSE),"")</f>
        <v/>
      </c>
      <c r="O7" s="26" t="s">
        <v>21</v>
      </c>
      <c r="P7" s="27">
        <v>3</v>
      </c>
      <c r="Q7" s="28">
        <v>0</v>
      </c>
      <c r="R7" s="28"/>
      <c r="S7" s="27">
        <v>0</v>
      </c>
      <c r="T7" s="27"/>
      <c r="U7" s="29"/>
      <c r="V7" s="192" t="s">
        <v>779</v>
      </c>
      <c r="W7" s="193"/>
      <c r="X7" s="190" t="s">
        <v>804</v>
      </c>
      <c r="Y7" s="191"/>
    </row>
    <row r="8" spans="1:25" ht="15" customHeight="1" thickBot="1" x14ac:dyDescent="0.3">
      <c r="A8" s="6"/>
      <c r="B8" s="5" t="b">
        <v>1</v>
      </c>
      <c r="C8" s="137" t="s">
        <v>317</v>
      </c>
      <c r="D8" s="143"/>
      <c r="E8" s="12" t="s">
        <v>758</v>
      </c>
      <c r="F8" s="144" t="str">
        <f>IFERROR(VLOOKUP(F7,Abilities,7,FALSE),"")</f>
        <v/>
      </c>
      <c r="G8" s="130"/>
      <c r="H8" s="131"/>
      <c r="I8" s="129" t="str">
        <f>IFERROR(VLOOKUP(I7,Abilities,7,FALSE),"")</f>
        <v/>
      </c>
      <c r="J8" s="130"/>
      <c r="K8" s="131"/>
      <c r="L8" s="130" t="str">
        <f>IFERROR(VLOOKUP(L7,Abilities,7,FALSE),"")</f>
        <v/>
      </c>
      <c r="M8" s="130"/>
      <c r="N8" s="135"/>
      <c r="O8" s="21" t="s">
        <v>457</v>
      </c>
      <c r="P8" s="4">
        <v>3</v>
      </c>
      <c r="Q8" s="20">
        <v>1</v>
      </c>
      <c r="R8" s="20"/>
      <c r="S8" s="4">
        <v>0</v>
      </c>
      <c r="T8" s="4"/>
      <c r="U8" s="10"/>
      <c r="V8" s="190" t="s">
        <v>780</v>
      </c>
      <c r="W8" s="191"/>
      <c r="X8" s="192" t="s">
        <v>805</v>
      </c>
      <c r="Y8" s="193"/>
    </row>
    <row r="9" spans="1:25" ht="15.75" thickBot="1" x14ac:dyDescent="0.3">
      <c r="A9" s="6"/>
      <c r="B9" s="5" t="b">
        <v>0</v>
      </c>
      <c r="C9" s="137" t="s">
        <v>319</v>
      </c>
      <c r="D9" s="143"/>
      <c r="E9" s="12">
        <v>1</v>
      </c>
      <c r="F9" s="145"/>
      <c r="G9" s="133"/>
      <c r="H9" s="134"/>
      <c r="I9" s="146"/>
      <c r="J9" s="147"/>
      <c r="K9" s="148"/>
      <c r="L9" s="133"/>
      <c r="M9" s="133"/>
      <c r="N9" s="136"/>
      <c r="O9" s="26" t="s">
        <v>458</v>
      </c>
      <c r="P9" s="27">
        <v>3</v>
      </c>
      <c r="Q9" s="28">
        <v>0</v>
      </c>
      <c r="R9" s="28"/>
      <c r="S9" s="27">
        <v>0</v>
      </c>
      <c r="T9" s="27"/>
      <c r="U9" s="29"/>
      <c r="V9" s="192" t="s">
        <v>781</v>
      </c>
      <c r="W9" s="193"/>
      <c r="X9" s="200" t="s">
        <v>812</v>
      </c>
      <c r="Y9" s="201"/>
    </row>
    <row r="10" spans="1:25" ht="18.75" x14ac:dyDescent="0.3">
      <c r="A10" s="6"/>
      <c r="B10" s="5" t="b">
        <v>0</v>
      </c>
      <c r="C10" s="137" t="s">
        <v>318</v>
      </c>
      <c r="D10" s="143"/>
      <c r="E10" s="12">
        <v>4</v>
      </c>
      <c r="F10" s="157" t="s">
        <v>311</v>
      </c>
      <c r="G10" s="158"/>
      <c r="H10" s="159"/>
      <c r="I10" s="160" t="s">
        <v>349</v>
      </c>
      <c r="J10" s="158"/>
      <c r="K10" s="159"/>
      <c r="L10" s="158" t="s">
        <v>312</v>
      </c>
      <c r="M10" s="158"/>
      <c r="N10" s="161"/>
      <c r="O10" s="36" t="s">
        <v>459</v>
      </c>
      <c r="P10" s="37">
        <v>3</v>
      </c>
      <c r="Q10" s="37">
        <v>0</v>
      </c>
      <c r="R10" s="37"/>
      <c r="S10" s="37">
        <v>0</v>
      </c>
      <c r="T10" s="37"/>
      <c r="U10" s="38"/>
      <c r="V10" s="190" t="s">
        <v>782</v>
      </c>
      <c r="W10" s="191"/>
      <c r="X10" s="192" t="s">
        <v>806</v>
      </c>
      <c r="Y10" s="193"/>
    </row>
    <row r="11" spans="1:25" ht="15.75" customHeight="1" thickBot="1" x14ac:dyDescent="0.3">
      <c r="A11" s="6"/>
      <c r="B11" s="5" t="b">
        <v>0</v>
      </c>
      <c r="C11" s="137" t="s">
        <v>320</v>
      </c>
      <c r="D11" s="143"/>
      <c r="E11" s="12">
        <v>5</v>
      </c>
      <c r="F11" s="162" t="s">
        <v>750</v>
      </c>
      <c r="G11" s="163"/>
      <c r="H11" s="164"/>
      <c r="I11" s="165"/>
      <c r="J11" s="163"/>
      <c r="K11" s="164"/>
      <c r="L11" s="163" t="s">
        <v>354</v>
      </c>
      <c r="M11" s="163"/>
      <c r="N11" s="166"/>
      <c r="O11" s="39" t="s">
        <v>460</v>
      </c>
      <c r="P11" s="40">
        <v>3</v>
      </c>
      <c r="Q11" s="41">
        <v>1</v>
      </c>
      <c r="R11" s="41"/>
      <c r="S11" s="40">
        <v>0</v>
      </c>
      <c r="T11" s="40"/>
      <c r="U11" s="42"/>
      <c r="V11" s="192" t="s">
        <v>824</v>
      </c>
      <c r="W11" s="193"/>
      <c r="X11" s="190" t="s">
        <v>807</v>
      </c>
      <c r="Y11" s="191"/>
    </row>
    <row r="12" spans="1:25" ht="18" customHeight="1" thickBot="1" x14ac:dyDescent="0.35">
      <c r="A12" s="6"/>
      <c r="B12" s="5" t="b">
        <v>0</v>
      </c>
      <c r="C12" s="137" t="s">
        <v>321</v>
      </c>
      <c r="D12" s="143"/>
      <c r="E12" s="12">
        <v>1</v>
      </c>
      <c r="F12" s="169" t="s">
        <v>443</v>
      </c>
      <c r="G12" s="170"/>
      <c r="H12" s="170"/>
      <c r="I12" s="170"/>
      <c r="J12" s="170"/>
      <c r="K12" s="170"/>
      <c r="L12" s="170"/>
      <c r="M12" s="170"/>
      <c r="N12" s="171"/>
      <c r="O12" s="149" t="s">
        <v>813</v>
      </c>
      <c r="P12" s="150"/>
      <c r="Q12" s="150"/>
      <c r="R12" s="150"/>
      <c r="S12" s="150"/>
      <c r="T12" s="150"/>
      <c r="U12" s="151"/>
      <c r="V12" s="192" t="s">
        <v>783</v>
      </c>
      <c r="W12" s="193"/>
      <c r="X12" s="192" t="s">
        <v>808</v>
      </c>
      <c r="Y12" s="193"/>
    </row>
    <row r="13" spans="1:25" ht="16.5" thickTop="1" thickBot="1" x14ac:dyDescent="0.3">
      <c r="A13" s="6"/>
      <c r="B13" s="5" t="b">
        <v>1</v>
      </c>
      <c r="C13" s="155" t="s">
        <v>322</v>
      </c>
      <c r="D13" s="156"/>
      <c r="E13" s="13" t="s">
        <v>323</v>
      </c>
      <c r="F13" s="119" t="s">
        <v>252</v>
      </c>
      <c r="G13" s="120"/>
      <c r="H13" s="4" t="str">
        <f>IFERROR(VLOOKUP(F13,Abilities,4,FALSE),"")</f>
        <v>LW2</v>
      </c>
      <c r="I13" s="121" t="s">
        <v>962</v>
      </c>
      <c r="J13" s="120"/>
      <c r="K13" s="35" t="str">
        <f>IFERROR(VLOOKUP(I13,Abilities,4,FALSE),"")</f>
        <v>BLANK</v>
      </c>
      <c r="L13" s="122" t="s">
        <v>604</v>
      </c>
      <c r="M13" s="120"/>
      <c r="N13" s="10" t="str">
        <f>IFERROR(VLOOKUP(L13,Abilities,4,FALSE),"")</f>
        <v>SOLW</v>
      </c>
      <c r="O13" s="152"/>
      <c r="P13" s="153"/>
      <c r="Q13" s="153"/>
      <c r="R13" s="153"/>
      <c r="S13" s="153"/>
      <c r="T13" s="153"/>
      <c r="U13" s="154"/>
      <c r="V13" s="192" t="s">
        <v>818</v>
      </c>
      <c r="W13" s="193"/>
      <c r="X13" s="190" t="s">
        <v>809</v>
      </c>
      <c r="Y13" s="191"/>
    </row>
    <row r="14" spans="1:25" ht="15.75" thickBot="1" x14ac:dyDescent="0.3">
      <c r="A14" s="6"/>
      <c r="B14" s="7" t="b">
        <v>0</v>
      </c>
      <c r="F14" s="144">
        <f>IFERROR(VLOOKUP(F13,Abilities,7,FALSE),"")</f>
        <v>0</v>
      </c>
      <c r="G14" s="130"/>
      <c r="H14" s="131"/>
      <c r="I14" s="129" t="str">
        <f>IFERROR(VLOOKUP(I13,Abilities,7,FALSE),"")</f>
        <v xml:space="preserve"> </v>
      </c>
      <c r="J14" s="130"/>
      <c r="K14" s="131"/>
      <c r="L14" s="130" t="str">
        <f>IFERROR(VLOOKUP(L13,Abilities,7,FALSE),"")</f>
        <v>You can take a standard move action after firing your &lt;Ability:WeaponName/&gt;.</v>
      </c>
      <c r="M14" s="130"/>
      <c r="N14" s="135"/>
      <c r="O14" s="22"/>
      <c r="P14" s="23" t="s">
        <v>331</v>
      </c>
      <c r="Q14" s="24" t="s">
        <v>332</v>
      </c>
      <c r="R14" s="24" t="s">
        <v>333</v>
      </c>
      <c r="S14" s="24" t="s">
        <v>334</v>
      </c>
      <c r="T14" s="24" t="s">
        <v>336</v>
      </c>
      <c r="U14" s="25" t="s">
        <v>335</v>
      </c>
      <c r="V14" s="190" t="s">
        <v>784</v>
      </c>
      <c r="W14" s="191"/>
      <c r="X14" s="194" t="s">
        <v>814</v>
      </c>
      <c r="Y14" s="195"/>
    </row>
    <row r="15" spans="1:25" ht="15.75" thickBot="1" x14ac:dyDescent="0.3">
      <c r="A15" s="6"/>
      <c r="B15" s="7" t="b">
        <v>0</v>
      </c>
      <c r="F15" s="167"/>
      <c r="G15" s="147"/>
      <c r="H15" s="148"/>
      <c r="I15" s="146"/>
      <c r="J15" s="147"/>
      <c r="K15" s="148"/>
      <c r="L15" s="147"/>
      <c r="M15" s="147"/>
      <c r="N15" s="168"/>
      <c r="O15" s="19" t="s">
        <v>12</v>
      </c>
      <c r="P15" s="4"/>
      <c r="Q15" s="20">
        <v>3</v>
      </c>
      <c r="R15" s="20"/>
      <c r="S15" s="4"/>
      <c r="T15" s="4"/>
      <c r="U15" s="10"/>
      <c r="V15" s="190" t="s">
        <v>823</v>
      </c>
      <c r="W15" s="191"/>
    </row>
    <row r="16" spans="1:25" ht="18" thickBot="1" x14ac:dyDescent="0.35">
      <c r="A16" s="6"/>
      <c r="B16" s="7" t="b">
        <v>0</v>
      </c>
      <c r="F16" s="169" t="s">
        <v>15</v>
      </c>
      <c r="G16" s="170"/>
      <c r="H16" s="170"/>
      <c r="I16" s="170"/>
      <c r="J16" s="170"/>
      <c r="K16" s="170"/>
      <c r="L16" s="170"/>
      <c r="M16" s="170"/>
      <c r="N16" s="171"/>
      <c r="O16" s="26" t="s">
        <v>456</v>
      </c>
      <c r="P16" s="27"/>
      <c r="Q16" s="28">
        <v>3</v>
      </c>
      <c r="R16" s="28"/>
      <c r="S16" s="27"/>
      <c r="T16" s="27"/>
      <c r="U16" s="29"/>
      <c r="V16" s="190" t="s">
        <v>786</v>
      </c>
      <c r="W16" s="191"/>
    </row>
    <row r="17" spans="1:23" ht="16.5" thickTop="1" thickBot="1" x14ac:dyDescent="0.3">
      <c r="A17" s="8"/>
      <c r="B17" s="9" t="b">
        <v>0</v>
      </c>
      <c r="F17" s="121" t="s">
        <v>962</v>
      </c>
      <c r="G17" s="120"/>
      <c r="H17" s="4" t="str">
        <f>IFERROR(VLOOKUP(F17,Abilities,4,FALSE),"")</f>
        <v>BLANK</v>
      </c>
      <c r="I17" s="121" t="s">
        <v>603</v>
      </c>
      <c r="J17" s="120"/>
      <c r="K17" s="35" t="str">
        <f>IFERROR(VLOOKUP(I17,Abilities,4,FALSE),"")</f>
        <v>SOLW</v>
      </c>
      <c r="L17" s="121" t="s">
        <v>962</v>
      </c>
      <c r="M17" s="120"/>
      <c r="N17" s="10" t="str">
        <f>IFERROR(VLOOKUP(L17,Abilities,4,FALSE),"")</f>
        <v>BLANK</v>
      </c>
      <c r="O17" s="19" t="s">
        <v>15</v>
      </c>
      <c r="P17" s="4"/>
      <c r="Q17" s="20"/>
      <c r="R17" s="20"/>
      <c r="S17" s="4"/>
      <c r="T17" s="4"/>
      <c r="U17" s="10"/>
      <c r="V17" s="192" t="s">
        <v>787</v>
      </c>
      <c r="W17" s="193"/>
    </row>
    <row r="18" spans="1:23" x14ac:dyDescent="0.25">
      <c r="A18" s="172" t="s">
        <v>344</v>
      </c>
      <c r="B18" s="173"/>
      <c r="F18" s="144" t="str">
        <f>IFERROR(VLOOKUP(F17,Abilities,7,FALSE),"")</f>
        <v xml:space="preserve"> </v>
      </c>
      <c r="G18" s="130"/>
      <c r="H18" s="131"/>
      <c r="I18" s="205" t="str">
        <f>IFERROR(VLOOKUP(I17,Abilities,7,FALSE),"")</f>
        <v>While concealed or flanking your target, you deal &lt;Ability:+Damage/&gt; damage with your &lt;Ability:WeaponName/&gt; and take no penalties from using Squadsight.</v>
      </c>
      <c r="J18" s="124"/>
      <c r="K18" s="125"/>
      <c r="L18" s="130" t="str">
        <f>IFERROR(VLOOKUP(L17,Abilities,7,FALSE),"")</f>
        <v xml:space="preserve"> </v>
      </c>
      <c r="M18" s="130"/>
      <c r="N18" s="135"/>
      <c r="O18" s="26" t="s">
        <v>21</v>
      </c>
      <c r="P18" s="27"/>
      <c r="Q18" s="28"/>
      <c r="R18" s="28"/>
      <c r="S18" s="27"/>
      <c r="T18" s="27"/>
      <c r="U18" s="29"/>
      <c r="V18" s="190" t="s">
        <v>788</v>
      </c>
      <c r="W18" s="191"/>
    </row>
    <row r="19" spans="1:23" ht="15.75" thickBot="1" x14ac:dyDescent="0.3">
      <c r="A19" s="174"/>
      <c r="B19" s="175"/>
      <c r="D19" s="3"/>
      <c r="F19" s="167"/>
      <c r="G19" s="147"/>
      <c r="H19" s="148"/>
      <c r="I19" s="206"/>
      <c r="J19" s="203"/>
      <c r="K19" s="207"/>
      <c r="L19" s="147"/>
      <c r="M19" s="147"/>
      <c r="N19" s="168"/>
      <c r="O19" s="21" t="s">
        <v>457</v>
      </c>
      <c r="P19" s="4"/>
      <c r="Q19" s="20"/>
      <c r="R19" s="20"/>
      <c r="S19" s="4"/>
      <c r="T19" s="4"/>
      <c r="U19" s="10"/>
      <c r="V19" s="192" t="s">
        <v>855</v>
      </c>
      <c r="W19" s="193"/>
    </row>
    <row r="20" spans="1:23" ht="18" thickBot="1" x14ac:dyDescent="0.35">
      <c r="A20" s="176" t="s">
        <v>915</v>
      </c>
      <c r="B20" s="177"/>
      <c r="C20" s="178"/>
      <c r="D20" s="178"/>
      <c r="E20" s="179"/>
      <c r="F20" s="169" t="s">
        <v>21</v>
      </c>
      <c r="G20" s="170"/>
      <c r="H20" s="170"/>
      <c r="I20" s="170"/>
      <c r="J20" s="170"/>
      <c r="K20" s="170"/>
      <c r="L20" s="170"/>
      <c r="M20" s="170"/>
      <c r="N20" s="171"/>
      <c r="O20" s="26" t="s">
        <v>458</v>
      </c>
      <c r="P20" s="27"/>
      <c r="Q20" s="28"/>
      <c r="R20" s="28"/>
      <c r="S20" s="27"/>
      <c r="T20" s="27"/>
      <c r="U20" s="29"/>
      <c r="V20" s="192" t="s">
        <v>790</v>
      </c>
      <c r="W20" s="193"/>
    </row>
    <row r="21" spans="1:23" ht="15.75" thickTop="1" x14ac:dyDescent="0.25">
      <c r="A21" s="176"/>
      <c r="B21" s="177"/>
      <c r="C21" s="177"/>
      <c r="D21" s="177"/>
      <c r="E21" s="180"/>
      <c r="F21" s="119" t="s">
        <v>477</v>
      </c>
      <c r="G21" s="120"/>
      <c r="H21" s="4" t="str">
        <f>IFERROR(VLOOKUP(F21,Abilities,4,FALSE),"")</f>
        <v>SOLW</v>
      </c>
      <c r="I21" s="121" t="s">
        <v>962</v>
      </c>
      <c r="J21" s="120"/>
      <c r="K21" s="35" t="str">
        <f>IFERROR(VLOOKUP(I21,Abilities,4,FALSE),"")</f>
        <v>BLANK</v>
      </c>
      <c r="L21" s="122" t="s">
        <v>17</v>
      </c>
      <c r="M21" s="120"/>
      <c r="N21" s="10" t="str">
        <f>IFERROR(VLOOKUP(L21,Abilities,4,FALSE),"")</f>
        <v>XCOM2</v>
      </c>
      <c r="O21" s="36" t="s">
        <v>459</v>
      </c>
      <c r="P21" s="37"/>
      <c r="Q21" s="37"/>
      <c r="R21" s="37"/>
      <c r="S21" s="37"/>
      <c r="T21" s="37"/>
      <c r="U21" s="38"/>
      <c r="V21" s="190" t="s">
        <v>791</v>
      </c>
      <c r="W21" s="191"/>
    </row>
    <row r="22" spans="1:23" ht="15.75" thickBot="1" x14ac:dyDescent="0.3">
      <c r="A22" s="181"/>
      <c r="B22" s="182"/>
      <c r="C22" s="182"/>
      <c r="D22" s="182"/>
      <c r="E22" s="183"/>
      <c r="F22" s="144" t="str">
        <f>IFERROR(VLOOKUP(F21,Abilities,7,FALSE),"")</f>
        <v>Gain &lt;Ability:+Mobility/&gt; Mobility and &lt;Ability:+ToHit/&gt; Aim while concealed.</v>
      </c>
      <c r="G22" s="130"/>
      <c r="H22" s="131"/>
      <c r="I22" s="129" t="str">
        <f>IFERROR(VLOOKUP(I21,Abilities,7,FALSE),"")</f>
        <v xml:space="preserve"> </v>
      </c>
      <c r="J22" s="130"/>
      <c r="K22" s="131"/>
      <c r="L22" s="130" t="str">
        <f>IFERROR(VLOOKUP(L21,Abilities,7,FALSE),"")</f>
        <v>Deal +2 extra damage on all sword attacks.</v>
      </c>
      <c r="M22" s="130"/>
      <c r="N22" s="135"/>
      <c r="O22" s="39" t="s">
        <v>460</v>
      </c>
      <c r="P22" s="40"/>
      <c r="Q22" s="41"/>
      <c r="R22" s="41"/>
      <c r="S22" s="40"/>
      <c r="T22" s="40"/>
      <c r="U22" s="42"/>
      <c r="V22" s="192" t="s">
        <v>792</v>
      </c>
      <c r="W22" s="193"/>
    </row>
    <row r="23" spans="1:23" ht="15.75" thickBot="1" x14ac:dyDescent="0.3">
      <c r="A23" s="184" t="s">
        <v>352</v>
      </c>
      <c r="B23" s="185"/>
      <c r="C23" s="185"/>
      <c r="D23" s="185"/>
      <c r="E23" s="186"/>
      <c r="F23" s="167"/>
      <c r="G23" s="147"/>
      <c r="H23" s="148"/>
      <c r="I23" s="146"/>
      <c r="J23" s="147"/>
      <c r="K23" s="148"/>
      <c r="L23" s="147"/>
      <c r="M23" s="147"/>
      <c r="N23" s="168"/>
      <c r="O23" s="14"/>
      <c r="P23" s="14"/>
      <c r="Q23" s="3"/>
      <c r="V23" s="190" t="s">
        <v>793</v>
      </c>
      <c r="W23" s="191"/>
    </row>
    <row r="24" spans="1:23" ht="18" thickBot="1" x14ac:dyDescent="0.35">
      <c r="A24" s="187"/>
      <c r="B24" s="188"/>
      <c r="C24" s="188"/>
      <c r="D24" s="188"/>
      <c r="E24" s="189"/>
      <c r="F24" s="169" t="s">
        <v>444</v>
      </c>
      <c r="G24" s="170"/>
      <c r="H24" s="170"/>
      <c r="I24" s="170"/>
      <c r="J24" s="170"/>
      <c r="K24" s="170"/>
      <c r="L24" s="170"/>
      <c r="M24" s="170"/>
      <c r="N24" s="171"/>
      <c r="O24" s="14"/>
      <c r="P24" s="14"/>
      <c r="Q24" s="3"/>
      <c r="V24" s="192" t="s">
        <v>856</v>
      </c>
      <c r="W24" s="193"/>
    </row>
    <row r="25" spans="1:23" ht="15.75" thickTop="1" x14ac:dyDescent="0.25">
      <c r="A25" s="50"/>
      <c r="B25" s="51"/>
      <c r="C25" s="51"/>
      <c r="D25" s="51"/>
      <c r="E25" s="52"/>
      <c r="F25" s="119" t="s">
        <v>606</v>
      </c>
      <c r="G25" s="120"/>
      <c r="H25" s="4" t="str">
        <f>IFERROR(VLOOKUP(F25,Abilities,4,FALSE),"")</f>
        <v>SOLW</v>
      </c>
      <c r="I25" s="121" t="s">
        <v>962</v>
      </c>
      <c r="J25" s="120"/>
      <c r="K25" s="35" t="str">
        <f>IFERROR(VLOOKUP(I25,Abilities,4,FALSE),"")</f>
        <v>BLANK</v>
      </c>
      <c r="L25" s="122" t="s">
        <v>607</v>
      </c>
      <c r="M25" s="120"/>
      <c r="N25" s="10" t="str">
        <f>IFERROR(VLOOKUP(L25,Abilities,4,FALSE),"")</f>
        <v>SOLW</v>
      </c>
      <c r="O25" s="14"/>
      <c r="P25" s="14"/>
      <c r="Q25" s="3"/>
      <c r="V25" s="190" t="s">
        <v>887</v>
      </c>
      <c r="W25" s="191"/>
    </row>
    <row r="26" spans="1:23" x14ac:dyDescent="0.25">
      <c r="A26" s="50"/>
      <c r="B26" s="51"/>
      <c r="C26" s="51"/>
      <c r="D26" s="51"/>
      <c r="E26" s="52"/>
      <c r="F26" s="144" t="str">
        <f>IFERROR(VLOOKUP(F25,Abilities,7,FALSE),"")</f>
        <v>Fire a shot that deals critical damage and gives the target penalties to Aim, Defense, and Will. &lt;Ability:SelfCooldown/&gt; turn cooldown.</v>
      </c>
      <c r="G26" s="130"/>
      <c r="H26" s="131"/>
      <c r="I26" s="129" t="str">
        <f>IFERROR(VLOOKUP(I25,Abilities,7,FALSE),"")</f>
        <v xml:space="preserve"> </v>
      </c>
      <c r="J26" s="130"/>
      <c r="K26" s="131"/>
      <c r="L26" s="130" t="str">
        <f>IFERROR(VLOOKUP(L25,Abilities,7,FALSE),"")</f>
        <v>You detect nearby units even without line of sight.</v>
      </c>
      <c r="M26" s="130"/>
      <c r="N26" s="135"/>
      <c r="O26" s="14"/>
      <c r="P26" s="14"/>
      <c r="Q26" s="3"/>
      <c r="V26" s="190" t="s">
        <v>857</v>
      </c>
      <c r="W26" s="191"/>
    </row>
    <row r="27" spans="1:23" ht="15.75" thickBot="1" x14ac:dyDescent="0.3">
      <c r="A27" s="50"/>
      <c r="B27" s="51"/>
      <c r="C27" s="51"/>
      <c r="D27" s="51"/>
      <c r="E27" s="52"/>
      <c r="F27" s="167"/>
      <c r="G27" s="147"/>
      <c r="H27" s="148"/>
      <c r="I27" s="146"/>
      <c r="J27" s="147"/>
      <c r="K27" s="148"/>
      <c r="L27" s="147"/>
      <c r="M27" s="147"/>
      <c r="N27" s="168"/>
      <c r="O27" s="14"/>
      <c r="P27" s="14"/>
      <c r="Q27" s="3"/>
      <c r="V27" s="192" t="s">
        <v>858</v>
      </c>
      <c r="W27" s="193"/>
    </row>
    <row r="28" spans="1:23" ht="18" thickBot="1" x14ac:dyDescent="0.35">
      <c r="A28" s="50"/>
      <c r="B28" s="51"/>
      <c r="C28" s="51"/>
      <c r="D28" s="51"/>
      <c r="E28" s="52"/>
      <c r="F28" s="169" t="s">
        <v>445</v>
      </c>
      <c r="G28" s="170"/>
      <c r="H28" s="170"/>
      <c r="I28" s="170"/>
      <c r="J28" s="170"/>
      <c r="K28" s="170"/>
      <c r="L28" s="170"/>
      <c r="M28" s="170"/>
      <c r="N28" s="171"/>
      <c r="O28" s="14"/>
      <c r="P28" s="14"/>
      <c r="Q28" s="3"/>
      <c r="V28" s="190" t="s">
        <v>799</v>
      </c>
      <c r="W28" s="191"/>
    </row>
    <row r="29" spans="1:23" ht="15.75" thickTop="1" x14ac:dyDescent="0.25">
      <c r="A29" s="50"/>
      <c r="B29" s="51"/>
      <c r="C29" s="51"/>
      <c r="D29" s="51"/>
      <c r="E29" s="52"/>
      <c r="F29" s="119" t="s">
        <v>608</v>
      </c>
      <c r="G29" s="120"/>
      <c r="H29" s="4" t="str">
        <f>IFERROR(VLOOKUP(F29,Abilities,4,FALSE),"")</f>
        <v>SOLW</v>
      </c>
      <c r="I29" s="121" t="s">
        <v>962</v>
      </c>
      <c r="J29" s="120"/>
      <c r="K29" s="35" t="str">
        <f>IFERROR(VLOOKUP(I29,Abilities,4,FALSE),"")</f>
        <v>BLANK</v>
      </c>
      <c r="L29" s="122" t="s">
        <v>238</v>
      </c>
      <c r="M29" s="120"/>
      <c r="N29" s="10" t="str">
        <f>IFERROR(VLOOKUP(L29,Abilities,4,FALSE),"")</f>
        <v>LW2</v>
      </c>
      <c r="O29" s="14"/>
      <c r="P29" s="14"/>
      <c r="Q29" s="3"/>
      <c r="V29" s="190" t="s">
        <v>825</v>
      </c>
      <c r="W29" s="191"/>
    </row>
    <row r="30" spans="1:23" x14ac:dyDescent="0.25">
      <c r="A30" s="50"/>
      <c r="B30" s="51"/>
      <c r="C30" s="51"/>
      <c r="D30" s="51"/>
      <c r="E30" s="52"/>
      <c r="F30" s="144" t="str">
        <f>IFERROR(VLOOKUP(F29,Abilities,7,FALSE),"")</f>
        <v>You get &lt;Ability:+ToHit/&gt; Aim against targets in full cover.</v>
      </c>
      <c r="G30" s="130"/>
      <c r="H30" s="131"/>
      <c r="I30" s="129" t="str">
        <f>IFERROR(VLOOKUP(I29,Abilities,7,FALSE),"")</f>
        <v xml:space="preserve"> </v>
      </c>
      <c r="J30" s="130"/>
      <c r="K30" s="131"/>
      <c r="L30" s="130">
        <f>IFERROR(VLOOKUP(L29,Abilities,7,FALSE),"")</f>
        <v>0</v>
      </c>
      <c r="M30" s="130"/>
      <c r="N30" s="135"/>
      <c r="O30" s="14"/>
      <c r="P30" s="14"/>
      <c r="Q30" s="3"/>
      <c r="V30" s="190" t="s">
        <v>854</v>
      </c>
      <c r="W30" s="191"/>
    </row>
    <row r="31" spans="1:23" ht="15.75" thickBot="1" x14ac:dyDescent="0.3">
      <c r="A31" s="50"/>
      <c r="B31" s="51"/>
      <c r="C31" s="51"/>
      <c r="D31" s="51"/>
      <c r="E31" s="52"/>
      <c r="F31" s="167"/>
      <c r="G31" s="147"/>
      <c r="H31" s="148"/>
      <c r="I31" s="146"/>
      <c r="J31" s="147"/>
      <c r="K31" s="148"/>
      <c r="L31" s="147"/>
      <c r="M31" s="147"/>
      <c r="N31" s="168"/>
      <c r="O31" s="14"/>
      <c r="P31" s="14"/>
      <c r="Q31" s="3"/>
      <c r="V31" s="192" t="s">
        <v>820</v>
      </c>
      <c r="W31" s="193"/>
    </row>
    <row r="32" spans="1:23" ht="18" thickBot="1" x14ac:dyDescent="0.35">
      <c r="A32" s="50"/>
      <c r="B32" s="51"/>
      <c r="C32" s="51"/>
      <c r="D32" s="51"/>
      <c r="E32" s="52"/>
      <c r="F32" s="169" t="s">
        <v>446</v>
      </c>
      <c r="G32" s="170"/>
      <c r="H32" s="170"/>
      <c r="I32" s="170"/>
      <c r="J32" s="170"/>
      <c r="K32" s="170"/>
      <c r="L32" s="170"/>
      <c r="M32" s="170"/>
      <c r="N32" s="171"/>
      <c r="O32" s="14"/>
      <c r="P32" s="14"/>
      <c r="Q32" s="3"/>
      <c r="V32" s="192" t="s">
        <v>815</v>
      </c>
      <c r="W32" s="193"/>
    </row>
    <row r="33" spans="1:23" ht="15.75" thickTop="1" x14ac:dyDescent="0.25">
      <c r="A33" s="50"/>
      <c r="B33" s="51"/>
      <c r="C33" s="51"/>
      <c r="D33" s="51"/>
      <c r="E33" s="52"/>
      <c r="F33" s="121" t="s">
        <v>962</v>
      </c>
      <c r="G33" s="120"/>
      <c r="H33" s="4" t="str">
        <f>IFERROR(VLOOKUP(F33,Abilities,4,FALSE),"")</f>
        <v>BLANK</v>
      </c>
      <c r="I33" s="121" t="s">
        <v>510</v>
      </c>
      <c r="J33" s="120"/>
      <c r="K33" s="35" t="str">
        <f>IFERROR(VLOOKUP(I33,Abilities,4,FALSE),"")</f>
        <v>SOLW</v>
      </c>
      <c r="L33" s="121" t="s">
        <v>962</v>
      </c>
      <c r="M33" s="120"/>
      <c r="N33" s="10" t="str">
        <f>IFERROR(VLOOKUP(L33,Abilities,4,FALSE),"")</f>
        <v>BLANK</v>
      </c>
      <c r="O33" s="14"/>
      <c r="P33" s="14"/>
      <c r="Q33" s="3"/>
      <c r="V33" s="192" t="s">
        <v>822</v>
      </c>
      <c r="W33" s="193"/>
    </row>
    <row r="34" spans="1:23" x14ac:dyDescent="0.25">
      <c r="A34" s="50"/>
      <c r="B34" s="51"/>
      <c r="C34" s="51"/>
      <c r="D34" s="51"/>
      <c r="E34" s="52"/>
      <c r="F34" s="144" t="str">
        <f>IFERROR(VLOOKUP(F33,Abilities,7,FALSE),"")</f>
        <v xml:space="preserve"> </v>
      </c>
      <c r="G34" s="130"/>
      <c r="H34" s="131"/>
      <c r="I34" s="129" t="str">
        <f>IFERROR(VLOOKUP(I33,Abilities,7,FALSE),"")</f>
        <v>When you kill a flanked or uncovered enemy with your &lt;Ability:WeaponName/&gt;, you gain concealment.</v>
      </c>
      <c r="J34" s="130"/>
      <c r="K34" s="131"/>
      <c r="L34" s="130" t="str">
        <f>IFERROR(VLOOKUP(L33,Abilities,7,FALSE),"")</f>
        <v xml:space="preserve"> </v>
      </c>
      <c r="M34" s="130"/>
      <c r="N34" s="135"/>
      <c r="O34" s="14"/>
      <c r="P34" s="14"/>
      <c r="Q34" s="3"/>
      <c r="V34" s="190" t="s">
        <v>816</v>
      </c>
      <c r="W34" s="191"/>
    </row>
    <row r="35" spans="1:23" ht="15.75" thickBot="1" x14ac:dyDescent="0.3">
      <c r="A35" s="50"/>
      <c r="B35" s="51"/>
      <c r="C35" s="51"/>
      <c r="D35" s="51"/>
      <c r="E35" s="52"/>
      <c r="F35" s="167"/>
      <c r="G35" s="147"/>
      <c r="H35" s="148"/>
      <c r="I35" s="146"/>
      <c r="J35" s="147"/>
      <c r="K35" s="148"/>
      <c r="L35" s="147"/>
      <c r="M35" s="147"/>
      <c r="N35" s="168"/>
      <c r="O35" s="14"/>
      <c r="P35" s="14"/>
      <c r="Q35" s="3"/>
      <c r="V35" s="194" t="s">
        <v>800</v>
      </c>
      <c r="W35" s="195"/>
    </row>
    <row r="36" spans="1:23" ht="18" thickBot="1" x14ac:dyDescent="0.35">
      <c r="A36" s="50"/>
      <c r="B36" s="51"/>
      <c r="C36" s="51"/>
      <c r="D36" s="51"/>
      <c r="E36" s="52"/>
      <c r="F36" s="169" t="s">
        <v>447</v>
      </c>
      <c r="G36" s="170"/>
      <c r="H36" s="170"/>
      <c r="I36" s="170"/>
      <c r="J36" s="170"/>
      <c r="K36" s="170"/>
      <c r="L36" s="170"/>
      <c r="M36" s="170"/>
      <c r="N36" s="171"/>
    </row>
    <row r="37" spans="1:23" ht="15.75" thickTop="1" x14ac:dyDescent="0.25">
      <c r="A37" s="50"/>
      <c r="B37" s="51"/>
      <c r="C37" s="51"/>
      <c r="D37" s="51"/>
      <c r="E37" s="52"/>
      <c r="F37" s="119" t="s">
        <v>82</v>
      </c>
      <c r="G37" s="120"/>
      <c r="H37" s="4" t="str">
        <f>IFERROR(VLOOKUP(F37,Abilities,4,FALSE),"")</f>
        <v>XCOM2</v>
      </c>
      <c r="I37" s="121" t="s">
        <v>962</v>
      </c>
      <c r="J37" s="120"/>
      <c r="K37" s="35" t="str">
        <f>IFERROR(VLOOKUP(I37,Abilities,4,FALSE),"")</f>
        <v>BLANK</v>
      </c>
      <c r="L37" s="122" t="s">
        <v>737</v>
      </c>
      <c r="M37" s="120"/>
      <c r="N37" s="10" t="str">
        <f>IFERROR(VLOOKUP(L37,Abilities,4,FALSE),"")</f>
        <v>SOLW</v>
      </c>
    </row>
    <row r="38" spans="1:23" x14ac:dyDescent="0.25">
      <c r="A38" s="50"/>
      <c r="B38" s="51"/>
      <c r="C38" s="51"/>
      <c r="D38" s="51"/>
      <c r="E38" s="52"/>
      <c r="F38" s="144" t="str">
        <f>IFERROR(VLOOKUP(F37,Abilities,7,FALSE),"")</f>
        <v>Each kill made with your sniper rifle completely restores your actions. With each consecutive kill you get a critical chance penalty. 4 turn cooldown.</v>
      </c>
      <c r="G38" s="130"/>
      <c r="H38" s="131"/>
      <c r="I38" s="129" t="str">
        <f>IFERROR(VLOOKUP(I37,Abilities,7,FALSE),"")</f>
        <v xml:space="preserve"> </v>
      </c>
      <c r="J38" s="130"/>
      <c r="K38" s="131"/>
      <c r="L38" s="124" t="str">
        <f>IFERROR(VLOOKUP(L37,Abilities,7,FALSE),"")</f>
        <v>Attack any enemy within movement range with your sword. If you hit, make a free second sword attack. &lt;Ability:SelfCooldown/&gt; turn cooldown.</v>
      </c>
      <c r="M38" s="124"/>
      <c r="N38" s="202"/>
    </row>
    <row r="39" spans="1:23" ht="15.75" thickBot="1" x14ac:dyDescent="0.3">
      <c r="A39" s="53"/>
      <c r="B39" s="54"/>
      <c r="C39" s="54"/>
      <c r="D39" s="54"/>
      <c r="E39" s="55"/>
      <c r="F39" s="167"/>
      <c r="G39" s="147"/>
      <c r="H39" s="148"/>
      <c r="I39" s="146"/>
      <c r="J39" s="147"/>
      <c r="K39" s="148"/>
      <c r="L39" s="203"/>
      <c r="M39" s="203"/>
      <c r="N39" s="204"/>
    </row>
    <row r="40" spans="1:23" ht="15" customHeight="1" x14ac:dyDescent="0.25">
      <c r="A40" s="86" t="s">
        <v>1200</v>
      </c>
      <c r="B40" s="86"/>
      <c r="C40" s="88" t="str">
        <f>SUBSTITUTE(C1," ","")</f>
        <v>Hunter</v>
      </c>
      <c r="D40" s="88"/>
      <c r="E40" s="88"/>
      <c r="F40" s="238"/>
      <c r="G40" s="238"/>
      <c r="H40" s="237"/>
      <c r="I40" s="237"/>
      <c r="J40" s="237"/>
    </row>
    <row r="41" spans="1:23" ht="15" customHeight="1" thickBot="1" x14ac:dyDescent="0.3">
      <c r="A41" s="87"/>
      <c r="B41" s="87"/>
      <c r="C41" s="89"/>
      <c r="D41" s="89"/>
      <c r="E41" s="89"/>
      <c r="F41" s="239"/>
      <c r="G41" s="239"/>
      <c r="H41" s="237"/>
      <c r="I41" s="237"/>
      <c r="J41" s="237"/>
    </row>
    <row r="42" spans="1:23" ht="16.5" thickBot="1" x14ac:dyDescent="0.3">
      <c r="A42" s="242" t="s">
        <v>339</v>
      </c>
      <c r="B42" s="244"/>
      <c r="C42" s="253" t="s">
        <v>342</v>
      </c>
      <c r="D42" s="247"/>
      <c r="E42" s="251" t="s">
        <v>343</v>
      </c>
      <c r="F42" s="250"/>
      <c r="G42" s="234"/>
      <c r="H42" s="235"/>
      <c r="I42" s="235"/>
      <c r="J42" s="235"/>
    </row>
    <row r="43" spans="1:23" x14ac:dyDescent="0.25">
      <c r="A43" s="243" t="str">
        <f ca="1">"; "&amp;INDIRECT("C1")&amp;" class data"</f>
        <v>; Hunter class data</v>
      </c>
      <c r="B43" s="234" t="s">
        <v>340</v>
      </c>
      <c r="C43" s="254" t="str">
        <f ca="1">"; "&amp;INDIRECT("C1")&amp;" class loadout"</f>
        <v>; Hunter class loadout</v>
      </c>
      <c r="D43" s="234" t="s">
        <v>340</v>
      </c>
      <c r="E43" s="252" t="str">
        <f ca="1">"["&amp;INDIRECT("C3")&amp;" X2SoldierClassTemplate]"</f>
        <v>[LWD_Hunter X2SoldierClassTemplate]</v>
      </c>
      <c r="F43" s="234" t="s">
        <v>340</v>
      </c>
      <c r="G43" s="234"/>
      <c r="H43" s="235"/>
      <c r="I43" s="235"/>
      <c r="J43" s="235"/>
    </row>
    <row r="44" spans="1:23" x14ac:dyDescent="0.25">
      <c r="A44" s="240"/>
      <c r="B44" s="234"/>
      <c r="C44" s="245"/>
      <c r="D44" s="234" t="s">
        <v>340</v>
      </c>
      <c r="E44" s="248" t="str">
        <f ca="1">"+DisplayName="""&amp;INDIRECT("C1")&amp;""""</f>
        <v>+DisplayName="Hunter"</v>
      </c>
      <c r="F44" s="234" t="s">
        <v>340</v>
      </c>
      <c r="G44" s="234"/>
      <c r="H44" s="235"/>
      <c r="I44" s="235"/>
      <c r="J44" s="235"/>
    </row>
    <row r="45" spans="1:23" x14ac:dyDescent="0.25">
      <c r="A45" s="240" t="str">
        <f>"[XComGame.X2SoldierClass_DefaultClasses]"</f>
        <v>[XComGame.X2SoldierClass_DefaultClasses]</v>
      </c>
      <c r="B45" s="234" t="s">
        <v>340</v>
      </c>
      <c r="C45" s="245" t="s">
        <v>341</v>
      </c>
      <c r="D45" s="234" t="s">
        <v>340</v>
      </c>
      <c r="E45" s="248" t="str">
        <f ca="1">"+ClassSummary="""&amp;INDIRECT("A20")&amp;""""</f>
        <v>+ClassSummary="Our Hunters are a versatile sort, carrying sniper rifles for distant engagements, and swords for when they need to get close. They're good at staying on the move."</v>
      </c>
      <c r="F45" s="234" t="s">
        <v>340</v>
      </c>
      <c r="G45" s="234"/>
      <c r="H45" s="235"/>
      <c r="I45" s="235"/>
      <c r="J45" s="235"/>
    </row>
    <row r="46" spans="1:23" x14ac:dyDescent="0.25">
      <c r="A46" s="240" t="str">
        <f ca="1">"+SoldierClasses="&amp;INDIRECT("C3")</f>
        <v>+SoldierClasses=LWD_Hunter</v>
      </c>
      <c r="B46" s="234" t="s">
        <v>340</v>
      </c>
      <c r="C46" s="245"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+Loadouts=(LoadoutName="SquaddieLWD_Hunter", Items[0]=(Item="SniperRifle_CV"), Items[1]=(Item="Sword_CV"))</v>
      </c>
      <c r="D46" s="234" t="s">
        <v>340</v>
      </c>
      <c r="E46" s="248" t="str">
        <f ca="1">"+LeftAbilityTreeTitle="""&amp;INDIRECT("F11")&amp;""""</f>
        <v>+LeftAbilityTreeTitle="Sportsman"</v>
      </c>
      <c r="F46" s="234" t="s">
        <v>340</v>
      </c>
      <c r="G46" s="234"/>
      <c r="H46" s="235"/>
      <c r="I46" s="234"/>
      <c r="J46" s="234"/>
    </row>
    <row r="47" spans="1:23" x14ac:dyDescent="0.25">
      <c r="A47" s="240"/>
      <c r="B47" s="234" t="s">
        <v>340</v>
      </c>
      <c r="C47" s="245"/>
      <c r="D47" s="234" t="s">
        <v>340</v>
      </c>
      <c r="E47" s="248" t="str">
        <f ca="1">"+RightAbilityTreeTitle="""&amp;INDIRECT("L11")&amp;""""</f>
        <v>+RightAbilityTreeTitle="Survivalist"</v>
      </c>
      <c r="F47" s="234" t="s">
        <v>340</v>
      </c>
      <c r="G47" s="234"/>
      <c r="H47" s="235"/>
      <c r="I47" s="234"/>
      <c r="J47" s="234"/>
    </row>
    <row r="48" spans="1:23" x14ac:dyDescent="0.25">
      <c r="A48" s="240" t="str">
        <f ca="1">"["&amp;INDIRECT("C3")&amp;" X2SoldierClassTemplate]"</f>
        <v>[LWD_Hunter X2SoldierClassTemplate]</v>
      </c>
      <c r="B48" s="234" t="s">
        <v>340</v>
      </c>
      <c r="C48" s="245" t="s">
        <v>351</v>
      </c>
      <c r="D48" s="234" t="s">
        <v>340</v>
      </c>
      <c r="E48" s="248" t="str">
        <f>"; Nicknames"</f>
        <v>; Nicknames</v>
      </c>
      <c r="F48" s="234" t="s">
        <v>340</v>
      </c>
      <c r="G48" s="234"/>
      <c r="H48" s="234"/>
      <c r="I48" s="234"/>
      <c r="J48" s="234"/>
    </row>
    <row r="49" spans="1:10" ht="15.75" thickBot="1" x14ac:dyDescent="0.3">
      <c r="A49" s="240" t="str">
        <f ca="1">"+bMultiplayerOnly="&amp;INDIRECT("E6")</f>
        <v>+bMultiplayerOnly=0</v>
      </c>
      <c r="B49" s="234" t="s">
        <v>340</v>
      </c>
      <c r="C49" s="246" t="str">
        <f ca="1">"+DEBUG_StartingSoldierClasses="""&amp;INDIRECT("C3")&amp;""""</f>
        <v>+DEBUG_StartingSoldierClasses="LWD_Hunter"</v>
      </c>
      <c r="D49" s="234" t="s">
        <v>340</v>
      </c>
      <c r="E49" s="248" t="str">
        <f ca="1">IF(INDIRECT("V4")&lt;&gt;"","RandomNickNames[0]="""&amp;INDIRECT("V4")&amp;"""","")</f>
        <v>RandomNickNames[0]="Angel"</v>
      </c>
      <c r="F49" s="234" t="s">
        <v>340</v>
      </c>
      <c r="G49" s="234"/>
      <c r="H49" s="234"/>
      <c r="I49" s="234"/>
      <c r="J49" s="234"/>
    </row>
    <row r="50" spans="1:10" x14ac:dyDescent="0.25">
      <c r="A50" s="240" t="str">
        <f ca="1">"+ClassPoints="&amp;INDIRECT("E7")</f>
        <v>+ClassPoints=4</v>
      </c>
      <c r="B50" s="234" t="s">
        <v>340</v>
      </c>
      <c r="C50" s="234"/>
      <c r="D50" s="234"/>
      <c r="E50" s="248" t="str">
        <f ca="1">IF(INDIRECT("V5")&lt;&gt;"","RandomNickNames[1]="""&amp;INDIRECT("V5")&amp;"""","")</f>
        <v>RandomNickNames[1]="Bargain"</v>
      </c>
      <c r="F50" s="234" t="s">
        <v>340</v>
      </c>
      <c r="G50" s="234"/>
      <c r="H50" s="234"/>
      <c r="I50" s="234"/>
      <c r="J50" s="234"/>
    </row>
    <row r="51" spans="1:10" x14ac:dyDescent="0.25">
      <c r="A51" s="240" t="str">
        <f ca="1">"+IconImage="&amp;""""&amp;INDIRECT("E8")&amp;""""</f>
        <v>+IconImage="img:///UILibrary_SOHunter.class_hunter"</v>
      </c>
      <c r="B51" s="234" t="s">
        <v>340</v>
      </c>
      <c r="C51" s="234"/>
      <c r="D51" s="234"/>
      <c r="E51" s="248" t="str">
        <f ca="1">IF(INDIRECT("V6")&lt;&gt;"","RandomNickNames[2]="""&amp;INDIRECT("V6")&amp;"""","")</f>
        <v>RandomNickNames[2]="Beta"</v>
      </c>
      <c r="F51" s="234" t="s">
        <v>340</v>
      </c>
      <c r="G51" s="234"/>
      <c r="H51" s="234"/>
      <c r="I51" s="234"/>
      <c r="J51" s="234"/>
    </row>
    <row r="52" spans="1:10" x14ac:dyDescent="0.25">
      <c r="A52" s="240" t="str">
        <f ca="1">"+NumInForcedDeck="&amp;INDIRECT("E9")</f>
        <v>+NumInForcedDeck=1</v>
      </c>
      <c r="B52" s="234" t="s">
        <v>340</v>
      </c>
      <c r="C52" s="234"/>
      <c r="D52" s="234"/>
      <c r="E52" s="248" t="str">
        <f ca="1">IF(INDIRECT("V7")&lt;&gt;"","RandomNickNames[3]="""&amp;INDIRECT("V7")&amp;"""","")</f>
        <v>RandomNickNames[3]="Bishop"</v>
      </c>
      <c r="F52" s="234" t="s">
        <v>340</v>
      </c>
      <c r="G52" s="234"/>
      <c r="H52" s="234"/>
      <c r="I52" s="234"/>
      <c r="J52" s="234"/>
    </row>
    <row r="53" spans="1:10" x14ac:dyDescent="0.25">
      <c r="A53" s="240" t="str">
        <f ca="1">"+NumInDeck="&amp;INDIRECT("E10")</f>
        <v>+NumInDeck=4</v>
      </c>
      <c r="B53" s="234" t="s">
        <v>340</v>
      </c>
      <c r="C53" s="234"/>
      <c r="D53" s="234"/>
      <c r="E53" s="248" t="str">
        <f ca="1">IF(INDIRECT("V8")&lt;&gt;"","RandomNickNames[4]="""&amp;INDIRECT("V8")&amp;"""","")</f>
        <v>RandomNickNames[4]="Bones"</v>
      </c>
      <c r="F53" s="234" t="s">
        <v>340</v>
      </c>
      <c r="G53" s="234"/>
      <c r="H53" s="234"/>
      <c r="I53" s="234"/>
      <c r="J53" s="234"/>
    </row>
    <row r="54" spans="1:10" x14ac:dyDescent="0.25">
      <c r="A54" s="240" t="str">
        <f ca="1">"+KillAssistsPerKill="&amp;INDIRECT("E11")</f>
        <v>+KillAssistsPerKill=5</v>
      </c>
      <c r="B54" s="234" t="s">
        <v>340</v>
      </c>
      <c r="C54" s="234"/>
      <c r="D54" s="234"/>
      <c r="E54" s="248" t="str">
        <f ca="1">IF(INDIRECT("V9")&lt;&gt;"","RandomNickNames[5]="""&amp;INDIRECT("V9")&amp;"""","")</f>
        <v>RandomNickNames[5]="Breaker"</v>
      </c>
      <c r="F54" s="234" t="s">
        <v>340</v>
      </c>
      <c r="G54" s="234"/>
      <c r="H54" s="234"/>
      <c r="I54" s="234"/>
      <c r="J54" s="234"/>
    </row>
    <row r="55" spans="1:10" x14ac:dyDescent="0.25">
      <c r="A55" s="240" t="str">
        <f ca="1">"+SquaddieLoadout=Squaddie"&amp;INDIRECT("C3")</f>
        <v>+SquaddieLoadout=SquaddieLWD_Hunter</v>
      </c>
      <c r="B55" s="234" t="s">
        <v>340</v>
      </c>
      <c r="C55" s="234"/>
      <c r="D55" s="234"/>
      <c r="E55" s="248" t="str">
        <f ca="1">IF(INDIRECT("V10")&lt;&gt;"","RandomNickNames[6]="""&amp;INDIRECT("V10")&amp;"""","")</f>
        <v>RandomNickNames[6]="Broker"</v>
      </c>
      <c r="F55" s="234" t="s">
        <v>340</v>
      </c>
      <c r="G55" s="234"/>
      <c r="H55" s="234"/>
      <c r="I55" s="234"/>
      <c r="J55" s="234"/>
    </row>
    <row r="56" spans="1:10" x14ac:dyDescent="0.25">
      <c r="A56" s="240" t="str">
        <f ca="1">";+bAllowAWCAbilities="&amp;INDIRECT("E12")&amp;" ; Not a thing in LW2"</f>
        <v>;+bAllowAWCAbilities=1 ; Not a thing in LW2</v>
      </c>
      <c r="B56" s="234" t="s">
        <v>340</v>
      </c>
      <c r="C56" s="234"/>
      <c r="D56" s="234"/>
      <c r="E56" s="248" t="str">
        <f ca="1">IF(INDIRECT("V11")&lt;&gt;"","RandomNickNames[7]="""&amp;INDIRECT("V11")&amp;"""","")</f>
        <v>RandomNickNames[7]="Conquest"</v>
      </c>
      <c r="F56" s="234" t="s">
        <v>340</v>
      </c>
      <c r="G56" s="234"/>
      <c r="H56" s="234"/>
      <c r="I56" s="234"/>
      <c r="J56" s="234"/>
    </row>
    <row r="57" spans="1:10" x14ac:dyDescent="0.25">
      <c r="A57" s="240" t="str">
        <f ca="1">IF(INDIRECT("B5")=FALSE,";","")&amp;"+AllowedWeapons=(SlotType=eInvSlot_PrimaryWeapon, WeaponType=""rifle"")"</f>
        <v>;+AllowedWeapons=(SlotType=eInvSlot_PrimaryWeapon, WeaponType="rifle")</v>
      </c>
      <c r="B57" s="234" t="s">
        <v>340</v>
      </c>
      <c r="C57" s="234"/>
      <c r="D57" s="234"/>
      <c r="E57" s="248" t="str">
        <f ca="1">IF(INDIRECT("V12")&lt;&gt;"","RandomNickNames[8]="""&amp;INDIRECT("V12")&amp;"""","")</f>
        <v>RandomNickNames[8]="Deacon"</v>
      </c>
      <c r="F57" s="234" t="s">
        <v>340</v>
      </c>
      <c r="G57" s="234"/>
      <c r="H57" s="234"/>
      <c r="I57" s="234"/>
      <c r="J57" s="234"/>
    </row>
    <row r="58" spans="1:10" x14ac:dyDescent="0.25">
      <c r="A58" s="240" t="str">
        <f ca="1">IF(INDIRECT("B6")=FALSE,";","")&amp;"+AllowedWeapons=(SlotType=eInvSlot_PrimaryWeapon, WeaponType=""cannon"")"</f>
        <v>;+AllowedWeapons=(SlotType=eInvSlot_PrimaryWeapon, WeaponType="cannon")</v>
      </c>
      <c r="B58" s="234" t="s">
        <v>340</v>
      </c>
      <c r="C58" s="234"/>
      <c r="D58" s="234"/>
      <c r="E58" s="248" t="str">
        <f ca="1">IF(INDIRECT("V13")&lt;&gt;"","RandomNickNames[9]="""&amp;INDIRECT("V13")&amp;"""","")</f>
        <v>RandomNickNames[9]="Doomtrain"</v>
      </c>
      <c r="F58" s="234" t="s">
        <v>340</v>
      </c>
      <c r="G58" s="234"/>
      <c r="H58" s="234"/>
      <c r="I58" s="234"/>
      <c r="J58" s="234"/>
    </row>
    <row r="59" spans="1:10" x14ac:dyDescent="0.25">
      <c r="A59" s="240" t="str">
        <f ca="1">IF(INDIRECT("B7")=FALSE,";","")&amp;"+AllowedWeapons=(SlotType=eInvSlot_PrimaryWeapon, WeaponType=""shotgun"")"</f>
        <v>;+AllowedWeapons=(SlotType=eInvSlot_PrimaryWeapon, WeaponType="shotgun")</v>
      </c>
      <c r="B59" s="234" t="s">
        <v>340</v>
      </c>
      <c r="C59" s="234"/>
      <c r="D59" s="234"/>
      <c r="E59" s="248" t="str">
        <f ca="1">IF(INDIRECT("V14")&lt;&gt;"","RandomNickNames[10]="""&amp;INDIRECT("V14")&amp;"""","")</f>
        <v>RandomNickNames[10]="Dr. Feelgood"</v>
      </c>
      <c r="F59" s="234" t="s">
        <v>340</v>
      </c>
      <c r="G59" s="234"/>
      <c r="H59" s="234"/>
      <c r="I59" s="234"/>
      <c r="J59" s="234"/>
    </row>
    <row r="60" spans="1:10" x14ac:dyDescent="0.25">
      <c r="A60" s="240" t="str">
        <f ca="1">IF(INDIRECT("B8")=FALSE,";","")&amp;"+AllowedWeapons=(SlotType=eInvSlot_PrimaryWeapon, WeaponType=""sniper_rifle"")"</f>
        <v>+AllowedWeapons=(SlotType=eInvSlot_PrimaryWeapon, WeaponType="sniper_rifle")</v>
      </c>
      <c r="B60" s="234" t="s">
        <v>340</v>
      </c>
      <c r="C60" s="234"/>
      <c r="D60" s="234"/>
      <c r="E60" s="248" t="str">
        <f ca="1">IF(INDIRECT("V15")&lt;&gt;"","RandomNickNames[11]="""&amp;INDIRECT("V15")&amp;"""","")</f>
        <v>RandomNickNames[11]="Famine"</v>
      </c>
      <c r="F60" s="234" t="s">
        <v>340</v>
      </c>
      <c r="G60" s="234"/>
      <c r="H60" s="234"/>
      <c r="I60" s="234"/>
      <c r="J60" s="234"/>
    </row>
    <row r="61" spans="1:10" x14ac:dyDescent="0.25">
      <c r="A61" s="240" t="str">
        <f ca="1">IF(INDIRECT("B9")=FALSE,";","")&amp;"+AllowedWeapons=(SlotType=eInvSlot_SecondaryWeapon, WeaponType=""gauntlet"")"</f>
        <v>;+AllowedWeapons=(SlotType=eInvSlot_SecondaryWeapon, WeaponType="gauntlet")</v>
      </c>
      <c r="B61" s="234" t="s">
        <v>340</v>
      </c>
      <c r="C61" s="234"/>
      <c r="D61" s="234"/>
      <c r="E61" s="248" t="str">
        <f ca="1">IF(INDIRECT("V16")&lt;&gt;"","RandomNickNames[12]="""&amp;INDIRECT("V16")&amp;"""","")</f>
        <v>RandomNickNames[12]="Feedback"</v>
      </c>
      <c r="F61" s="234" t="s">
        <v>340</v>
      </c>
      <c r="G61" s="234"/>
      <c r="H61" s="234"/>
      <c r="I61" s="234"/>
      <c r="J61" s="234"/>
    </row>
    <row r="62" spans="1:10" x14ac:dyDescent="0.25">
      <c r="A62" s="240" t="str">
        <f ca="1">IF(INDIRECT("B10")=FALSE,";","")&amp;"+AllowedWeapons=(SlotType=eInvSlot_SecondaryWeapon, WeaponType=""combatknife"")"</f>
        <v>;+AllowedWeapons=(SlotType=eInvSlot_SecondaryWeapon, WeaponType="combatknife")</v>
      </c>
      <c r="B62" s="234" t="s">
        <v>340</v>
      </c>
      <c r="C62" s="234"/>
      <c r="D62" s="234"/>
      <c r="E62" s="248" t="str">
        <f ca="1">IF(INDIRECT("V17")&lt;&gt;"","RandomNickNames[13]="""&amp;INDIRECT("V17")&amp;"""","")</f>
        <v>RandomNickNames[13]="Firewall"</v>
      </c>
      <c r="F62" s="234" t="s">
        <v>340</v>
      </c>
      <c r="G62" s="234"/>
      <c r="H62" s="234"/>
      <c r="I62" s="234"/>
      <c r="J62" s="234"/>
    </row>
    <row r="63" spans="1:10" x14ac:dyDescent="0.25">
      <c r="A63" s="240" t="str">
        <f ca="1">IF(INDIRECT("B11")=FALSE,";","")&amp;"+AllowedWeapons=(SlotType=eInvSlot_SecondaryWeapon, WeaponType=""grenade_launcher"")"</f>
        <v>;+AllowedWeapons=(SlotType=eInvSlot_SecondaryWeapon, WeaponType="grenade_launcher")</v>
      </c>
      <c r="B63" s="234" t="s">
        <v>340</v>
      </c>
      <c r="C63" s="234"/>
      <c r="D63" s="234"/>
      <c r="E63" s="248" t="str">
        <f ca="1">IF(INDIRECT("V18")&lt;&gt;"","RandomNickNames[14]="""&amp;INDIRECT("V18")&amp;"""","")</f>
        <v>RandomNickNames[14]="Genius"</v>
      </c>
      <c r="F63" s="234" t="s">
        <v>340</v>
      </c>
      <c r="G63" s="234"/>
      <c r="H63" s="234"/>
      <c r="I63" s="234"/>
      <c r="J63" s="234"/>
    </row>
    <row r="64" spans="1:10" x14ac:dyDescent="0.25">
      <c r="A64" s="240" t="str">
        <f ca="1">IF(INDIRECT("B12")=FALSE,";","")&amp;"+AllowedWeapons=(SlotType=eInvSlot_SecondaryWeapon, WeaponType=""gremlin"")"</f>
        <v>;+AllowedWeapons=(SlotType=eInvSlot_SecondaryWeapon, WeaponType="gremlin")</v>
      </c>
      <c r="B64" s="234" t="s">
        <v>340</v>
      </c>
      <c r="C64" s="234"/>
      <c r="D64" s="234"/>
      <c r="E64" s="248" t="str">
        <f ca="1">IF(INDIRECT("V19")&lt;&gt;"","RandomNickNames[15]="""&amp;INDIRECT("V19")&amp;"""","")</f>
        <v>RandomNickNames[15]="Camper"</v>
      </c>
      <c r="F64" s="234" t="s">
        <v>340</v>
      </c>
      <c r="G64" s="234"/>
      <c r="H64" s="234"/>
      <c r="I64" s="234"/>
      <c r="J64" s="234"/>
    </row>
    <row r="65" spans="1:10" x14ac:dyDescent="0.25">
      <c r="A65" s="240" t="str">
        <f ca="1">IF(INDIRECT("B13")=FALSE,";","")&amp;"+AllowedWeapons=(SlotType=eInvSlot_SecondaryWeapon, WeaponType=""sword"")"</f>
        <v>+AllowedWeapons=(SlotType=eInvSlot_SecondaryWeapon, WeaponType="sword")</v>
      </c>
      <c r="B65" s="234" t="s">
        <v>340</v>
      </c>
      <c r="C65" s="234"/>
      <c r="D65" s="234"/>
      <c r="E65" s="248" t="str">
        <f ca="1">IF(INDIRECT("V20")&lt;&gt;"","RandomNickNames[16]="""&amp;INDIRECT("V20")&amp;"""","")</f>
        <v>RandomNickNames[16]="Jester"</v>
      </c>
      <c r="F65" s="234" t="s">
        <v>340</v>
      </c>
      <c r="G65" s="234"/>
      <c r="H65" s="234"/>
      <c r="I65" s="234"/>
      <c r="J65" s="234"/>
    </row>
    <row r="66" spans="1:10" x14ac:dyDescent="0.25">
      <c r="A66" s="240" t="str">
        <f ca="1">IF(INDIRECT("B14")=FALSE,";","")&amp;"+AllowedWeapons=(SlotType=eInvSlot_SecondaryWeapon, WeaponType=""sawedoffshotgun"")"</f>
        <v>;+AllowedWeapons=(SlotType=eInvSlot_SecondaryWeapon, WeaponType="sawedoffshotgun")</v>
      </c>
      <c r="B66" s="234" t="s">
        <v>340</v>
      </c>
      <c r="C66" s="234"/>
      <c r="D66" s="234"/>
      <c r="E66" s="248" t="str">
        <f ca="1">IF(INDIRECT("V21")&lt;&gt;"","RandomNickNames[17]="""&amp;INDIRECT("V21")&amp;"""","")</f>
        <v>RandomNickNames[17]="Jolt"</v>
      </c>
      <c r="F66" s="234" t="s">
        <v>340</v>
      </c>
      <c r="G66" s="234"/>
      <c r="H66" s="234"/>
      <c r="I66" s="234"/>
      <c r="J66" s="234"/>
    </row>
    <row r="67" spans="1:10" x14ac:dyDescent="0.25">
      <c r="A67" s="240" t="str">
        <f ca="1">IF(INDIRECT("B15")=FALSE,";","")&amp;"+AllowedWeapons=(SlotType=eInvSlot_SecondaryWeapon, WeaponType=""arcthrower"")"</f>
        <v>;+AllowedWeapons=(SlotType=eInvSlot_SecondaryWeapon, WeaponType="arcthrower")</v>
      </c>
      <c r="B67" s="234" t="s">
        <v>340</v>
      </c>
      <c r="C67" s="234"/>
      <c r="D67" s="234"/>
      <c r="E67" s="248" t="str">
        <f ca="1">IF(INDIRECT("V22")&lt;&gt;"","RandomNickNames[18]="""&amp;INDIRECT("V22")&amp;"""","")</f>
        <v>RandomNickNames[18]="Lightning"</v>
      </c>
      <c r="F67" s="234" t="s">
        <v>340</v>
      </c>
      <c r="G67" s="234"/>
      <c r="H67" s="234"/>
      <c r="I67" s="234"/>
      <c r="J67" s="234"/>
    </row>
    <row r="68" spans="1:10" x14ac:dyDescent="0.25">
      <c r="A68" s="240" t="str">
        <f ca="1">IF(INDIRECT("B16")=FALSE,";","")&amp;"+AllowedWeapons=(SlotType=eInvSlot_SecondaryWeapon, WeaponType=""holotargeter"")"</f>
        <v>;+AllowedWeapons=(SlotType=eInvSlot_SecondaryWeapon, WeaponType="holotargeter")</v>
      </c>
      <c r="B68" s="234" t="s">
        <v>340</v>
      </c>
      <c r="C68" s="234"/>
      <c r="D68" s="234"/>
      <c r="E68" s="248" t="str">
        <f ca="1">IF(INDIRECT("V23")&lt;&gt;"","RandomNickNames[19]="""&amp;INDIRECT("V23")&amp;"""","")</f>
        <v>RandomNickNames[19]="Mayday"</v>
      </c>
      <c r="F68" s="234" t="s">
        <v>340</v>
      </c>
      <c r="G68" s="234"/>
      <c r="H68" s="234"/>
      <c r="I68" s="234"/>
      <c r="J68" s="234"/>
    </row>
    <row r="69" spans="1:10" x14ac:dyDescent="0.25">
      <c r="A69" s="240" t="str">
        <f ca="1">IF(INDIRECT("B17")=FALSE,";","")&amp;"+AllowedWeapons=(SlotType=eInvSlot_SecondaryWeapon, WeaponType=""psiamp"")"</f>
        <v>;+AllowedWeapons=(SlotType=eInvSlot_SecondaryWeapon, WeaponType="psiamp")</v>
      </c>
      <c r="B69" s="234" t="s">
        <v>340</v>
      </c>
      <c r="C69" s="234"/>
      <c r="D69" s="234"/>
      <c r="E69" s="248" t="str">
        <f ca="1">IF(INDIRECT("V24")&lt;&gt;"","RandomNickNames[20]="""&amp;INDIRECT("V24")&amp;"""","")</f>
        <v>RandomNickNames[20]="Eyes"</v>
      </c>
      <c r="F69" s="234" t="s">
        <v>340</v>
      </c>
      <c r="G69" s="234"/>
      <c r="H69" s="234"/>
      <c r="I69" s="234"/>
      <c r="J69" s="234"/>
    </row>
    <row r="70" spans="1:10" x14ac:dyDescent="0.25">
      <c r="A70" s="240" t="str">
        <f ca="1">IF(INDIRECT("B9")=FALSE,";","")&amp;"+AllowedWeapons=(SlotType=eInvSlot_HeavyWeapon, WeaponType=""heavyammo"")"</f>
        <v>;+AllowedWeapons=(SlotType=eInvSlot_HeavyWeapon, WeaponType="heavyammo")</v>
      </c>
      <c r="B70" s="234" t="s">
        <v>340</v>
      </c>
      <c r="C70" s="234"/>
      <c r="D70" s="234"/>
      <c r="E70" s="248" t="str">
        <f ca="1">IF(INDIRECT("V25")&lt;&gt;"","RandomNickNames[21]="""&amp;INDIRECT("V25")&amp;"""","")</f>
        <v>RandomNickNames[21]="Savage"</v>
      </c>
      <c r="F70" s="234" t="s">
        <v>340</v>
      </c>
      <c r="G70" s="234"/>
      <c r="H70" s="234"/>
      <c r="I70" s="234"/>
      <c r="J70" s="234"/>
    </row>
    <row r="71" spans="1:10" x14ac:dyDescent="0.25">
      <c r="A71" s="240" t="str">
        <f ca="1">IF(INDIRECT("B9")=TRUE,";","")&amp;"+AllowedWeapons=(SlotType=eInvSlot_HeavyWeapon, WeaponType=""heavy"")"</f>
        <v>+AllowedWeapons=(SlotType=eInvSlot_HeavyWeapon, WeaponType="heavy")</v>
      </c>
      <c r="B71" s="234" t="s">
        <v>340</v>
      </c>
      <c r="C71" s="234"/>
      <c r="D71" s="234"/>
      <c r="E71" s="248" t="str">
        <f ca="1">IF(INDIRECT("V26")&lt;&gt;"","RandomNickNames[22]="""&amp;INDIRECT("V26")&amp;"""","")</f>
        <v>RandomNickNames[22]="Cleanup"</v>
      </c>
      <c r="F71" s="234" t="s">
        <v>340</v>
      </c>
      <c r="G71" s="234"/>
      <c r="H71" s="234"/>
      <c r="I71" s="234"/>
      <c r="J71" s="234"/>
    </row>
    <row r="72" spans="1:10" x14ac:dyDescent="0.25">
      <c r="A72" s="240" t="str">
        <f ca="1">"+AllowedArmors="&amp;INDIRECT("E13")</f>
        <v>+AllowedArmors=soldier</v>
      </c>
      <c r="B72" s="234" t="s">
        <v>340</v>
      </c>
      <c r="C72" s="234"/>
      <c r="D72" s="234"/>
      <c r="E72" s="248" t="str">
        <f ca="1">IF(INDIRECT("V27")&lt;&gt;"","RandomNickNames[23]="""&amp;INDIRECT("V27")&amp;"""","")</f>
        <v>RandomNickNames[23]="Janitor"</v>
      </c>
      <c r="F72" s="234" t="s">
        <v>340</v>
      </c>
      <c r="G72" s="234"/>
      <c r="H72" s="234"/>
      <c r="I72" s="234"/>
      <c r="J72" s="234"/>
    </row>
    <row r="73" spans="1:10" x14ac:dyDescent="0.25">
      <c r="A73" s="240" t="str">
        <f>"; squaddie"</f>
        <v>; squaddie</v>
      </c>
      <c r="B73" s="234" t="s">
        <v>340</v>
      </c>
      <c r="C73" s="234"/>
      <c r="D73" s="234"/>
      <c r="E73" s="248" t="str">
        <f ca="1">IF(INDIRECT("V28")&lt;&gt;"","RandomNickNames[24]="""&amp;INDIRECT("V28")&amp;"""","")</f>
        <v>RandomNickNames[24]="Rattler"</v>
      </c>
      <c r="F73" s="234" t="s">
        <v>340</v>
      </c>
      <c r="G73" s="234"/>
      <c r="H73" s="234"/>
      <c r="I73" s="234"/>
      <c r="J73" s="234"/>
    </row>
    <row r="74" spans="1:10" x14ac:dyDescent="0.25">
      <c r="A74" s="240" t="str">
        <f ca="1">"+SoldierRanks=(  aAbilityTree=( (AbilityName="""&amp;VLOOKUP(INDIRECT("F4"),Abilities,2,FALSE)&amp;""""&amp;IF(VLOOKUP(INDIRECT("F4"),Abilities,3,FALSE)="","",", ApplyToWeaponSlot=eInvSlot_"&amp;VLOOKUP(INDIRECT("F4"),Abilities,3,FALSE))&amp;"), \\"</f>
        <v>+SoldierRanks=(  aAbilityTree=( (AbilityName="Slash_LW", ApplyToWeaponSlot=eInvSlot_SecondaryWeapon), \\</v>
      </c>
      <c r="B74" s="234" t="s">
        <v>340</v>
      </c>
      <c r="C74" s="234"/>
      <c r="D74" s="234"/>
      <c r="E74" s="248" t="str">
        <f ca="1">IF(INDIRECT("V29")&lt;&gt;"","RandomNickNames[25]="""&amp;INDIRECT("V29")&amp;"""","")</f>
        <v>RandomNickNames[25]="Revelation"</v>
      </c>
      <c r="F74" s="234" t="s">
        <v>340</v>
      </c>
      <c r="G74" s="234"/>
      <c r="H74" s="234"/>
      <c r="I74" s="234"/>
      <c r="J74" s="234"/>
    </row>
    <row r="75" spans="1:10" x14ac:dyDescent="0.25">
      <c r="A75" s="240" t="str">
        <f ca="1">IF(INDIRECT("I4")="","\\","(AbilityName="""&amp;VLOOKUP(INDIRECT("I4"),Abilities,2,FALSE)&amp;""""&amp;IF(VLOOKUP(INDIRECT("I4"),Abilities,3,FALSE)="","",", ApplyToWeaponSlot=eInvSlot_"&amp;VLOOKUP(INDIRECT("I4"),Abilities,3,FALSE))&amp;"), \\")</f>
        <v>(AbilityName="SwordSlice_LW", ApplyToWeaponSlot=eInvSlot_SecondaryWeapon), \\</v>
      </c>
      <c r="B75" s="234" t="s">
        <v>340</v>
      </c>
      <c r="C75" s="234"/>
      <c r="D75" s="234"/>
      <c r="E75" s="248" t="str">
        <f ca="1">IF(INDIRECT("V30")&lt;&gt;"","RandomNickNames[26]="""&amp;INDIRECT("V30")&amp;"""","")</f>
        <v>RandomNickNames[26]="One-Shot"</v>
      </c>
      <c r="F75" s="234" t="s">
        <v>340</v>
      </c>
      <c r="G75" s="234"/>
      <c r="H75" s="234"/>
      <c r="I75" s="234"/>
      <c r="J75" s="234"/>
    </row>
    <row r="76" spans="1:10" x14ac:dyDescent="0.25">
      <c r="A76" s="240" t="str">
        <f ca="1">IF(INDIRECT("L4")="","\\","(AbilityName="""&amp;VLOOKUP(INDIRECT("L4"),Abilities,2,FALSE)&amp;""""&amp;IF(VLOOKUP(INDIRECT("L4"),Abilities,3,FALSE)="","",", ApplyToWeaponSlot=eInvSlot_"&amp;VLOOKUP(INDIRECT("L4"),Abilities,3,FALSE))&amp;"), \\")</f>
        <v>(AbilityName="Squadsight"), \\</v>
      </c>
      <c r="B76" s="234" t="s">
        <v>340</v>
      </c>
      <c r="C76" s="234"/>
      <c r="D76" s="234"/>
      <c r="E76" s="248" t="str">
        <f ca="1">IF(INDIRECT("V31")&lt;&gt;"","RandomNickNames[27]="""&amp;INDIRECT("V31")&amp;"""","")</f>
        <v>RandomNickNames[27]="Thunder"</v>
      </c>
      <c r="F76" s="234" t="s">
        <v>340</v>
      </c>
      <c r="G76" s="234"/>
      <c r="H76" s="234"/>
      <c r="I76" s="234"/>
      <c r="J76" s="234"/>
    </row>
    <row r="77" spans="1:10" x14ac:dyDescent="0.25">
      <c r="A77" s="240" t="str">
        <f ca="1">IF(INDIRECT("F7")="","\\","(AbilityName="""&amp;VLOOKUP(INDIRECT("F7"),Abilities,2,FALSE)&amp;""""&amp;IF(VLOOKUP(INDIRECT("F7"),Abilities,3,FALSE)="","",", ApplyToWeaponSlot=eInvSlot_"&amp;VLOOKUP(INDIRECT("F7"),Abilities,3,FALSE))&amp;"), \\")</f>
        <v>\\</v>
      </c>
      <c r="B77" s="234" t="s">
        <v>340</v>
      </c>
      <c r="C77" s="234"/>
      <c r="D77" s="234"/>
      <c r="E77" s="248" t="str">
        <f ca="1">IF(INDIRECT("V32")&lt;&gt;"","RandomNickNames[28]="""&amp;INDIRECT("V32")&amp;"""","")</f>
        <v>RandomNickNames[28]="Undertaker"</v>
      </c>
      <c r="F77" s="234" t="s">
        <v>340</v>
      </c>
      <c r="G77" s="234"/>
      <c r="H77" s="234"/>
      <c r="I77" s="234"/>
      <c r="J77" s="234"/>
    </row>
    <row r="78" spans="1:10" x14ac:dyDescent="0.25">
      <c r="A78" s="240" t="str">
        <f ca="1">IF(INDIRECT("I7")="","\\","(AbilityName="""&amp;VLOOKUP(INDIRECT("I7"),Abilities,2,FALSE)&amp;""""&amp;IF(VLOOKUP(INDIRECT("I7"),Abilities,3,FALSE)="","",", ApplyToWeaponSlot=eInvSlot_"&amp;VLOOKUP(INDIRECT("I7"),Abilities,3,FALSE))&amp;"), \\")</f>
        <v>\\</v>
      </c>
      <c r="B78" s="234" t="s">
        <v>340</v>
      </c>
      <c r="C78" s="234"/>
      <c r="D78" s="234"/>
      <c r="E78" s="248" t="str">
        <f ca="1">IF(INDIRECT("V33")&lt;&gt;"","RandomNickNames[29]="""&amp;INDIRECT("V33")&amp;"""","")</f>
        <v>RandomNickNames[29]="War"</v>
      </c>
      <c r="F78" s="234" t="s">
        <v>340</v>
      </c>
      <c r="G78" s="234"/>
      <c r="H78" s="234"/>
      <c r="I78" s="234"/>
      <c r="J78" s="234"/>
    </row>
    <row r="79" spans="1:10" x14ac:dyDescent="0.25">
      <c r="A79" s="240" t="str">
        <f ca="1">IF(INDIRECT("L7")="","\\","(AbilityName="""&amp;VLOOKUP(INDIRECT("L7"),Abilities,2,FALSE)&amp;""""&amp;IF(VLOOKUP(INDIRECT("L7"),Abilities,3,FALSE)="","",", ApplyToWeaponSlot=eInvSlot_"&amp;VLOOKUP(INDIRECT("L7"),Abilities,3,FALSE))&amp;"), \\")</f>
        <v>\\</v>
      </c>
      <c r="B79" s="234" t="s">
        <v>340</v>
      </c>
      <c r="C79" s="234"/>
      <c r="D79" s="234"/>
      <c r="E79" s="248" t="str">
        <f ca="1">IF(INDIRECT("V34")&lt;&gt;"","RandomNickNames[30]="""&amp;INDIRECT("V34")&amp;"""","")</f>
        <v>RandomNickNames[30]="Whoopsie"</v>
      </c>
      <c r="F79" s="234" t="s">
        <v>340</v>
      </c>
      <c r="G79" s="234"/>
      <c r="H79" s="234"/>
      <c r="I79" s="234"/>
      <c r="J79" s="234"/>
    </row>
    <row r="80" spans="1:10" x14ac:dyDescent="0.25">
      <c r="A80" s="240" t="s">
        <v>337</v>
      </c>
      <c r="B80" s="234" t="s">
        <v>340</v>
      </c>
      <c r="C80" s="234"/>
      <c r="D80" s="234"/>
      <c r="E80" s="248" t="str">
        <f ca="1">IF(INDIRECT("V35")&lt;&gt;"","RandomNickNames[31]="""&amp;INDIRECT("V35")&amp;"""","")</f>
        <v>RandomNickNames[31]="Zulu"</v>
      </c>
      <c r="F80" s="234" t="s">
        <v>340</v>
      </c>
      <c r="G80" s="234"/>
      <c r="H80" s="234"/>
      <c r="I80" s="234"/>
      <c r="J80" s="234"/>
    </row>
    <row r="81" spans="1:10" x14ac:dyDescent="0.25">
      <c r="A81" s="240"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aStatProgression=((StatType=eStat_Offense,StatAmount=5), (StatType=eStat_HP,StatAmount=0), (StatType=eStat_Hacking,StatAmount=0), (StatType=eStat_CombatSims,StatAmount=1), (StatType=eStat_Will,StatAmount=3)),\\</v>
      </c>
      <c r="B81" s="234" t="s">
        <v>340</v>
      </c>
      <c r="C81" s="234"/>
      <c r="D81" s="234"/>
      <c r="E81" s="248" t="str">
        <f>"; Male Nicknames"</f>
        <v>; Male Nicknames</v>
      </c>
      <c r="F81" s="234" t="s">
        <v>340</v>
      </c>
      <c r="G81" s="234"/>
      <c r="H81" s="234"/>
      <c r="I81" s="234"/>
      <c r="J81" s="234"/>
    </row>
    <row r="82" spans="1:10" x14ac:dyDescent="0.25">
      <c r="A82" s="240" t="s">
        <v>338</v>
      </c>
      <c r="B82" s="234" t="s">
        <v>340</v>
      </c>
      <c r="C82" s="234"/>
      <c r="D82" s="234"/>
      <c r="E82" s="248" t="str">
        <f ca="1">IF(INDIRECT("X4")&lt;&gt;"","RandomNickNames_Male[0]="""&amp;INDIRECT("X4")&amp;"""","")</f>
        <v>RandomNickNames_Male[0]="Candyman"</v>
      </c>
      <c r="F82" s="234" t="s">
        <v>340</v>
      </c>
      <c r="G82" s="234"/>
      <c r="H82" s="234"/>
      <c r="I82" s="234"/>
      <c r="J82" s="234"/>
    </row>
    <row r="83" spans="1:10" x14ac:dyDescent="0.25">
      <c r="A83" s="240" t="str">
        <f>"; lance corporal"</f>
        <v>; lance corporal</v>
      </c>
      <c r="B83" s="234" t="s">
        <v>340</v>
      </c>
      <c r="C83" s="234"/>
      <c r="D83" s="234"/>
      <c r="E83" s="248" t="str">
        <f ca="1">IF(INDIRECT("X5")&lt;&gt;"","RandomNickNames_Male[1]="""&amp;INDIRECT("X5")&amp;"""","")</f>
        <v>RandomNickNames_Male[1]="Magic Man"</v>
      </c>
      <c r="F83" s="234" t="s">
        <v>340</v>
      </c>
      <c r="G83" s="234"/>
      <c r="H83" s="234"/>
      <c r="I83" s="234"/>
      <c r="J83" s="234"/>
    </row>
    <row r="84" spans="1:10" x14ac:dyDescent="0.25">
      <c r="A84" s="240" t="str">
        <f ca="1">"+SoldierRanks=(  aAbilityTree=( (AbilityName="""&amp;VLOOKUP(INDIRECT("F13"),Abilities,2,FALSE)&amp;""""&amp;IF(VLOOKUP(INDIRECT("F13"),Abilities,3,FALSE)="","",", ApplyToWeaponSlot=eInvSlot_"&amp;VLOOKUP(INDIRECT("F13"),Abilities,3,FALSE))&amp;"), \\"</f>
        <v>+SoldierRanks=(  aAbilityTree=( (AbilityName="SnapShot", ApplyToWeaponSlot=eInvSlot_PrimaryWeapon), \\</v>
      </c>
      <c r="B84" s="234" t="s">
        <v>340</v>
      </c>
      <c r="C84" s="234"/>
      <c r="D84" s="234"/>
      <c r="E84" s="248" t="str">
        <f ca="1">IF(INDIRECT("X6")&lt;&gt;"","RandomNickNames_Male[2]="""&amp;INDIRECT("X6")&amp;"""","")</f>
        <v>RandomNickNames_Male[2]="Priest"</v>
      </c>
      <c r="F84" s="234" t="s">
        <v>340</v>
      </c>
      <c r="G84" s="234"/>
      <c r="H84" s="234"/>
      <c r="I84" s="234"/>
      <c r="J84" s="234"/>
    </row>
    <row r="85" spans="1:10" x14ac:dyDescent="0.25">
      <c r="A85" s="240" t="str">
        <f ca="1">IF(INDIRECT("I13")="","\\","(AbilityName="""&amp;VLOOKUP(INDIRECT("I13"),Abilities,2,FALSE)&amp;""""&amp;IF(VLOOKUP(INDIRECT("I13"),Abilities,3,FALSE)="","",", ApplyToWeaponSlot=eInvSlot_"&amp;VLOOKUP(INDIRECT("I13"),Abilities,3,FALSE))&amp;"), \\")</f>
        <v>(AbilityName=" "), \\</v>
      </c>
      <c r="B85" s="234" t="s">
        <v>340</v>
      </c>
      <c r="C85" s="234"/>
      <c r="D85" s="234"/>
      <c r="E85" s="248" t="str">
        <f ca="1">IF(INDIRECT("X7")&lt;&gt;"","RandomNickNames_Male[3]="""&amp;INDIRECT("X7")&amp;"""","")</f>
        <v>RandomNickNames_Male[3]="Rainman"</v>
      </c>
      <c r="F85" s="234" t="s">
        <v>340</v>
      </c>
      <c r="G85" s="234"/>
      <c r="H85" s="234"/>
      <c r="I85" s="234"/>
      <c r="J85" s="234"/>
    </row>
    <row r="86" spans="1:10" x14ac:dyDescent="0.25">
      <c r="A86" s="240" t="str">
        <f ca="1">IF(INDIRECT("L13")="","\\","(AbilityName="""&amp;VLOOKUP(INDIRECT("L13"),Abilities,2,FALSE)&amp;""""&amp;IF(VLOOKUP(INDIRECT("L13"),Abilities,3,FALSE)="","",", ApplyToWeaponSlot=eInvSlot_"&amp;VLOOKUP(INDIRECT("L13"),Abilities,3,FALSE))&amp;"), \\")</f>
        <v>(AbilityName="ShadowOps_Reposition", ApplyToWeaponSlot=eInvSlot_PrimaryWeapon), \\</v>
      </c>
      <c r="B86" s="234" t="s">
        <v>340</v>
      </c>
      <c r="C86" s="234"/>
      <c r="D86" s="234"/>
      <c r="E86" s="248" t="str">
        <f ca="1">IF(INDIRECT("X8")&lt;&gt;"","RandomNickNames_Male[4]="""&amp;INDIRECT("X8")&amp;"""","")</f>
        <v>RandomNickNames_Male[4]="Rooster"</v>
      </c>
      <c r="F86" s="234" t="s">
        <v>340</v>
      </c>
      <c r="G86" s="234"/>
      <c r="H86" s="234"/>
      <c r="I86" s="234"/>
      <c r="J86" s="234"/>
    </row>
    <row r="87" spans="1:10" x14ac:dyDescent="0.25">
      <c r="A87" s="240" t="s">
        <v>337</v>
      </c>
      <c r="B87" s="234" t="s">
        <v>340</v>
      </c>
      <c r="C87" s="234"/>
      <c r="D87" s="234"/>
      <c r="E87" s="248" t="str">
        <f>"; Female Nicknames"</f>
        <v>; Female Nicknames</v>
      </c>
      <c r="F87" s="234" t="s">
        <v>340</v>
      </c>
      <c r="G87" s="234"/>
      <c r="H87" s="234"/>
      <c r="I87" s="234"/>
      <c r="J87" s="234"/>
    </row>
    <row r="88" spans="1:10" x14ac:dyDescent="0.25">
      <c r="A88" s="240"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aStatProgression=((StatType=eStat_Offense,StatAmount=4), (StatType=eStat_HP,StatAmount=1), (StatType=eStat_Hacking,StatAmount=0), (StatType=eStat_Will,StatAmount=3)),\\</v>
      </c>
      <c r="B88" s="234" t="s">
        <v>340</v>
      </c>
      <c r="C88" s="234"/>
      <c r="D88" s="234"/>
      <c r="E88" s="248" t="str">
        <f ca="1">IF(INDIRECT("X10")&lt;&gt;"","RandomNickNames_Female[0]="""&amp;INDIRECT("X10")&amp;"""","")</f>
        <v>RandomNickNames_Female[0]="Priestess"</v>
      </c>
      <c r="F88" s="234" t="s">
        <v>340</v>
      </c>
      <c r="G88" s="234"/>
      <c r="H88" s="234"/>
      <c r="I88" s="234"/>
      <c r="J88" s="234"/>
    </row>
    <row r="89" spans="1:10" x14ac:dyDescent="0.25">
      <c r="A89" s="240" t="s">
        <v>338</v>
      </c>
      <c r="B89" s="234" t="s">
        <v>340</v>
      </c>
      <c r="C89" s="234"/>
      <c r="D89" s="234"/>
      <c r="E89" s="248" t="str">
        <f ca="1">IF(INDIRECT("X11")&lt;&gt;"","RandomNickNames_Female[1]="""&amp;INDIRECT("X11")&amp;"""","")</f>
        <v>RandomNickNames_Female[1]="Wolfmother"</v>
      </c>
      <c r="F89" s="234" t="s">
        <v>340</v>
      </c>
      <c r="G89" s="234"/>
      <c r="H89" s="234"/>
      <c r="I89" s="234"/>
      <c r="J89" s="234"/>
    </row>
    <row r="90" spans="1:10" x14ac:dyDescent="0.25">
      <c r="A90" s="240" t="str">
        <f>"; corporal"</f>
        <v>; corporal</v>
      </c>
      <c r="B90" s="234" t="s">
        <v>340</v>
      </c>
      <c r="C90" s="234"/>
      <c r="D90" s="234"/>
      <c r="E90" s="248" t="str">
        <f ca="1">IF(INDIRECT("X12")&lt;&gt;"","RandomNickNames_Female[2]="""&amp;INDIRECT("X12")&amp;"""","")</f>
        <v>RandomNickNames_Female[2]="Black Widow"</v>
      </c>
      <c r="F90" s="234" t="s">
        <v>340</v>
      </c>
      <c r="G90" s="234"/>
      <c r="H90" s="234"/>
      <c r="I90" s="234"/>
      <c r="J90" s="234"/>
    </row>
    <row r="91" spans="1:10" x14ac:dyDescent="0.25">
      <c r="A91" s="240" t="str">
        <f ca="1">"+SoldierRanks=(  aAbilityTree=( (AbilityName="""&amp;VLOOKUP(INDIRECT("F17"),Abilities,2,FALSE)&amp;""""&amp;IF(VLOOKUP(INDIRECT("F17"),Abilities,3,FALSE)="","",", ApplyToWeaponSlot=eInvSlot_"&amp;VLOOKUP(INDIRECT("F17"),Abilities,3,FALSE))&amp;"), \\"</f>
        <v>+SoldierRanks=(  aAbilityTree=( (AbilityName=" "), \\</v>
      </c>
      <c r="B91" s="234" t="s">
        <v>340</v>
      </c>
      <c r="C91" s="234"/>
      <c r="D91" s="234"/>
      <c r="E91" s="248" t="str">
        <f ca="1">IF(INDIRECT("X13")&lt;&gt;"","RandomNickNames_Female[3]="""&amp;INDIRECT("X13")&amp;"""","")</f>
        <v>RandomNickNames_Female[3]="Duchess"</v>
      </c>
      <c r="F91" s="234" t="s">
        <v>340</v>
      </c>
      <c r="G91" s="234"/>
      <c r="H91" s="234"/>
      <c r="I91" s="234"/>
      <c r="J91" s="234"/>
    </row>
    <row r="92" spans="1:10" ht="15.75" thickBot="1" x14ac:dyDescent="0.3">
      <c r="A92" s="240" t="str">
        <f ca="1">IF(INDIRECT("I17")="","\\","(AbilityName="""&amp;VLOOKUP(INDIRECT("I17"),Abilities,2,FALSE)&amp;""""&amp;IF(VLOOKUP(INDIRECT("I17"),Abilities,3,FALSE)="","",", ApplyToWeaponSlot=eInvSlot_"&amp;VLOOKUP(INDIRECT("I17"),Abilities,3,FALSE))&amp;"), \\")</f>
        <v>(AbilityName="ShadowOps_FirstStrike", ApplyToWeaponSlot=eInvSlot_PrimaryWeapon), \\</v>
      </c>
      <c r="B92" s="234" t="s">
        <v>340</v>
      </c>
      <c r="C92" s="234"/>
      <c r="D92" s="234"/>
      <c r="E92" s="249" t="str">
        <f ca="1">IF(INDIRECT("X14")&lt;&gt;"","RandomNickNames_Female[4]="""&amp;INDIRECT("X14")&amp;"""","")</f>
        <v>RandomNickNames_Female[4]="Queen"</v>
      </c>
      <c r="F92" s="234" t="s">
        <v>340</v>
      </c>
      <c r="G92" s="234"/>
      <c r="H92" s="234"/>
      <c r="I92" s="234"/>
      <c r="J92" s="234"/>
    </row>
    <row r="93" spans="1:10" x14ac:dyDescent="0.25">
      <c r="A93" s="240" t="str">
        <f ca="1">IF(INDIRECT("L17")="","\\","(AbilityName="""&amp;VLOOKUP(INDIRECT("L17"),Abilities,2,FALSE)&amp;""""&amp;IF(VLOOKUP(INDIRECT("L17"),Abilities,3,FALSE)="","",", ApplyToWeaponSlot=eInvSlot_"&amp;VLOOKUP(INDIRECT("L17"),Abilities,3,FALSE))&amp;"), \\")</f>
        <v>(AbilityName=" "), \\</v>
      </c>
      <c r="B93" s="234" t="s">
        <v>340</v>
      </c>
      <c r="C93" s="234"/>
      <c r="D93" s="234"/>
      <c r="E93" s="234"/>
      <c r="F93" s="234"/>
      <c r="G93" s="234"/>
      <c r="H93" s="234"/>
      <c r="I93" s="234"/>
      <c r="J93" s="234"/>
    </row>
    <row r="94" spans="1:10" x14ac:dyDescent="0.25">
      <c r="A94" s="240" t="s">
        <v>337</v>
      </c>
      <c r="B94" s="234" t="s">
        <v>340</v>
      </c>
      <c r="C94" s="234"/>
      <c r="D94" s="234"/>
      <c r="E94" s="234"/>
      <c r="F94" s="234"/>
      <c r="G94" s="234"/>
      <c r="H94" s="234"/>
      <c r="I94" s="234"/>
      <c r="J94" s="234"/>
    </row>
    <row r="95" spans="1:10" x14ac:dyDescent="0.25">
      <c r="A95" s="240"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aStatProgression=((StatType=eStat_Offense,StatAmount=4), (StatType=eStat_HP,StatAmount=0), (StatType=eStat_Hacking,StatAmount=0)),\\</v>
      </c>
      <c r="B95" s="234" t="s">
        <v>340</v>
      </c>
      <c r="C95" s="234"/>
      <c r="D95" s="234"/>
      <c r="E95" s="234"/>
      <c r="F95" s="234"/>
      <c r="G95" s="234"/>
      <c r="H95" s="234"/>
      <c r="I95" s="234"/>
      <c r="J95" s="234"/>
    </row>
    <row r="96" spans="1:10" x14ac:dyDescent="0.25">
      <c r="A96" s="240" t="s">
        <v>338</v>
      </c>
      <c r="B96" s="234" t="s">
        <v>340</v>
      </c>
      <c r="C96" s="234"/>
      <c r="D96" s="234"/>
      <c r="E96" s="234"/>
      <c r="F96" s="234"/>
      <c r="G96" s="234"/>
      <c r="H96" s="234"/>
      <c r="I96" s="234"/>
      <c r="J96" s="234"/>
    </row>
    <row r="97" spans="1:10" x14ac:dyDescent="0.25">
      <c r="A97" s="240" t="str">
        <f>"; sergeant"</f>
        <v>; sergeant</v>
      </c>
      <c r="B97" s="234" t="s">
        <v>340</v>
      </c>
      <c r="C97" s="234"/>
      <c r="D97" s="234"/>
      <c r="E97" s="234"/>
      <c r="F97" s="234"/>
      <c r="G97" s="234"/>
      <c r="H97" s="234"/>
      <c r="I97" s="234"/>
      <c r="J97" s="234"/>
    </row>
    <row r="98" spans="1:10" x14ac:dyDescent="0.25">
      <c r="A98" s="240" t="str">
        <f ca="1">"+SoldierRanks=(  aAbilityTree=( (AbilityName="""&amp;VLOOKUP(INDIRECT("F21"),Abilities,2,FALSE)&amp;""""&amp;IF(VLOOKUP(INDIRECT("F21"),Abilities,3,FALSE)="","",", ApplyToWeaponSlot=eInvSlot_"&amp;VLOOKUP(INDIRECT("F21"),Abilities,3,FALSE))&amp;"), \\"</f>
        <v>+SoldierRanks=(  aAbilityTree=( (AbilityName="ShadowOps_Stalker"), \\</v>
      </c>
      <c r="B98" s="234" t="s">
        <v>340</v>
      </c>
      <c r="C98" s="234"/>
      <c r="D98" s="234"/>
      <c r="E98" s="234"/>
      <c r="F98" s="234"/>
      <c r="G98" s="234"/>
      <c r="H98" s="234"/>
      <c r="I98" s="234"/>
      <c r="J98" s="234"/>
    </row>
    <row r="99" spans="1:10" x14ac:dyDescent="0.25">
      <c r="A99" s="240" t="str">
        <f ca="1">IF(INDIRECT("I21")="","\\","(AbilityName="""&amp;VLOOKUP(INDIRECT("I21"),Abilities,2,FALSE)&amp;""""&amp;IF(VLOOKUP(INDIRECT("I21"),Abilities,3,FALSE)="","",", ApplyToWeaponSlot=eInvSlot_"&amp;VLOOKUP(INDIRECT("I21"),Abilities,3,FALSE))&amp;"), \\")</f>
        <v>(AbilityName=" "), \\</v>
      </c>
      <c r="B99" s="234" t="s">
        <v>340</v>
      </c>
      <c r="C99" s="234"/>
      <c r="D99" s="234"/>
      <c r="E99" s="234"/>
      <c r="F99" s="234"/>
      <c r="G99" s="234"/>
      <c r="H99" s="234"/>
      <c r="I99" s="234"/>
      <c r="J99" s="234"/>
    </row>
    <row r="100" spans="1:10" x14ac:dyDescent="0.25">
      <c r="A100" s="240" t="str">
        <f ca="1">IF(INDIRECT("L21")="","\\","(AbilityName="""&amp;VLOOKUP(INDIRECT("L21"),Abilities,2,FALSE)&amp;""""&amp;IF(VLOOKUP(INDIRECT("L21"),Abilities,3,FALSE)="","",", ApplyToWeaponSlot=eInvSlot_"&amp;VLOOKUP(INDIRECT("L21"),Abilities,3,FALSE))&amp;"), \\")</f>
        <v>(AbilityName="Blademaster", ApplyToWeaponSlot=eInvSlot_SecondaryWeapon), \\</v>
      </c>
      <c r="B100" s="234" t="s">
        <v>340</v>
      </c>
      <c r="C100" s="234"/>
      <c r="D100" s="234"/>
      <c r="E100" s="234"/>
      <c r="F100" s="234"/>
      <c r="G100" s="234"/>
      <c r="H100" s="234"/>
      <c r="I100" s="234"/>
      <c r="J100" s="234"/>
    </row>
    <row r="101" spans="1:10" x14ac:dyDescent="0.25">
      <c r="A101" s="240" t="s">
        <v>337</v>
      </c>
      <c r="B101" s="234" t="s">
        <v>340</v>
      </c>
      <c r="C101" s="234"/>
      <c r="D101" s="234"/>
      <c r="E101" s="234"/>
      <c r="F101" s="234"/>
      <c r="G101" s="234"/>
      <c r="H101" s="234"/>
      <c r="I101" s="234"/>
      <c r="J101" s="234"/>
    </row>
    <row r="102" spans="1:10" x14ac:dyDescent="0.25">
      <c r="A102" s="240"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aStatProgression=((StatType=eStat_Offense,StatAmount=3), (StatType=eStat_HP,StatAmount=0), (StatType=eStat_Hacking,StatAmount=0)),\\</v>
      </c>
      <c r="B102" s="234" t="s">
        <v>340</v>
      </c>
      <c r="C102" s="234"/>
      <c r="D102" s="234"/>
      <c r="E102" s="234"/>
      <c r="F102" s="234"/>
      <c r="G102" s="234"/>
      <c r="H102" s="234"/>
      <c r="I102" s="234"/>
      <c r="J102" s="234"/>
    </row>
    <row r="103" spans="1:10" x14ac:dyDescent="0.25">
      <c r="A103" s="240" t="s">
        <v>338</v>
      </c>
      <c r="B103" s="234" t="s">
        <v>340</v>
      </c>
      <c r="C103" s="234"/>
      <c r="D103" s="234"/>
      <c r="E103" s="234"/>
      <c r="F103" s="234"/>
      <c r="G103" s="234"/>
      <c r="H103" s="234"/>
      <c r="I103" s="234"/>
      <c r="J103" s="234"/>
    </row>
    <row r="104" spans="1:10" x14ac:dyDescent="0.25">
      <c r="A104" s="240" t="str">
        <f>"; staff sergeant"</f>
        <v>; staff sergeant</v>
      </c>
      <c r="B104" s="234" t="s">
        <v>340</v>
      </c>
      <c r="C104" s="234"/>
      <c r="D104" s="234"/>
      <c r="E104" s="234"/>
      <c r="F104" s="234"/>
      <c r="G104" s="234"/>
      <c r="H104" s="234"/>
      <c r="I104" s="234"/>
      <c r="J104" s="234"/>
    </row>
    <row r="105" spans="1:10" x14ac:dyDescent="0.25">
      <c r="A105" s="240" t="str">
        <f ca="1">"+SoldierRanks=(  aAbilityTree=( (AbilityName="""&amp;VLOOKUP(INDIRECT("F25"),Abilities,2,FALSE)&amp;""""&amp;IF(VLOOKUP(INDIRECT("F25"),Abilities,3,FALSE)="","",", ApplyToWeaponSlot=eInvSlot_"&amp;VLOOKUP(INDIRECT("F25"),Abilities,3,FALSE))&amp;"), \\"</f>
        <v>+SoldierRanks=(  aAbilityTree=( (AbilityName="ShadowOps_Bullseye", ApplyToWeaponSlot=eInvSlot_PrimaryWeapon), \\</v>
      </c>
      <c r="B105" s="234" t="s">
        <v>340</v>
      </c>
      <c r="C105" s="234"/>
      <c r="D105" s="234"/>
      <c r="E105" s="234"/>
      <c r="F105" s="234"/>
      <c r="G105" s="234"/>
      <c r="H105" s="234"/>
      <c r="I105" s="234"/>
      <c r="J105" s="234"/>
    </row>
    <row r="106" spans="1:10" x14ac:dyDescent="0.25">
      <c r="A106" s="240" t="str">
        <f ca="1">IF(INDIRECT("I25")="","\\","(AbilityName="""&amp;VLOOKUP(INDIRECT("I25"),Abilities,2,FALSE)&amp;""""&amp;IF(VLOOKUP(INDIRECT("I25"),Abilities,3,FALSE)="","",", ApplyToWeaponSlot=eInvSlot_"&amp;VLOOKUP(INDIRECT("I25"),Abilities,3,FALSE))&amp;"), \\")</f>
        <v>(AbilityName=" "), \\</v>
      </c>
      <c r="B106" s="234" t="s">
        <v>340</v>
      </c>
      <c r="C106" s="234"/>
      <c r="D106" s="234"/>
      <c r="E106" s="234"/>
      <c r="F106" s="234"/>
      <c r="G106" s="234"/>
      <c r="H106" s="234"/>
      <c r="I106" s="234"/>
      <c r="J106" s="234"/>
    </row>
    <row r="107" spans="1:10" x14ac:dyDescent="0.25">
      <c r="A107" s="240" t="str">
        <f ca="1">IF(INDIRECT("L25")="","\\","(AbilityName="""&amp;VLOOKUP(INDIRECT("L25"),Abilities,2,FALSE)&amp;""""&amp;IF(VLOOKUP(INDIRECT("L25"),Abilities,3,FALSE)="","",", ApplyToWeaponSlot=eInvSlot_"&amp;VLOOKUP(INDIRECT("L25"),Abilities,3,FALSE))&amp;"), \\")</f>
        <v>(AbilityName="ShadowOps_Tracking"), \\</v>
      </c>
      <c r="B107" s="234" t="s">
        <v>340</v>
      </c>
      <c r="C107" s="234"/>
      <c r="D107" s="234"/>
      <c r="E107" s="234"/>
      <c r="F107" s="234"/>
      <c r="G107" s="234"/>
      <c r="H107" s="234"/>
      <c r="I107" s="234"/>
      <c r="J107" s="234"/>
    </row>
    <row r="108" spans="1:10" x14ac:dyDescent="0.25">
      <c r="A108" s="240" t="s">
        <v>337</v>
      </c>
      <c r="B108" s="234" t="s">
        <v>340</v>
      </c>
      <c r="C108" s="234"/>
      <c r="D108" s="234"/>
      <c r="E108" s="234"/>
      <c r="F108" s="234"/>
      <c r="G108" s="234"/>
      <c r="H108" s="234"/>
      <c r="I108" s="234"/>
      <c r="J108" s="234"/>
    </row>
    <row r="109" spans="1:10" x14ac:dyDescent="0.25">
      <c r="A109" s="240"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(StatType=eStat_HP,StatAmount=1), (StatType=eStat_Hacking,StatAmount=0)),\\</v>
      </c>
      <c r="B109" s="234" t="s">
        <v>340</v>
      </c>
      <c r="C109" s="234"/>
      <c r="D109" s="234"/>
      <c r="E109" s="234"/>
      <c r="F109" s="234"/>
      <c r="G109" s="234"/>
      <c r="H109" s="234"/>
      <c r="I109" s="234"/>
      <c r="J109" s="234"/>
    </row>
    <row r="110" spans="1:10" x14ac:dyDescent="0.25">
      <c r="A110" s="240" t="s">
        <v>338</v>
      </c>
      <c r="B110" s="234" t="s">
        <v>340</v>
      </c>
      <c r="C110" s="234"/>
      <c r="D110" s="234"/>
      <c r="E110" s="234"/>
      <c r="F110" s="234"/>
      <c r="G110" s="234"/>
      <c r="H110" s="234"/>
      <c r="I110" s="234"/>
      <c r="J110" s="234"/>
    </row>
    <row r="111" spans="1:10" x14ac:dyDescent="0.25">
      <c r="A111" s="240" t="str">
        <f>"; tech sergeant"</f>
        <v>; tech sergeant</v>
      </c>
      <c r="B111" s="234" t="s">
        <v>340</v>
      </c>
      <c r="C111" s="234"/>
      <c r="D111" s="234"/>
      <c r="E111" s="234"/>
      <c r="F111" s="234"/>
      <c r="G111" s="234"/>
      <c r="H111" s="234"/>
      <c r="I111" s="234"/>
      <c r="J111" s="234"/>
    </row>
    <row r="112" spans="1:10" x14ac:dyDescent="0.25">
      <c r="A112" s="240" t="str">
        <f ca="1">"+SoldierRanks=(  aAbilityTree=( (AbilityName="""&amp;VLOOKUP(INDIRECT("F29"),Abilities,2,FALSE)&amp;""""&amp;IF(VLOOKUP(INDIRECT("F29"),Abilities,3,FALSE)="","",", ApplyToWeaponSlot=eInvSlot_"&amp;VLOOKUP(INDIRECT("F29"),Abilities,3,FALSE))&amp;"), \\"</f>
        <v>+SoldierRanks=(  aAbilityTree=( (AbilityName="ShadowOps_Precision"), \\</v>
      </c>
      <c r="B112" s="234" t="s">
        <v>340</v>
      </c>
      <c r="C112" s="234"/>
      <c r="D112" s="234"/>
      <c r="E112" s="234"/>
      <c r="F112" s="234"/>
      <c r="G112" s="234"/>
      <c r="H112" s="234"/>
      <c r="I112" s="234"/>
      <c r="J112" s="234"/>
    </row>
    <row r="113" spans="1:10" x14ac:dyDescent="0.25">
      <c r="A113" s="240" t="str">
        <f ca="1">IF(INDIRECT("I29")="","\\","(AbilityName="""&amp;VLOOKUP(INDIRECT("I29"),Abilities,2,FALSE)&amp;""""&amp;IF(VLOOKUP(INDIRECT("I29"),Abilities,3,FALSE)="","",", ApplyToWeaponSlot=eInvSlot_"&amp;VLOOKUP(INDIRECT("I29"),Abilities,3,FALSE))&amp;"), \\")</f>
        <v>(AbilityName=" "), \\</v>
      </c>
      <c r="B113" s="234" t="s">
        <v>340</v>
      </c>
      <c r="C113" s="234"/>
      <c r="D113" s="234"/>
      <c r="E113" s="234"/>
      <c r="F113" s="234"/>
      <c r="G113" s="234"/>
      <c r="H113" s="234"/>
      <c r="I113" s="234"/>
      <c r="J113" s="234"/>
    </row>
    <row r="114" spans="1:10" x14ac:dyDescent="0.25">
      <c r="A114" s="240" t="str">
        <f ca="1">IF(INDIRECT("L29")="","\\","(AbilityName="""&amp;VLOOKUP(INDIRECT("L29"),Abilities,2,FALSE)&amp;""""&amp;IF(VLOOKUP(INDIRECT("L29"),Abilities,3,FALSE)="","",", ApplyToWeaponSlot=eInvSlot_"&amp;VLOOKUP(INDIRECT("L29"),Abilities,3,FALSE))&amp;"), \\")</f>
        <v>(AbilityName="LowProfile"), \\</v>
      </c>
      <c r="B114" s="234" t="s">
        <v>340</v>
      </c>
      <c r="C114" s="234"/>
      <c r="D114" s="234"/>
      <c r="E114" s="234"/>
      <c r="F114" s="234"/>
      <c r="G114" s="234"/>
      <c r="H114" s="234"/>
      <c r="I114" s="234"/>
      <c r="J114" s="234"/>
    </row>
    <row r="115" spans="1:10" x14ac:dyDescent="0.25">
      <c r="A115" s="240" t="s">
        <v>337</v>
      </c>
      <c r="B115" s="234" t="s">
        <v>340</v>
      </c>
      <c r="C115" s="234"/>
      <c r="D115" s="234"/>
      <c r="E115" s="234"/>
      <c r="F115" s="234"/>
      <c r="G115" s="234"/>
      <c r="H115" s="234"/>
      <c r="I115" s="234"/>
      <c r="J115" s="234"/>
    </row>
    <row r="116" spans="1:10" x14ac:dyDescent="0.25">
      <c r="A116" s="240"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aStatProgression=((StatType=eStat_Offense,StatAmount=3), (StatType=eStat_HP,StatAmount=0), (StatType=eStat_Hacking,StatAmount=0)),\\</v>
      </c>
      <c r="B116" s="234" t="s">
        <v>340</v>
      </c>
      <c r="C116" s="234"/>
      <c r="D116" s="234"/>
      <c r="E116" s="234"/>
      <c r="F116" s="234"/>
      <c r="G116" s="234"/>
      <c r="H116" s="234"/>
      <c r="I116" s="234"/>
      <c r="J116" s="234"/>
    </row>
    <row r="117" spans="1:10" x14ac:dyDescent="0.25">
      <c r="A117" s="240" t="s">
        <v>338</v>
      </c>
      <c r="B117" s="234" t="s">
        <v>340</v>
      </c>
      <c r="C117" s="234"/>
      <c r="D117" s="234"/>
      <c r="E117" s="234"/>
      <c r="F117" s="234"/>
      <c r="G117" s="234"/>
      <c r="H117" s="234"/>
      <c r="I117" s="234"/>
      <c r="J117" s="234"/>
    </row>
    <row r="118" spans="1:10" x14ac:dyDescent="0.25">
      <c r="A118" s="240" t="str">
        <f>";  gunnery sergeant"</f>
        <v>;  gunnery sergeant</v>
      </c>
      <c r="B118" s="234" t="s">
        <v>340</v>
      </c>
      <c r="C118" s="234"/>
      <c r="D118" s="234"/>
      <c r="E118" s="234"/>
      <c r="F118" s="234"/>
      <c r="G118" s="234"/>
      <c r="H118" s="234"/>
      <c r="I118" s="234"/>
      <c r="J118" s="234"/>
    </row>
    <row r="119" spans="1:10" x14ac:dyDescent="0.25">
      <c r="A119" s="240" t="str">
        <f ca="1">"+SoldierRanks=(  aAbilityTree=( (AbilityName="""&amp;VLOOKUP(INDIRECT("F33"),Abilities,2,FALSE)&amp;""""&amp;IF(VLOOKUP(INDIRECT("F33"),Abilities,3,FALSE)="","",", ApplyToWeaponSlot=eInvSlot_"&amp;VLOOKUP(INDIRECT("F33"),Abilities,3,FALSE))&amp;"), \\"</f>
        <v>+SoldierRanks=(  aAbilityTree=( (AbilityName=" "), \\</v>
      </c>
      <c r="B119" s="234" t="s">
        <v>340</v>
      </c>
      <c r="C119" s="234"/>
      <c r="D119" s="234"/>
      <c r="E119" s="234"/>
      <c r="F119" s="234"/>
      <c r="G119" s="234"/>
      <c r="H119" s="234"/>
      <c r="I119" s="234"/>
      <c r="J119" s="234"/>
    </row>
    <row r="120" spans="1:10" x14ac:dyDescent="0.25">
      <c r="A120" s="240" t="str">
        <f ca="1">IF(INDIRECT("I33")="","\\","(AbilityName="""&amp;VLOOKUP(INDIRECT("I33"),Abilities,2,FALSE)&amp;""""&amp;IF(VLOOKUP(INDIRECT("I33"),Abilities,3,FALSE)="","",", ApplyToWeaponSlot=eInvSlot_"&amp;VLOOKUP(INDIRECT("I33"),Abilities,3,FALSE))&amp;"), \\")</f>
        <v>(AbilityName="ShadowOps_Assassin", ApplyToWeaponSlot=eInvSlot_PrimaryWeapon), \\</v>
      </c>
      <c r="B120" s="234" t="s">
        <v>340</v>
      </c>
      <c r="C120" s="234"/>
      <c r="D120" s="234"/>
      <c r="E120" s="234"/>
      <c r="F120" s="234"/>
      <c r="G120" s="234"/>
      <c r="H120" s="234"/>
      <c r="I120" s="234"/>
      <c r="J120" s="234"/>
    </row>
    <row r="121" spans="1:10" x14ac:dyDescent="0.25">
      <c r="A121" s="240" t="str">
        <f ca="1">IF(INDIRECT("L33")="","\\","(AbilityName="""&amp;VLOOKUP(INDIRECT("L33"),Abilities,2,FALSE)&amp;""""&amp;IF(VLOOKUP(INDIRECT("L33"),Abilities,3,FALSE)="","",", ApplyToWeaponSlot=eInvSlot_"&amp;VLOOKUP(INDIRECT("L33"),Abilities,3,FALSE))&amp;"), \\")</f>
        <v>(AbilityName=" "), \\</v>
      </c>
      <c r="B121" s="234" t="s">
        <v>340</v>
      </c>
      <c r="C121" s="234"/>
      <c r="D121" s="234"/>
      <c r="E121" s="234"/>
      <c r="F121" s="234"/>
      <c r="G121" s="234"/>
      <c r="H121" s="234"/>
      <c r="I121" s="234"/>
      <c r="J121" s="234"/>
    </row>
    <row r="122" spans="1:10" x14ac:dyDescent="0.25">
      <c r="A122" s="240" t="s">
        <v>337</v>
      </c>
      <c r="B122" s="234" t="s">
        <v>340</v>
      </c>
      <c r="C122" s="234"/>
      <c r="D122" s="234"/>
      <c r="E122" s="234"/>
      <c r="F122" s="234"/>
      <c r="G122" s="234"/>
      <c r="H122" s="234"/>
      <c r="I122" s="234"/>
      <c r="J122" s="234"/>
    </row>
    <row r="123" spans="1:10" x14ac:dyDescent="0.25">
      <c r="A123" s="240"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(StatType=eStat_HP,StatAmount=0), (StatType=eStat_Hacking,StatAmount=0)),\\</v>
      </c>
      <c r="B123" s="234" t="s">
        <v>340</v>
      </c>
      <c r="C123" s="234"/>
      <c r="D123" s="234"/>
      <c r="E123" s="234"/>
      <c r="F123" s="234"/>
      <c r="G123" s="234"/>
      <c r="H123" s="234"/>
      <c r="I123" s="234"/>
      <c r="J123" s="234"/>
    </row>
    <row r="124" spans="1:10" x14ac:dyDescent="0.25">
      <c r="A124" s="240" t="s">
        <v>338</v>
      </c>
      <c r="B124" s="234" t="s">
        <v>340</v>
      </c>
      <c r="C124" s="234"/>
      <c r="D124" s="234"/>
      <c r="E124" s="234"/>
      <c r="F124" s="234"/>
      <c r="G124" s="234"/>
      <c r="H124" s="234"/>
      <c r="I124" s="234"/>
      <c r="J124" s="234"/>
    </row>
    <row r="125" spans="1:10" x14ac:dyDescent="0.25">
      <c r="A125" s="240" t="str">
        <f>"; master sergeant"</f>
        <v>; master sergeant</v>
      </c>
      <c r="B125" s="234" t="s">
        <v>340</v>
      </c>
      <c r="C125" s="234"/>
      <c r="D125" s="234"/>
      <c r="E125" s="234"/>
      <c r="F125" s="234"/>
      <c r="G125" s="234"/>
      <c r="H125" s="234"/>
      <c r="I125" s="234"/>
      <c r="J125" s="234"/>
    </row>
    <row r="126" spans="1:10" x14ac:dyDescent="0.25">
      <c r="A126" s="240" t="str">
        <f ca="1">"+SoldierRanks=(  aAbilityTree=( (AbilityName="""&amp;VLOOKUP(INDIRECT("F37"),Abilities,2,FALSE)&amp;""""&amp;IF(VLOOKUP(INDIRECT("F37"),Abilities,3,FALSE)="","",", ApplyToWeaponSlot=eInvSlot_"&amp;VLOOKUP(INDIRECT("F37"),Abilities,3,FALSE))&amp;"), \\"</f>
        <v>+SoldierRanks=(  aAbilityTree=( (AbilityName="InTheZone", ApplyToWeaponSlot=eInvSlot_PrimaryWeapon), \\</v>
      </c>
      <c r="B126" s="234" t="s">
        <v>340</v>
      </c>
      <c r="C126" s="234"/>
      <c r="D126" s="234"/>
      <c r="E126" s="234"/>
      <c r="F126" s="234"/>
      <c r="G126" s="234"/>
      <c r="H126" s="234"/>
      <c r="I126" s="234"/>
      <c r="J126" s="234"/>
    </row>
    <row r="127" spans="1:10" x14ac:dyDescent="0.25">
      <c r="A127" s="240" t="str">
        <f ca="1">IF(INDIRECT("I37")="","\\","(AbilityName="""&amp;VLOOKUP(INDIRECT("I37"),Abilities,2,FALSE)&amp;""""&amp;IF(VLOOKUP(INDIRECT("I37"),Abilities,3,FALSE)="","",", ApplyToWeaponSlot=eInvSlot_"&amp;VLOOKUP(INDIRECT("I37"),Abilities,3,FALSE))&amp;"), \\")</f>
        <v>(AbilityName=" "), \\</v>
      </c>
      <c r="B127" s="234" t="s">
        <v>340</v>
      </c>
      <c r="C127" s="234"/>
      <c r="D127" s="234"/>
      <c r="E127" s="234"/>
      <c r="F127" s="234"/>
      <c r="G127" s="234"/>
      <c r="H127" s="234"/>
      <c r="I127" s="234"/>
      <c r="J127" s="234"/>
    </row>
    <row r="128" spans="1:10" x14ac:dyDescent="0.25">
      <c r="A128" s="240" t="str">
        <f ca="1">IF(INDIRECT("L37")="","\\","(AbilityName="""&amp;VLOOKUP(INDIRECT("L37"),Abilities,2,FALSE)&amp;""""&amp;IF(VLOOKUP(INDIRECT("L37"),Abilities,3,FALSE)="","",", ApplyToWeaponSlot=eInvSlot_"&amp;VLOOKUP(INDIRECT("L37"),Abilities,3,FALSE))&amp;"), \\")</f>
        <v>(AbilityName="ShadowOps_SliceAndDice", ApplyToWeaponSlot=eInvSlot_SecondaryWeapon), \\</v>
      </c>
      <c r="B128" s="234" t="s">
        <v>340</v>
      </c>
      <c r="C128" s="234"/>
      <c r="D128" s="234"/>
      <c r="E128" s="234"/>
      <c r="F128" s="234"/>
      <c r="G128" s="234"/>
      <c r="H128" s="234"/>
      <c r="I128" s="234"/>
      <c r="J128" s="234"/>
    </row>
    <row r="129" spans="1:10" x14ac:dyDescent="0.25">
      <c r="A129" s="240" t="s">
        <v>337</v>
      </c>
      <c r="B129" s="234" t="s">
        <v>340</v>
      </c>
      <c r="C129" s="234"/>
      <c r="D129" s="234"/>
      <c r="E129" s="234"/>
      <c r="F129" s="234"/>
      <c r="G129" s="234"/>
      <c r="H129" s="234"/>
      <c r="I129" s="234"/>
      <c r="J129" s="234"/>
    </row>
    <row r="130" spans="1:10" x14ac:dyDescent="0.25">
      <c r="A130" s="240"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aStatProgression=((StatType=eStat_Offense,StatAmount=3), (StatType=eStat_HP,StatAmount=1), (StatType=eStat_Hacking,StatAmount=0)),\\</v>
      </c>
      <c r="B130" s="234" t="s">
        <v>340</v>
      </c>
      <c r="C130" s="234"/>
      <c r="D130" s="234"/>
      <c r="E130" s="234"/>
      <c r="F130" s="234"/>
      <c r="G130" s="234"/>
      <c r="H130" s="234"/>
      <c r="I130" s="234"/>
      <c r="J130" s="234"/>
    </row>
    <row r="131" spans="1:10" ht="15.75" thickBot="1" x14ac:dyDescent="0.3">
      <c r="A131" s="241" t="s">
        <v>338</v>
      </c>
      <c r="B131" s="234" t="s">
        <v>340</v>
      </c>
      <c r="C131" s="234"/>
      <c r="D131" s="234"/>
      <c r="E131" s="234"/>
      <c r="F131" s="234"/>
      <c r="G131" s="234"/>
      <c r="H131" s="234"/>
      <c r="I131" s="234"/>
      <c r="J131" s="234"/>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I37:J37"/>
    <mergeCell ref="F17:G17"/>
    <mergeCell ref="I17:J17"/>
    <mergeCell ref="L17:M1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L37:M37"/>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A40:B41"/>
    <mergeCell ref="C40:E41"/>
    <mergeCell ref="A42:B42"/>
    <mergeCell ref="C42:D42"/>
    <mergeCell ref="E42:F42"/>
    <mergeCell ref="F38:H39"/>
    <mergeCell ref="I38:K39"/>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4689"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4690"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4691"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4692"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4693"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4694"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4695"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4696"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4697"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4698"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4699"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4700"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4701"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3"/>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90" t="s">
        <v>308</v>
      </c>
      <c r="B1" s="91"/>
      <c r="C1" s="94" t="s">
        <v>467</v>
      </c>
      <c r="D1" s="95"/>
      <c r="E1" s="95"/>
      <c r="F1" s="98" t="s">
        <v>324</v>
      </c>
      <c r="G1" s="99"/>
      <c r="H1" s="99"/>
      <c r="I1" s="99"/>
      <c r="J1" s="99"/>
      <c r="K1" s="99"/>
      <c r="L1" s="99"/>
      <c r="M1" s="99"/>
      <c r="N1" s="99"/>
      <c r="O1" s="100" t="s">
        <v>325</v>
      </c>
      <c r="P1" s="101"/>
      <c r="Q1" s="101"/>
      <c r="R1" s="101"/>
      <c r="S1" s="101"/>
      <c r="T1" s="101"/>
      <c r="U1" s="102"/>
      <c r="V1" s="196" t="s">
        <v>776</v>
      </c>
      <c r="W1" s="197"/>
      <c r="X1" s="197"/>
      <c r="Y1" s="197"/>
    </row>
    <row r="2" spans="1:25" ht="15" customHeight="1" thickBot="1" x14ac:dyDescent="0.3">
      <c r="A2" s="92"/>
      <c r="B2" s="93"/>
      <c r="C2" s="96"/>
      <c r="D2" s="97"/>
      <c r="E2" s="97"/>
      <c r="F2" s="98"/>
      <c r="G2" s="99"/>
      <c r="H2" s="99"/>
      <c r="I2" s="99"/>
      <c r="J2" s="99"/>
      <c r="K2" s="99"/>
      <c r="L2" s="99"/>
      <c r="M2" s="99"/>
      <c r="N2" s="99"/>
      <c r="O2" s="103"/>
      <c r="P2" s="104"/>
      <c r="Q2" s="104"/>
      <c r="R2" s="104"/>
      <c r="S2" s="104"/>
      <c r="T2" s="104"/>
      <c r="U2" s="105"/>
      <c r="V2" s="198"/>
      <c r="W2" s="199"/>
      <c r="X2" s="199"/>
      <c r="Y2" s="199"/>
    </row>
    <row r="3" spans="1:25" ht="18" thickBot="1" x14ac:dyDescent="0.35">
      <c r="A3" s="106" t="s">
        <v>309</v>
      </c>
      <c r="B3" s="107"/>
      <c r="C3" s="108" t="str">
        <f>Output!$L$1&amp;SUBSTITUTE(C1," ","")</f>
        <v>LWD_Marksman</v>
      </c>
      <c r="D3" s="109"/>
      <c r="E3" s="109"/>
      <c r="F3" s="110" t="s">
        <v>12</v>
      </c>
      <c r="G3" s="111"/>
      <c r="H3" s="111"/>
      <c r="I3" s="111"/>
      <c r="J3" s="111"/>
      <c r="K3" s="111"/>
      <c r="L3" s="111"/>
      <c r="M3" s="111"/>
      <c r="N3" s="112"/>
      <c r="O3" s="15"/>
      <c r="P3" s="16" t="s">
        <v>79</v>
      </c>
      <c r="Q3" s="17" t="s">
        <v>326</v>
      </c>
      <c r="R3" s="17" t="s">
        <v>328</v>
      </c>
      <c r="S3" s="17" t="s">
        <v>327</v>
      </c>
      <c r="T3" s="17" t="s">
        <v>330</v>
      </c>
      <c r="U3" s="18" t="s">
        <v>329</v>
      </c>
      <c r="V3" s="200" t="s">
        <v>810</v>
      </c>
      <c r="W3" s="201"/>
      <c r="X3" s="200" t="s">
        <v>811</v>
      </c>
      <c r="Y3" s="201"/>
    </row>
    <row r="4" spans="1:25" ht="18" thickTop="1" x14ac:dyDescent="0.3">
      <c r="A4" s="113" t="s">
        <v>310</v>
      </c>
      <c r="B4" s="114"/>
      <c r="C4" s="115" t="s">
        <v>314</v>
      </c>
      <c r="D4" s="116"/>
      <c r="E4" s="116"/>
      <c r="F4" s="119" t="s">
        <v>422</v>
      </c>
      <c r="G4" s="120"/>
      <c r="H4" s="4" t="str">
        <f>IFERROR(VLOOKUP(F4,Abilities,4,FALSE),"")</f>
        <v>LW2</v>
      </c>
      <c r="I4" s="121" t="s">
        <v>423</v>
      </c>
      <c r="J4" s="120"/>
      <c r="K4" s="35" t="str">
        <f>IFERROR(VLOOKUP(I4,Abilities,4,FALSE),"")</f>
        <v>LW2</v>
      </c>
      <c r="L4" s="122" t="s">
        <v>252</v>
      </c>
      <c r="M4" s="120"/>
      <c r="N4" s="10" t="str">
        <f>IFERROR(VLOOKUP(L4,Abilities,4,FALSE),"")</f>
        <v>LW2</v>
      </c>
      <c r="O4" s="19" t="s">
        <v>12</v>
      </c>
      <c r="P4" s="4">
        <v>3</v>
      </c>
      <c r="Q4" s="20">
        <v>0</v>
      </c>
      <c r="R4" s="20"/>
      <c r="S4" s="4">
        <v>0</v>
      </c>
      <c r="T4" s="4">
        <v>1</v>
      </c>
      <c r="U4" s="10"/>
      <c r="V4" s="192" t="s">
        <v>860</v>
      </c>
      <c r="W4" s="193"/>
      <c r="X4" s="192" t="s">
        <v>801</v>
      </c>
      <c r="Y4" s="193"/>
    </row>
    <row r="5" spans="1:25" ht="15" customHeight="1" x14ac:dyDescent="0.25">
      <c r="A5" s="6"/>
      <c r="B5" s="5" t="b">
        <v>1</v>
      </c>
      <c r="C5" s="117"/>
      <c r="D5" s="118"/>
      <c r="E5" s="118"/>
      <c r="F5" s="123">
        <f>IFERROR(VLOOKUP(F4,Abilities,7,FALSE),"")</f>
        <v>0</v>
      </c>
      <c r="G5" s="124"/>
      <c r="H5" s="125"/>
      <c r="I5" s="129">
        <f>IFERROR(VLOOKUP(I4,Abilities,7,FALSE),"")</f>
        <v>0</v>
      </c>
      <c r="J5" s="130"/>
      <c r="K5" s="131"/>
      <c r="L5" s="130">
        <f>IFERROR(VLOOKUP(L4,Abilities,7,FALSE),"")</f>
        <v>0</v>
      </c>
      <c r="M5" s="130"/>
      <c r="N5" s="135"/>
      <c r="O5" s="26" t="s">
        <v>456</v>
      </c>
      <c r="P5" s="27">
        <v>3</v>
      </c>
      <c r="Q5" s="28">
        <v>0</v>
      </c>
      <c r="R5" s="28"/>
      <c r="S5" s="27">
        <v>0</v>
      </c>
      <c r="T5" s="27"/>
      <c r="U5" s="29"/>
      <c r="V5" s="190" t="s">
        <v>821</v>
      </c>
      <c r="W5" s="191"/>
      <c r="X5" s="190" t="s">
        <v>802</v>
      </c>
      <c r="Y5" s="191"/>
    </row>
    <row r="6" spans="1:25" ht="15" customHeight="1" x14ac:dyDescent="0.25">
      <c r="A6" s="6"/>
      <c r="B6" s="5" t="b">
        <v>0</v>
      </c>
      <c r="C6" s="137" t="s">
        <v>315</v>
      </c>
      <c r="D6" s="138"/>
      <c r="E6" s="11">
        <v>0</v>
      </c>
      <c r="F6" s="126"/>
      <c r="G6" s="127"/>
      <c r="H6" s="128"/>
      <c r="I6" s="132"/>
      <c r="J6" s="133"/>
      <c r="K6" s="134"/>
      <c r="L6" s="133"/>
      <c r="M6" s="133"/>
      <c r="N6" s="136"/>
      <c r="O6" s="19" t="s">
        <v>15</v>
      </c>
      <c r="P6" s="4">
        <v>3</v>
      </c>
      <c r="Q6" s="20">
        <v>0</v>
      </c>
      <c r="R6" s="20"/>
      <c r="S6" s="4">
        <v>0</v>
      </c>
      <c r="T6" s="4"/>
      <c r="U6" s="10"/>
      <c r="V6" s="190" t="s">
        <v>778</v>
      </c>
      <c r="W6" s="191"/>
      <c r="X6" s="192" t="s">
        <v>803</v>
      </c>
      <c r="Y6" s="193"/>
    </row>
    <row r="7" spans="1:25" ht="15" customHeight="1" x14ac:dyDescent="0.25">
      <c r="A7" s="6"/>
      <c r="B7" s="5" t="b">
        <v>0</v>
      </c>
      <c r="C7" s="137" t="s">
        <v>316</v>
      </c>
      <c r="D7" s="138"/>
      <c r="E7" s="11">
        <v>4</v>
      </c>
      <c r="F7" s="139"/>
      <c r="G7" s="140"/>
      <c r="H7" s="4" t="str">
        <f>IFERROR(VLOOKUP(F7,Abilities,4,FALSE),"")</f>
        <v/>
      </c>
      <c r="I7" s="141"/>
      <c r="J7" s="140"/>
      <c r="K7" s="4" t="str">
        <f>IFERROR(VLOOKUP(I7,Abilities,4,FALSE),"")</f>
        <v/>
      </c>
      <c r="L7" s="142"/>
      <c r="M7" s="140"/>
      <c r="N7" s="10" t="str">
        <f>IFERROR(VLOOKUP(L7,Abilities,4,FALSE),"")</f>
        <v/>
      </c>
      <c r="O7" s="26" t="s">
        <v>21</v>
      </c>
      <c r="P7" s="27">
        <v>3</v>
      </c>
      <c r="Q7" s="28">
        <v>1</v>
      </c>
      <c r="R7" s="28"/>
      <c r="S7" s="27">
        <v>0</v>
      </c>
      <c r="T7" s="27"/>
      <c r="U7" s="29"/>
      <c r="V7" s="192" t="s">
        <v>779</v>
      </c>
      <c r="W7" s="193"/>
      <c r="X7" s="190" t="s">
        <v>804</v>
      </c>
      <c r="Y7" s="191"/>
    </row>
    <row r="8" spans="1:25" ht="15" customHeight="1" thickBot="1" x14ac:dyDescent="0.3">
      <c r="A8" s="6"/>
      <c r="B8" s="5" t="b">
        <v>1</v>
      </c>
      <c r="C8" s="137" t="s">
        <v>317</v>
      </c>
      <c r="D8" s="143"/>
      <c r="E8" s="12" t="s">
        <v>765</v>
      </c>
      <c r="F8" s="144" t="str">
        <f>IFERROR(VLOOKUP(F7,Abilities,7,FALSE),"")</f>
        <v/>
      </c>
      <c r="G8" s="130"/>
      <c r="H8" s="131"/>
      <c r="I8" s="129" t="str">
        <f>IFERROR(VLOOKUP(I7,Abilities,7,FALSE),"")</f>
        <v/>
      </c>
      <c r="J8" s="130"/>
      <c r="K8" s="131"/>
      <c r="L8" s="130" t="str">
        <f>IFERROR(VLOOKUP(L7,Abilities,7,FALSE),"")</f>
        <v/>
      </c>
      <c r="M8" s="130"/>
      <c r="N8" s="135"/>
      <c r="O8" s="21" t="s">
        <v>457</v>
      </c>
      <c r="P8" s="4">
        <v>3</v>
      </c>
      <c r="Q8" s="20">
        <v>0</v>
      </c>
      <c r="R8" s="20"/>
      <c r="S8" s="4">
        <v>0</v>
      </c>
      <c r="T8" s="4"/>
      <c r="U8" s="10"/>
      <c r="V8" s="190" t="s">
        <v>780</v>
      </c>
      <c r="W8" s="191"/>
      <c r="X8" s="192" t="s">
        <v>805</v>
      </c>
      <c r="Y8" s="193"/>
    </row>
    <row r="9" spans="1:25" ht="15.75" thickBot="1" x14ac:dyDescent="0.3">
      <c r="A9" s="6"/>
      <c r="B9" s="5" t="b">
        <v>0</v>
      </c>
      <c r="C9" s="137" t="s">
        <v>319</v>
      </c>
      <c r="D9" s="143"/>
      <c r="E9" s="12">
        <v>1</v>
      </c>
      <c r="F9" s="145"/>
      <c r="G9" s="133"/>
      <c r="H9" s="134"/>
      <c r="I9" s="146"/>
      <c r="J9" s="147"/>
      <c r="K9" s="148"/>
      <c r="L9" s="133"/>
      <c r="M9" s="133"/>
      <c r="N9" s="136"/>
      <c r="O9" s="26" t="s">
        <v>458</v>
      </c>
      <c r="P9" s="27">
        <v>3</v>
      </c>
      <c r="Q9" s="28">
        <v>0</v>
      </c>
      <c r="R9" s="28"/>
      <c r="S9" s="27">
        <v>0</v>
      </c>
      <c r="T9" s="27"/>
      <c r="U9" s="29"/>
      <c r="V9" s="192" t="s">
        <v>781</v>
      </c>
      <c r="W9" s="193"/>
      <c r="X9" s="200" t="s">
        <v>812</v>
      </c>
      <c r="Y9" s="201"/>
    </row>
    <row r="10" spans="1:25" ht="18.75" x14ac:dyDescent="0.3">
      <c r="A10" s="6"/>
      <c r="B10" s="5" t="b">
        <v>0</v>
      </c>
      <c r="C10" s="137" t="s">
        <v>318</v>
      </c>
      <c r="D10" s="143"/>
      <c r="E10" s="12">
        <v>4</v>
      </c>
      <c r="F10" s="157" t="s">
        <v>311</v>
      </c>
      <c r="G10" s="158"/>
      <c r="H10" s="159"/>
      <c r="I10" s="160" t="s">
        <v>349</v>
      </c>
      <c r="J10" s="158"/>
      <c r="K10" s="159"/>
      <c r="L10" s="158" t="s">
        <v>312</v>
      </c>
      <c r="M10" s="158"/>
      <c r="N10" s="161"/>
      <c r="O10" s="36" t="s">
        <v>459</v>
      </c>
      <c r="P10" s="37">
        <v>3</v>
      </c>
      <c r="Q10" s="37">
        <v>0</v>
      </c>
      <c r="R10" s="37"/>
      <c r="S10" s="37">
        <v>0</v>
      </c>
      <c r="T10" s="37"/>
      <c r="U10" s="38"/>
      <c r="V10" s="190" t="s">
        <v>782</v>
      </c>
      <c r="W10" s="191"/>
      <c r="X10" s="192" t="s">
        <v>806</v>
      </c>
      <c r="Y10" s="193"/>
    </row>
    <row r="11" spans="1:25" ht="15.75" customHeight="1" thickBot="1" x14ac:dyDescent="0.3">
      <c r="A11" s="6"/>
      <c r="B11" s="5" t="b">
        <v>0</v>
      </c>
      <c r="C11" s="137" t="s">
        <v>320</v>
      </c>
      <c r="D11" s="143"/>
      <c r="E11" s="12">
        <v>5</v>
      </c>
      <c r="F11" s="162" t="s">
        <v>746</v>
      </c>
      <c r="G11" s="163"/>
      <c r="H11" s="164"/>
      <c r="I11" s="165"/>
      <c r="J11" s="163"/>
      <c r="K11" s="164"/>
      <c r="L11" s="163" t="s">
        <v>961</v>
      </c>
      <c r="M11" s="163"/>
      <c r="N11" s="166"/>
      <c r="O11" s="39" t="s">
        <v>460</v>
      </c>
      <c r="P11" s="40">
        <v>3</v>
      </c>
      <c r="Q11" s="41">
        <v>1</v>
      </c>
      <c r="R11" s="41"/>
      <c r="S11" s="40">
        <v>0</v>
      </c>
      <c r="T11" s="40"/>
      <c r="U11" s="42"/>
      <c r="V11" s="192" t="s">
        <v>824</v>
      </c>
      <c r="W11" s="193"/>
      <c r="X11" s="190" t="s">
        <v>807</v>
      </c>
      <c r="Y11" s="191"/>
    </row>
    <row r="12" spans="1:25" ht="18" customHeight="1" thickBot="1" x14ac:dyDescent="0.35">
      <c r="A12" s="6"/>
      <c r="B12" s="5" t="b">
        <v>0</v>
      </c>
      <c r="C12" s="137" t="s">
        <v>321</v>
      </c>
      <c r="D12" s="143"/>
      <c r="E12" s="12">
        <v>1</v>
      </c>
      <c r="F12" s="169" t="s">
        <v>443</v>
      </c>
      <c r="G12" s="170"/>
      <c r="H12" s="170"/>
      <c r="I12" s="170"/>
      <c r="J12" s="170"/>
      <c r="K12" s="170"/>
      <c r="L12" s="170"/>
      <c r="M12" s="170"/>
      <c r="N12" s="171"/>
      <c r="O12" s="149" t="s">
        <v>813</v>
      </c>
      <c r="P12" s="150"/>
      <c r="Q12" s="150"/>
      <c r="R12" s="150"/>
      <c r="S12" s="150"/>
      <c r="T12" s="150"/>
      <c r="U12" s="151"/>
      <c r="V12" s="192" t="s">
        <v>783</v>
      </c>
      <c r="W12" s="193"/>
      <c r="X12" s="192" t="s">
        <v>808</v>
      </c>
      <c r="Y12" s="193"/>
    </row>
    <row r="13" spans="1:25" ht="16.5" thickTop="1" thickBot="1" x14ac:dyDescent="0.3">
      <c r="A13" s="6"/>
      <c r="B13" s="5" t="b">
        <v>0</v>
      </c>
      <c r="C13" s="155" t="s">
        <v>322</v>
      </c>
      <c r="D13" s="156"/>
      <c r="E13" s="13" t="s">
        <v>323</v>
      </c>
      <c r="F13" s="119" t="s">
        <v>53</v>
      </c>
      <c r="G13" s="120"/>
      <c r="H13" s="4" t="str">
        <f>IFERROR(VLOOKUP(F13,Abilities,4,FALSE),"")</f>
        <v>XCOM2</v>
      </c>
      <c r="I13" s="121" t="s">
        <v>962</v>
      </c>
      <c r="J13" s="120"/>
      <c r="K13" s="35" t="str">
        <f>IFERROR(VLOOKUP(I13,Abilities,4,FALSE),"")</f>
        <v>BLANK</v>
      </c>
      <c r="L13" s="121" t="s">
        <v>953</v>
      </c>
      <c r="M13" s="120"/>
      <c r="N13" s="10" t="str">
        <f>IFERROR(VLOOKUP(L13,Abilities,4,FALSE),"")</f>
        <v>LWD</v>
      </c>
      <c r="O13" s="152"/>
      <c r="P13" s="153"/>
      <c r="Q13" s="153"/>
      <c r="R13" s="153"/>
      <c r="S13" s="153"/>
      <c r="T13" s="153"/>
      <c r="U13" s="154"/>
      <c r="V13" s="192" t="s">
        <v>818</v>
      </c>
      <c r="W13" s="193"/>
      <c r="X13" s="190" t="s">
        <v>809</v>
      </c>
      <c r="Y13" s="191"/>
    </row>
    <row r="14" spans="1:25" ht="15.75" thickBot="1" x14ac:dyDescent="0.3">
      <c r="A14" s="6"/>
      <c r="B14" s="7" t="b">
        <v>1</v>
      </c>
      <c r="F14" s="144" t="str">
        <f>IFERROR(VLOOKUP(F13,Abilities,7,FALSE),"")</f>
        <v>You can target enemies within squadmates' sight, provided there is line of sight to the target.</v>
      </c>
      <c r="G14" s="130"/>
      <c r="H14" s="131"/>
      <c r="I14" s="129" t="str">
        <f>IFERROR(VLOOKUP(I13,Abilities,7,FALSE),"")</f>
        <v xml:space="preserve"> </v>
      </c>
      <c r="J14" s="130"/>
      <c r="K14" s="131"/>
      <c r="L14" s="130" t="str">
        <f>IFERROR(VLOOKUP(L13,Abilities,7,FALSE),"")</f>
        <v>Reload your sawed-off shotgun. Each shell requires a separate action.</v>
      </c>
      <c r="M14" s="130"/>
      <c r="N14" s="135"/>
      <c r="O14" s="22"/>
      <c r="P14" s="23" t="s">
        <v>331</v>
      </c>
      <c r="Q14" s="24" t="s">
        <v>332</v>
      </c>
      <c r="R14" s="24" t="s">
        <v>333</v>
      </c>
      <c r="S14" s="24" t="s">
        <v>334</v>
      </c>
      <c r="T14" s="24" t="s">
        <v>336</v>
      </c>
      <c r="U14" s="25" t="s">
        <v>335</v>
      </c>
      <c r="V14" s="190" t="s">
        <v>784</v>
      </c>
      <c r="W14" s="191"/>
      <c r="X14" s="194" t="s">
        <v>814</v>
      </c>
      <c r="Y14" s="195"/>
    </row>
    <row r="15" spans="1:25" ht="15.75" thickBot="1" x14ac:dyDescent="0.3">
      <c r="A15" s="6"/>
      <c r="B15" s="7" t="b">
        <v>0</v>
      </c>
      <c r="F15" s="167"/>
      <c r="G15" s="147"/>
      <c r="H15" s="148"/>
      <c r="I15" s="146"/>
      <c r="J15" s="147"/>
      <c r="K15" s="148"/>
      <c r="L15" s="147"/>
      <c r="M15" s="147"/>
      <c r="N15" s="168"/>
      <c r="O15" s="19" t="s">
        <v>12</v>
      </c>
      <c r="P15" s="4"/>
      <c r="Q15" s="20">
        <v>3</v>
      </c>
      <c r="R15" s="20"/>
      <c r="S15" s="4"/>
      <c r="T15" s="4"/>
      <c r="U15" s="10"/>
      <c r="V15" s="190" t="s">
        <v>823</v>
      </c>
      <c r="W15" s="191"/>
    </row>
    <row r="16" spans="1:25" ht="18" thickBot="1" x14ac:dyDescent="0.35">
      <c r="A16" s="6"/>
      <c r="B16" s="7" t="b">
        <v>0</v>
      </c>
      <c r="F16" s="169" t="s">
        <v>15</v>
      </c>
      <c r="G16" s="170"/>
      <c r="H16" s="170"/>
      <c r="I16" s="170"/>
      <c r="J16" s="170"/>
      <c r="K16" s="170"/>
      <c r="L16" s="170"/>
      <c r="M16" s="170"/>
      <c r="N16" s="171"/>
      <c r="O16" s="26" t="s">
        <v>456</v>
      </c>
      <c r="P16" s="27"/>
      <c r="Q16" s="28">
        <v>3</v>
      </c>
      <c r="R16" s="28"/>
      <c r="S16" s="27"/>
      <c r="T16" s="27"/>
      <c r="U16" s="29"/>
      <c r="V16" s="190" t="s">
        <v>786</v>
      </c>
      <c r="W16" s="191"/>
    </row>
    <row r="17" spans="1:23" ht="16.5" thickTop="1" thickBot="1" x14ac:dyDescent="0.3">
      <c r="A17" s="8"/>
      <c r="B17" s="9" t="b">
        <v>0</v>
      </c>
      <c r="F17" s="121" t="s">
        <v>962</v>
      </c>
      <c r="G17" s="120"/>
      <c r="H17" s="4" t="str">
        <f>IFERROR(VLOOKUP(F17,Abilities,4,FALSE),"")</f>
        <v>BLANK</v>
      </c>
      <c r="I17" s="121" t="s">
        <v>250</v>
      </c>
      <c r="J17" s="120"/>
      <c r="K17" s="35" t="str">
        <f>IFERROR(VLOOKUP(I17,Abilities,4,FALSE),"")</f>
        <v>LW2</v>
      </c>
      <c r="L17" s="121" t="s">
        <v>962</v>
      </c>
      <c r="M17" s="120"/>
      <c r="N17" s="10" t="str">
        <f>IFERROR(VLOOKUP(L17,Abilities,4,FALSE),"")</f>
        <v>BLANK</v>
      </c>
      <c r="O17" s="19" t="s">
        <v>15</v>
      </c>
      <c r="P17" s="4"/>
      <c r="Q17" s="20"/>
      <c r="R17" s="20"/>
      <c r="S17" s="4"/>
      <c r="T17" s="4"/>
      <c r="U17" s="10"/>
      <c r="V17" s="192" t="s">
        <v>787</v>
      </c>
      <c r="W17" s="193"/>
    </row>
    <row r="18" spans="1:23" x14ac:dyDescent="0.25">
      <c r="A18" s="172" t="s">
        <v>344</v>
      </c>
      <c r="B18" s="173"/>
      <c r="F18" s="144" t="str">
        <f>IFERROR(VLOOKUP(F17,Abilities,7,FALSE),"")</f>
        <v xml:space="preserve"> </v>
      </c>
      <c r="G18" s="130"/>
      <c r="H18" s="131"/>
      <c r="I18" s="129">
        <f>IFERROR(VLOOKUP(I17,Abilities,7,FALSE),"")</f>
        <v>0</v>
      </c>
      <c r="J18" s="130"/>
      <c r="K18" s="131"/>
      <c r="L18" s="130" t="str">
        <f>IFERROR(VLOOKUP(L17,Abilities,7,FALSE),"")</f>
        <v xml:space="preserve"> </v>
      </c>
      <c r="M18" s="130"/>
      <c r="N18" s="135"/>
      <c r="O18" s="26" t="s">
        <v>21</v>
      </c>
      <c r="P18" s="27"/>
      <c r="Q18" s="28"/>
      <c r="R18" s="28"/>
      <c r="S18" s="27"/>
      <c r="T18" s="27"/>
      <c r="U18" s="29"/>
      <c r="V18" s="190" t="s">
        <v>788</v>
      </c>
      <c r="W18" s="191"/>
    </row>
    <row r="19" spans="1:23" ht="15.75" thickBot="1" x14ac:dyDescent="0.3">
      <c r="A19" s="174"/>
      <c r="B19" s="175"/>
      <c r="D19" s="3"/>
      <c r="F19" s="167"/>
      <c r="G19" s="147"/>
      <c r="H19" s="148"/>
      <c r="I19" s="146"/>
      <c r="J19" s="147"/>
      <c r="K19" s="148"/>
      <c r="L19" s="147"/>
      <c r="M19" s="147"/>
      <c r="N19" s="168"/>
      <c r="O19" s="21" t="s">
        <v>457</v>
      </c>
      <c r="P19" s="4"/>
      <c r="Q19" s="20"/>
      <c r="R19" s="20"/>
      <c r="S19" s="4"/>
      <c r="T19" s="4"/>
      <c r="U19" s="10"/>
      <c r="V19" s="192" t="s">
        <v>789</v>
      </c>
      <c r="W19" s="193"/>
    </row>
    <row r="20" spans="1:23" ht="18" thickBot="1" x14ac:dyDescent="0.35">
      <c r="A20" s="176" t="s">
        <v>972</v>
      </c>
      <c r="B20" s="177"/>
      <c r="C20" s="178"/>
      <c r="D20" s="178"/>
      <c r="E20" s="179"/>
      <c r="F20" s="169" t="s">
        <v>21</v>
      </c>
      <c r="G20" s="170"/>
      <c r="H20" s="170"/>
      <c r="I20" s="170"/>
      <c r="J20" s="170"/>
      <c r="K20" s="170"/>
      <c r="L20" s="170"/>
      <c r="M20" s="170"/>
      <c r="N20" s="171"/>
      <c r="O20" s="26" t="s">
        <v>458</v>
      </c>
      <c r="P20" s="27"/>
      <c r="Q20" s="28"/>
      <c r="R20" s="28"/>
      <c r="S20" s="27"/>
      <c r="T20" s="27"/>
      <c r="U20" s="29"/>
      <c r="V20" s="192" t="s">
        <v>790</v>
      </c>
      <c r="W20" s="193"/>
    </row>
    <row r="21" spans="1:23" ht="15.75" thickTop="1" x14ac:dyDescent="0.25">
      <c r="A21" s="176"/>
      <c r="B21" s="177"/>
      <c r="C21" s="177"/>
      <c r="D21" s="177"/>
      <c r="E21" s="180"/>
      <c r="F21" s="119" t="s">
        <v>238</v>
      </c>
      <c r="G21" s="120"/>
      <c r="H21" s="4" t="str">
        <f>IFERROR(VLOOKUP(F21,Abilities,4,FALSE),"")</f>
        <v>LW2</v>
      </c>
      <c r="I21" s="121" t="s">
        <v>962</v>
      </c>
      <c r="J21" s="120"/>
      <c r="K21" s="35" t="str">
        <f>IFERROR(VLOOKUP(I21,Abilities,4,FALSE),"")</f>
        <v>BLANK</v>
      </c>
      <c r="L21" s="122" t="s">
        <v>219</v>
      </c>
      <c r="M21" s="120"/>
      <c r="N21" s="10" t="str">
        <f>IFERROR(VLOOKUP(L21,Abilities,4,FALSE),"")</f>
        <v>LW2</v>
      </c>
      <c r="O21" s="36" t="s">
        <v>459</v>
      </c>
      <c r="P21" s="37"/>
      <c r="Q21" s="37"/>
      <c r="R21" s="37"/>
      <c r="S21" s="37"/>
      <c r="T21" s="37"/>
      <c r="U21" s="38"/>
      <c r="V21" s="190" t="s">
        <v>791</v>
      </c>
      <c r="W21" s="191"/>
    </row>
    <row r="22" spans="1:23" ht="15.75" thickBot="1" x14ac:dyDescent="0.3">
      <c r="A22" s="181"/>
      <c r="B22" s="182"/>
      <c r="C22" s="182"/>
      <c r="D22" s="182"/>
      <c r="E22" s="183"/>
      <c r="F22" s="144">
        <f>IFERROR(VLOOKUP(F21,Abilities,7,FALSE),"")</f>
        <v>0</v>
      </c>
      <c r="G22" s="130"/>
      <c r="H22" s="131"/>
      <c r="I22" s="129" t="str">
        <f>IFERROR(VLOOKUP(I21,Abilities,7,FALSE),"")</f>
        <v xml:space="preserve"> </v>
      </c>
      <c r="J22" s="130"/>
      <c r="K22" s="131"/>
      <c r="L22" s="130">
        <f>IFERROR(VLOOKUP(L21,Abilities,7,FALSE),"")</f>
        <v>0</v>
      </c>
      <c r="M22" s="130"/>
      <c r="N22" s="135"/>
      <c r="O22" s="39" t="s">
        <v>460</v>
      </c>
      <c r="P22" s="40"/>
      <c r="Q22" s="41"/>
      <c r="R22" s="41"/>
      <c r="S22" s="40"/>
      <c r="T22" s="40"/>
      <c r="U22" s="42"/>
      <c r="V22" s="192" t="s">
        <v>792</v>
      </c>
      <c r="W22" s="193"/>
    </row>
    <row r="23" spans="1:23" ht="15.75" thickBot="1" x14ac:dyDescent="0.3">
      <c r="A23" s="184" t="s">
        <v>352</v>
      </c>
      <c r="B23" s="185"/>
      <c r="C23" s="185"/>
      <c r="D23" s="185"/>
      <c r="E23" s="186"/>
      <c r="F23" s="167"/>
      <c r="G23" s="147"/>
      <c r="H23" s="148"/>
      <c r="I23" s="146"/>
      <c r="J23" s="147"/>
      <c r="K23" s="148"/>
      <c r="L23" s="147"/>
      <c r="M23" s="147"/>
      <c r="N23" s="168"/>
      <c r="O23" s="14"/>
      <c r="P23" s="14"/>
      <c r="Q23" s="3"/>
      <c r="V23" s="190" t="s">
        <v>793</v>
      </c>
      <c r="W23" s="191"/>
    </row>
    <row r="24" spans="1:23" ht="18" thickBot="1" x14ac:dyDescent="0.35">
      <c r="A24" s="187"/>
      <c r="B24" s="188"/>
      <c r="C24" s="188"/>
      <c r="D24" s="188"/>
      <c r="E24" s="189"/>
      <c r="F24" s="169" t="s">
        <v>444</v>
      </c>
      <c r="G24" s="170"/>
      <c r="H24" s="170"/>
      <c r="I24" s="170"/>
      <c r="J24" s="170"/>
      <c r="K24" s="170"/>
      <c r="L24" s="170"/>
      <c r="M24" s="170"/>
      <c r="N24" s="171"/>
      <c r="O24" s="14"/>
      <c r="P24" s="14"/>
      <c r="Q24" s="3"/>
      <c r="V24" s="192" t="s">
        <v>794</v>
      </c>
      <c r="W24" s="193"/>
    </row>
    <row r="25" spans="1:23" ht="15.75" thickTop="1" x14ac:dyDescent="0.25">
      <c r="A25" s="50"/>
      <c r="B25" s="51"/>
      <c r="C25" s="51"/>
      <c r="D25" s="51"/>
      <c r="E25" s="52"/>
      <c r="F25" s="119" t="s">
        <v>265</v>
      </c>
      <c r="G25" s="120"/>
      <c r="H25" s="4" t="str">
        <f>IFERROR(VLOOKUP(F25,Abilities,4,FALSE),"")</f>
        <v>LW2</v>
      </c>
      <c r="I25" s="121" t="s">
        <v>962</v>
      </c>
      <c r="J25" s="120"/>
      <c r="K25" s="35" t="str">
        <f>IFERROR(VLOOKUP(I25,Abilities,4,FALSE),"")</f>
        <v>BLANK</v>
      </c>
      <c r="L25" s="121" t="s">
        <v>951</v>
      </c>
      <c r="M25" s="120"/>
      <c r="N25" s="10" t="str">
        <f>IFERROR(VLOOKUP(L25,Abilities,4,FALSE),"")</f>
        <v>LWD</v>
      </c>
      <c r="O25" s="14"/>
      <c r="P25" s="14"/>
      <c r="Q25" s="3"/>
      <c r="V25" s="190" t="s">
        <v>856</v>
      </c>
      <c r="W25" s="191"/>
    </row>
    <row r="26" spans="1:23" x14ac:dyDescent="0.25">
      <c r="A26" s="50"/>
      <c r="B26" s="51"/>
      <c r="C26" s="51"/>
      <c r="D26" s="51"/>
      <c r="E26" s="52"/>
      <c r="F26" s="144">
        <f>IFERROR(VLOOKUP(F25,Abilities,7,FALSE),"")</f>
        <v>0</v>
      </c>
      <c r="G26" s="130"/>
      <c r="H26" s="131"/>
      <c r="I26" s="129" t="str">
        <f>IFERROR(VLOOKUP(I25,Abilities,7,FALSE),"")</f>
        <v xml:space="preserve"> </v>
      </c>
      <c r="J26" s="130"/>
      <c r="K26" s="131"/>
      <c r="L26" s="130" t="str">
        <f>IFERROR(VLOOKUP(L25,Abilities,7,FALSE),"")</f>
        <v>Your sawed-off shotgun is more accurate at longer ranges.</v>
      </c>
      <c r="M26" s="130"/>
      <c r="N26" s="135"/>
      <c r="O26" s="14"/>
      <c r="P26" s="14"/>
      <c r="Q26" s="3"/>
      <c r="V26" s="190" t="s">
        <v>797</v>
      </c>
      <c r="W26" s="191"/>
    </row>
    <row r="27" spans="1:23" ht="15.75" thickBot="1" x14ac:dyDescent="0.3">
      <c r="A27" s="50"/>
      <c r="B27" s="51"/>
      <c r="C27" s="51"/>
      <c r="D27" s="51"/>
      <c r="E27" s="52"/>
      <c r="F27" s="167"/>
      <c r="G27" s="147"/>
      <c r="H27" s="148"/>
      <c r="I27" s="146"/>
      <c r="J27" s="147"/>
      <c r="K27" s="148"/>
      <c r="L27" s="147"/>
      <c r="M27" s="147"/>
      <c r="N27" s="168"/>
      <c r="O27" s="14"/>
      <c r="P27" s="14"/>
      <c r="Q27" s="3"/>
      <c r="V27" s="192" t="s">
        <v>798</v>
      </c>
      <c r="W27" s="193"/>
    </row>
    <row r="28" spans="1:23" ht="18" thickBot="1" x14ac:dyDescent="0.35">
      <c r="A28" s="50"/>
      <c r="B28" s="51"/>
      <c r="C28" s="51"/>
      <c r="D28" s="51"/>
      <c r="E28" s="52"/>
      <c r="F28" s="169" t="s">
        <v>445</v>
      </c>
      <c r="G28" s="170"/>
      <c r="H28" s="170"/>
      <c r="I28" s="170"/>
      <c r="J28" s="170"/>
      <c r="K28" s="170"/>
      <c r="L28" s="170"/>
      <c r="M28" s="170"/>
      <c r="N28" s="171"/>
      <c r="O28" s="14"/>
      <c r="P28" s="14"/>
      <c r="Q28" s="3"/>
      <c r="V28" s="190" t="s">
        <v>799</v>
      </c>
      <c r="W28" s="191"/>
    </row>
    <row r="29" spans="1:23" ht="15.75" thickTop="1" x14ac:dyDescent="0.25">
      <c r="A29" s="50"/>
      <c r="B29" s="51"/>
      <c r="C29" s="51"/>
      <c r="D29" s="51"/>
      <c r="E29" s="52"/>
      <c r="F29" s="119" t="s">
        <v>267</v>
      </c>
      <c r="G29" s="120"/>
      <c r="H29" s="4" t="str">
        <f>IFERROR(VLOOKUP(F29,Abilities,4,FALSE),"")</f>
        <v>LW2</v>
      </c>
      <c r="I29" s="121" t="s">
        <v>962</v>
      </c>
      <c r="J29" s="120"/>
      <c r="K29" s="35" t="str">
        <f>IFERROR(VLOOKUP(I29,Abilities,4,FALSE),"")</f>
        <v>BLANK</v>
      </c>
      <c r="L29" s="121" t="s">
        <v>228</v>
      </c>
      <c r="M29" s="120"/>
      <c r="N29" s="10" t="str">
        <f>IFERROR(VLOOKUP(L29,Abilities,4,FALSE),"")</f>
        <v>LW2</v>
      </c>
      <c r="O29" s="14"/>
      <c r="P29" s="14"/>
      <c r="Q29" s="3"/>
      <c r="V29" s="190" t="s">
        <v>825</v>
      </c>
      <c r="W29" s="191"/>
    </row>
    <row r="30" spans="1:23" x14ac:dyDescent="0.25">
      <c r="A30" s="50"/>
      <c r="B30" s="51"/>
      <c r="C30" s="51"/>
      <c r="D30" s="51"/>
      <c r="E30" s="52"/>
      <c r="F30" s="144">
        <f>IFERROR(VLOOKUP(F29,Abilities,7,FALSE),"")</f>
        <v>0</v>
      </c>
      <c r="G30" s="130"/>
      <c r="H30" s="131"/>
      <c r="I30" s="129" t="str">
        <f>IFERROR(VLOOKUP(I29,Abilities,7,FALSE),"")</f>
        <v xml:space="preserve"> </v>
      </c>
      <c r="J30" s="130"/>
      <c r="K30" s="131"/>
      <c r="L30" s="130">
        <f>IFERROR(VLOOKUP(L29,Abilities,7,FALSE),"")</f>
        <v>0</v>
      </c>
      <c r="M30" s="130"/>
      <c r="N30" s="135"/>
      <c r="O30" s="14"/>
      <c r="P30" s="14"/>
      <c r="Q30" s="3"/>
      <c r="V30" s="190" t="s">
        <v>859</v>
      </c>
      <c r="W30" s="191"/>
    </row>
    <row r="31" spans="1:23" ht="15.75" thickBot="1" x14ac:dyDescent="0.3">
      <c r="A31" s="50"/>
      <c r="B31" s="51"/>
      <c r="C31" s="51"/>
      <c r="D31" s="51"/>
      <c r="E31" s="52"/>
      <c r="F31" s="167"/>
      <c r="G31" s="147"/>
      <c r="H31" s="148"/>
      <c r="I31" s="146"/>
      <c r="J31" s="147"/>
      <c r="K31" s="148"/>
      <c r="L31" s="147"/>
      <c r="M31" s="147"/>
      <c r="N31" s="168"/>
      <c r="O31" s="14"/>
      <c r="P31" s="14"/>
      <c r="Q31" s="3"/>
      <c r="V31" s="192" t="s">
        <v>820</v>
      </c>
      <c r="W31" s="193"/>
    </row>
    <row r="32" spans="1:23" ht="18" thickBot="1" x14ac:dyDescent="0.35">
      <c r="A32" s="50"/>
      <c r="B32" s="51"/>
      <c r="C32" s="51"/>
      <c r="D32" s="51"/>
      <c r="E32" s="52"/>
      <c r="F32" s="169" t="s">
        <v>446</v>
      </c>
      <c r="G32" s="170"/>
      <c r="H32" s="170"/>
      <c r="I32" s="170"/>
      <c r="J32" s="170"/>
      <c r="K32" s="170"/>
      <c r="L32" s="170"/>
      <c r="M32" s="170"/>
      <c r="N32" s="171"/>
      <c r="O32" s="14"/>
      <c r="P32" s="14"/>
      <c r="Q32" s="3"/>
      <c r="V32" s="192" t="s">
        <v>815</v>
      </c>
      <c r="W32" s="193"/>
    </row>
    <row r="33" spans="1:23" ht="15.75" thickTop="1" x14ac:dyDescent="0.25">
      <c r="A33" s="50"/>
      <c r="B33" s="51"/>
      <c r="C33" s="51"/>
      <c r="D33" s="51"/>
      <c r="E33" s="52"/>
      <c r="F33" s="121" t="s">
        <v>962</v>
      </c>
      <c r="G33" s="120"/>
      <c r="H33" s="4" t="str">
        <f>IFERROR(VLOOKUP(F33,Abilities,4,FALSE),"")</f>
        <v>BLANK</v>
      </c>
      <c r="I33" s="119" t="s">
        <v>240</v>
      </c>
      <c r="J33" s="120"/>
      <c r="K33" s="35" t="str">
        <f>IFERROR(VLOOKUP(I33,Abilities,4,FALSE),"")</f>
        <v>LW2</v>
      </c>
      <c r="L33" s="121" t="s">
        <v>962</v>
      </c>
      <c r="M33" s="120"/>
      <c r="N33" s="10" t="str">
        <f>IFERROR(VLOOKUP(L33,Abilities,4,FALSE),"")</f>
        <v>BLANK</v>
      </c>
      <c r="O33" s="14"/>
      <c r="P33" s="14"/>
      <c r="Q33" s="3"/>
      <c r="V33" s="192" t="s">
        <v>822</v>
      </c>
      <c r="W33" s="193"/>
    </row>
    <row r="34" spans="1:23" x14ac:dyDescent="0.25">
      <c r="A34" s="50"/>
      <c r="B34" s="51"/>
      <c r="C34" s="51"/>
      <c r="D34" s="51"/>
      <c r="E34" s="52"/>
      <c r="F34" s="144" t="str">
        <f>IFERROR(VLOOKUP(F33,Abilities,7,FALSE),"")</f>
        <v xml:space="preserve"> </v>
      </c>
      <c r="G34" s="130"/>
      <c r="H34" s="131"/>
      <c r="I34" s="129">
        <f>IFERROR(VLOOKUP(I33,Abilities,7,FALSE),"")</f>
        <v>0</v>
      </c>
      <c r="J34" s="130"/>
      <c r="K34" s="131"/>
      <c r="L34" s="130" t="str">
        <f>IFERROR(VLOOKUP(L33,Abilities,7,FALSE),"")</f>
        <v xml:space="preserve"> </v>
      </c>
      <c r="M34" s="130"/>
      <c r="N34" s="135"/>
      <c r="O34" s="14"/>
      <c r="P34" s="14"/>
      <c r="Q34" s="3"/>
      <c r="V34" s="190" t="s">
        <v>816</v>
      </c>
      <c r="W34" s="191"/>
    </row>
    <row r="35" spans="1:23" ht="15.75" thickBot="1" x14ac:dyDescent="0.3">
      <c r="A35" s="50"/>
      <c r="B35" s="51"/>
      <c r="C35" s="51"/>
      <c r="D35" s="51"/>
      <c r="E35" s="52"/>
      <c r="F35" s="167"/>
      <c r="G35" s="147"/>
      <c r="H35" s="148"/>
      <c r="I35" s="146"/>
      <c r="J35" s="147"/>
      <c r="K35" s="148"/>
      <c r="L35" s="147"/>
      <c r="M35" s="147"/>
      <c r="N35" s="168"/>
      <c r="O35" s="14"/>
      <c r="P35" s="14"/>
      <c r="Q35" s="3"/>
      <c r="V35" s="194" t="s">
        <v>800</v>
      </c>
      <c r="W35" s="195"/>
    </row>
    <row r="36" spans="1:23" ht="18" thickBot="1" x14ac:dyDescent="0.35">
      <c r="A36" s="50"/>
      <c r="B36" s="51"/>
      <c r="C36" s="51"/>
      <c r="D36" s="51"/>
      <c r="E36" s="52"/>
      <c r="F36" s="169" t="s">
        <v>447</v>
      </c>
      <c r="G36" s="170"/>
      <c r="H36" s="170"/>
      <c r="I36" s="170"/>
      <c r="J36" s="170"/>
      <c r="K36" s="170"/>
      <c r="L36" s="170"/>
      <c r="M36" s="170"/>
      <c r="N36" s="171"/>
    </row>
    <row r="37" spans="1:23" ht="15.75" thickTop="1" x14ac:dyDescent="0.25">
      <c r="A37" s="50"/>
      <c r="B37" s="51"/>
      <c r="C37" s="51"/>
      <c r="D37" s="51"/>
      <c r="E37" s="52"/>
      <c r="F37" s="119" t="s">
        <v>257</v>
      </c>
      <c r="G37" s="120"/>
      <c r="H37" s="4" t="str">
        <f>IFERROR(VLOOKUP(F37,Abilities,4,FALSE),"")</f>
        <v>LW2</v>
      </c>
      <c r="I37" s="121" t="s">
        <v>962</v>
      </c>
      <c r="J37" s="120"/>
      <c r="K37" s="35" t="str">
        <f>IFERROR(VLOOKUP(I37,Abilities,4,FALSE),"")</f>
        <v>BLANK</v>
      </c>
      <c r="L37" s="121" t="s">
        <v>956</v>
      </c>
      <c r="M37" s="120"/>
      <c r="N37" s="10" t="str">
        <f>IFERROR(VLOOKUP(L37,Abilities,4,FALSE),"")</f>
        <v>LWD</v>
      </c>
    </row>
    <row r="38" spans="1:23" x14ac:dyDescent="0.25">
      <c r="A38" s="50"/>
      <c r="B38" s="51"/>
      <c r="C38" s="51"/>
      <c r="D38" s="51"/>
      <c r="E38" s="52"/>
      <c r="F38" s="144">
        <f>IFERROR(VLOOKUP(F37,Abilities,7,FALSE),"")</f>
        <v>0</v>
      </c>
      <c r="G38" s="130"/>
      <c r="H38" s="131"/>
      <c r="I38" s="129" t="str">
        <f>IFERROR(VLOOKUP(I37,Abilities,7,FALSE),"")</f>
        <v xml:space="preserve"> </v>
      </c>
      <c r="J38" s="130"/>
      <c r="K38" s="131"/>
      <c r="L38" s="130" t="str">
        <f>IFERROR(VLOOKUP(L37,Abilities,7,FALSE),"")</f>
        <v>Take a free attack with your sawed-off shotgun against any enemy that moves or attacks within 4 tiles.</v>
      </c>
      <c r="M38" s="130"/>
      <c r="N38" s="135"/>
    </row>
    <row r="39" spans="1:23" ht="15.75" thickBot="1" x14ac:dyDescent="0.3">
      <c r="A39" s="53"/>
      <c r="B39" s="54"/>
      <c r="C39" s="54"/>
      <c r="D39" s="54"/>
      <c r="E39" s="55"/>
      <c r="F39" s="167"/>
      <c r="G39" s="147"/>
      <c r="H39" s="148"/>
      <c r="I39" s="146"/>
      <c r="J39" s="147"/>
      <c r="K39" s="148"/>
      <c r="L39" s="147"/>
      <c r="M39" s="147"/>
      <c r="N39" s="168"/>
    </row>
    <row r="40" spans="1:23" ht="15" customHeight="1" x14ac:dyDescent="0.25">
      <c r="A40" s="86" t="s">
        <v>1200</v>
      </c>
      <c r="B40" s="86"/>
      <c r="C40" s="88" t="str">
        <f>SUBSTITUTE(C1," ","")</f>
        <v>Marksman</v>
      </c>
      <c r="D40" s="88"/>
      <c r="E40" s="88"/>
      <c r="F40" s="238"/>
      <c r="G40" s="238"/>
      <c r="H40" s="237"/>
      <c r="I40" s="237"/>
      <c r="J40" s="237"/>
    </row>
    <row r="41" spans="1:23" ht="15" customHeight="1" thickBot="1" x14ac:dyDescent="0.3">
      <c r="A41" s="87"/>
      <c r="B41" s="87"/>
      <c r="C41" s="89"/>
      <c r="D41" s="89"/>
      <c r="E41" s="89"/>
      <c r="F41" s="239"/>
      <c r="G41" s="239"/>
      <c r="H41" s="237"/>
      <c r="I41" s="237"/>
      <c r="J41" s="237"/>
    </row>
    <row r="42" spans="1:23" ht="16.5" thickBot="1" x14ac:dyDescent="0.3">
      <c r="A42" s="242" t="s">
        <v>339</v>
      </c>
      <c r="B42" s="244"/>
      <c r="C42" s="253" t="s">
        <v>342</v>
      </c>
      <c r="D42" s="247"/>
      <c r="E42" s="251" t="s">
        <v>343</v>
      </c>
      <c r="F42" s="250"/>
      <c r="G42" s="234"/>
      <c r="H42" s="235"/>
      <c r="I42" s="235"/>
      <c r="J42" s="235"/>
    </row>
    <row r="43" spans="1:23" x14ac:dyDescent="0.25">
      <c r="A43" s="243" t="str">
        <f ca="1">"; "&amp;INDIRECT("C1")&amp;" class data"</f>
        <v>; Marksman class data</v>
      </c>
      <c r="B43" s="234" t="s">
        <v>340</v>
      </c>
      <c r="C43" s="254" t="str">
        <f ca="1">"; "&amp;INDIRECT("C1")&amp;" class loadout"</f>
        <v>; Marksman class loadout</v>
      </c>
      <c r="D43" s="234" t="s">
        <v>340</v>
      </c>
      <c r="E43" s="252" t="str">
        <f ca="1">"["&amp;INDIRECT("C3")&amp;" X2SoldierClassTemplate]"</f>
        <v>[LWD_Marksman X2SoldierClassTemplate]</v>
      </c>
      <c r="F43" s="234" t="s">
        <v>340</v>
      </c>
      <c r="G43" s="234"/>
      <c r="H43" s="235"/>
      <c r="I43" s="235"/>
      <c r="J43" s="235"/>
    </row>
    <row r="44" spans="1:23" x14ac:dyDescent="0.25">
      <c r="A44" s="240"/>
      <c r="B44" s="234"/>
      <c r="C44" s="245"/>
      <c r="D44" s="234" t="s">
        <v>340</v>
      </c>
      <c r="E44" s="248" t="str">
        <f ca="1">"+DisplayName="""&amp;INDIRECT("C1")&amp;""""</f>
        <v>+DisplayName="Marksman"</v>
      </c>
      <c r="F44" s="234" t="s">
        <v>340</v>
      </c>
      <c r="G44" s="234"/>
      <c r="H44" s="235"/>
      <c r="I44" s="235"/>
      <c r="J44" s="235"/>
    </row>
    <row r="45" spans="1:23" x14ac:dyDescent="0.25">
      <c r="A45" s="240" t="str">
        <f>"[XComGame.X2SoldierClass_DefaultClasses]"</f>
        <v>[XComGame.X2SoldierClass_DefaultClasses]</v>
      </c>
      <c r="B45" s="234" t="s">
        <v>340</v>
      </c>
      <c r="C45" s="245" t="s">
        <v>341</v>
      </c>
      <c r="D45" s="234" t="s">
        <v>340</v>
      </c>
      <c r="E45" s="248" t="str">
        <f ca="1">"+ClassSummary="""&amp;INDIRECT("A20")&amp;""""</f>
        <v>+ClassSummary="The Marksman is more comfortable with a sniper rifle than most of our soldiers, and carries a sawed-off shotgun for closer ranges."</v>
      </c>
      <c r="F45" s="234" t="s">
        <v>340</v>
      </c>
      <c r="G45" s="234"/>
      <c r="H45" s="235"/>
      <c r="I45" s="235"/>
      <c r="J45" s="235"/>
    </row>
    <row r="46" spans="1:23" x14ac:dyDescent="0.25">
      <c r="A46" s="240" t="str">
        <f ca="1">"+SoldierClasses="&amp;INDIRECT("C3")</f>
        <v>+SoldierClasses=LWD_Marksman</v>
      </c>
      <c r="B46" s="234" t="s">
        <v>340</v>
      </c>
      <c r="C46" s="245"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+Loadouts=(LoadoutName="SquaddieLWD_Marksman", Items[0]=(Item="SniperRifle_CV"), Items[1]=(Item="SawedOffShotgun_CV"))</v>
      </c>
      <c r="D46" s="234" t="s">
        <v>340</v>
      </c>
      <c r="E46" s="248" t="str">
        <f ca="1">"+LeftAbilityTreeTitle="""&amp;INDIRECT("F11")&amp;""""</f>
        <v>+LeftAbilityTreeTitle="Rifleman"</v>
      </c>
      <c r="F46" s="234" t="s">
        <v>340</v>
      </c>
      <c r="G46" s="234"/>
      <c r="H46" s="235"/>
      <c r="I46" s="234"/>
      <c r="J46" s="234"/>
    </row>
    <row r="47" spans="1:23" x14ac:dyDescent="0.25">
      <c r="A47" s="240"/>
      <c r="B47" s="234" t="s">
        <v>340</v>
      </c>
      <c r="C47" s="245"/>
      <c r="D47" s="234" t="s">
        <v>340</v>
      </c>
      <c r="E47" s="248" t="str">
        <f ca="1">"+RightAbilityTreeTitle="""&amp;INDIRECT("L11")&amp;""""</f>
        <v>+RightAbilityTreeTitle="Shotgunner"</v>
      </c>
      <c r="F47" s="234" t="s">
        <v>340</v>
      </c>
      <c r="G47" s="234"/>
      <c r="H47" s="235"/>
      <c r="I47" s="234"/>
      <c r="J47" s="234"/>
    </row>
    <row r="48" spans="1:23" x14ac:dyDescent="0.25">
      <c r="A48" s="240" t="str">
        <f ca="1">"["&amp;INDIRECT("C3")&amp;" X2SoldierClassTemplate]"</f>
        <v>[LWD_Marksman X2SoldierClassTemplate]</v>
      </c>
      <c r="B48" s="234" t="s">
        <v>340</v>
      </c>
      <c r="C48" s="245" t="s">
        <v>351</v>
      </c>
      <c r="D48" s="234" t="s">
        <v>340</v>
      </c>
      <c r="E48" s="248" t="str">
        <f>"; Nicknames"</f>
        <v>; Nicknames</v>
      </c>
      <c r="F48" s="234" t="s">
        <v>340</v>
      </c>
      <c r="G48" s="234"/>
      <c r="H48" s="234"/>
      <c r="I48" s="234"/>
      <c r="J48" s="234"/>
    </row>
    <row r="49" spans="1:10" ht="15.75" thickBot="1" x14ac:dyDescent="0.3">
      <c r="A49" s="240" t="str">
        <f ca="1">"+bMultiplayerOnly="&amp;INDIRECT("E6")</f>
        <v>+bMultiplayerOnly=0</v>
      </c>
      <c r="B49" s="234" t="s">
        <v>340</v>
      </c>
      <c r="C49" s="246" t="str">
        <f ca="1">"+DEBUG_StartingSoldierClasses="""&amp;INDIRECT("C3")&amp;""""</f>
        <v>+DEBUG_StartingSoldierClasses="LWD_Marksman"</v>
      </c>
      <c r="D49" s="234" t="s">
        <v>340</v>
      </c>
      <c r="E49" s="248" t="str">
        <f ca="1">IF(INDIRECT("V4")&lt;&gt;"","RandomNickNames[0]="""&amp;INDIRECT("V4")&amp;"""","")</f>
        <v>RandomNickNames[0]="Agent"</v>
      </c>
      <c r="F49" s="234" t="s">
        <v>340</v>
      </c>
      <c r="G49" s="234"/>
      <c r="H49" s="234"/>
      <c r="I49" s="234"/>
      <c r="J49" s="234"/>
    </row>
    <row r="50" spans="1:10" x14ac:dyDescent="0.25">
      <c r="A50" s="240" t="str">
        <f ca="1">"+ClassPoints="&amp;INDIRECT("E7")</f>
        <v>+ClassPoints=4</v>
      </c>
      <c r="B50" s="234" t="s">
        <v>340</v>
      </c>
      <c r="C50" s="234"/>
      <c r="D50" s="234"/>
      <c r="E50" s="248" t="str">
        <f ca="1">IF(INDIRECT("V5")&lt;&gt;"","RandomNickNames[1]="""&amp;INDIRECT("V5")&amp;"""","")</f>
        <v>RandomNickNames[1]="Bargain"</v>
      </c>
      <c r="F50" s="234" t="s">
        <v>340</v>
      </c>
      <c r="G50" s="234"/>
      <c r="H50" s="234"/>
      <c r="I50" s="234"/>
      <c r="J50" s="234"/>
    </row>
    <row r="51" spans="1:10" x14ac:dyDescent="0.25">
      <c r="A51" s="240" t="str">
        <f ca="1">"+IconImage="&amp;""""&amp;INDIRECT("E8")&amp;""""</f>
        <v>+IconImage="img:///UILibrary_LWD.class_marksman"</v>
      </c>
      <c r="B51" s="234" t="s">
        <v>340</v>
      </c>
      <c r="C51" s="234"/>
      <c r="D51" s="234"/>
      <c r="E51" s="248" t="str">
        <f ca="1">IF(INDIRECT("V6")&lt;&gt;"","RandomNickNames[2]="""&amp;INDIRECT("V6")&amp;"""","")</f>
        <v>RandomNickNames[2]="Beta"</v>
      </c>
      <c r="F51" s="234" t="s">
        <v>340</v>
      </c>
      <c r="G51" s="234"/>
      <c r="H51" s="234"/>
      <c r="I51" s="234"/>
      <c r="J51" s="234"/>
    </row>
    <row r="52" spans="1:10" x14ac:dyDescent="0.25">
      <c r="A52" s="240" t="str">
        <f ca="1">"+NumInForcedDeck="&amp;INDIRECT("E9")</f>
        <v>+NumInForcedDeck=1</v>
      </c>
      <c r="B52" s="234" t="s">
        <v>340</v>
      </c>
      <c r="C52" s="234"/>
      <c r="D52" s="234"/>
      <c r="E52" s="248" t="str">
        <f ca="1">IF(INDIRECT("V7")&lt;&gt;"","RandomNickNames[3]="""&amp;INDIRECT("V7")&amp;"""","")</f>
        <v>RandomNickNames[3]="Bishop"</v>
      </c>
      <c r="F52" s="234" t="s">
        <v>340</v>
      </c>
      <c r="G52" s="234"/>
      <c r="H52" s="234"/>
      <c r="I52" s="234"/>
      <c r="J52" s="234"/>
    </row>
    <row r="53" spans="1:10" x14ac:dyDescent="0.25">
      <c r="A53" s="240" t="str">
        <f ca="1">"+NumInDeck="&amp;INDIRECT("E10")</f>
        <v>+NumInDeck=4</v>
      </c>
      <c r="B53" s="234" t="s">
        <v>340</v>
      </c>
      <c r="C53" s="234"/>
      <c r="D53" s="234"/>
      <c r="E53" s="248" t="str">
        <f ca="1">IF(INDIRECT("V8")&lt;&gt;"","RandomNickNames[4]="""&amp;INDIRECT("V8")&amp;"""","")</f>
        <v>RandomNickNames[4]="Bones"</v>
      </c>
      <c r="F53" s="234" t="s">
        <v>340</v>
      </c>
      <c r="G53" s="234"/>
      <c r="H53" s="234"/>
      <c r="I53" s="234"/>
      <c r="J53" s="234"/>
    </row>
    <row r="54" spans="1:10" x14ac:dyDescent="0.25">
      <c r="A54" s="240" t="str">
        <f ca="1">"+KillAssistsPerKill="&amp;INDIRECT("E11")</f>
        <v>+KillAssistsPerKill=5</v>
      </c>
      <c r="B54" s="234" t="s">
        <v>340</v>
      </c>
      <c r="C54" s="234"/>
      <c r="D54" s="234"/>
      <c r="E54" s="248" t="str">
        <f ca="1">IF(INDIRECT("V9")&lt;&gt;"","RandomNickNames[5]="""&amp;INDIRECT("V9")&amp;"""","")</f>
        <v>RandomNickNames[5]="Breaker"</v>
      </c>
      <c r="F54" s="234" t="s">
        <v>340</v>
      </c>
      <c r="G54" s="234"/>
      <c r="H54" s="234"/>
      <c r="I54" s="234"/>
      <c r="J54" s="234"/>
    </row>
    <row r="55" spans="1:10" x14ac:dyDescent="0.25">
      <c r="A55" s="240" t="str">
        <f ca="1">"+SquaddieLoadout=Squaddie"&amp;INDIRECT("C3")</f>
        <v>+SquaddieLoadout=SquaddieLWD_Marksman</v>
      </c>
      <c r="B55" s="234" t="s">
        <v>340</v>
      </c>
      <c r="C55" s="234"/>
      <c r="D55" s="234"/>
      <c r="E55" s="248" t="str">
        <f ca="1">IF(INDIRECT("V10")&lt;&gt;"","RandomNickNames[6]="""&amp;INDIRECT("V10")&amp;"""","")</f>
        <v>RandomNickNames[6]="Broker"</v>
      </c>
      <c r="F55" s="234" t="s">
        <v>340</v>
      </c>
      <c r="G55" s="234"/>
      <c r="H55" s="234"/>
      <c r="I55" s="234"/>
      <c r="J55" s="234"/>
    </row>
    <row r="56" spans="1:10" x14ac:dyDescent="0.25">
      <c r="A56" s="240" t="str">
        <f ca="1">";+bAllowAWCAbilities="&amp;INDIRECT("E12")&amp;" ; Not a thing in LW2"</f>
        <v>;+bAllowAWCAbilities=1 ; Not a thing in LW2</v>
      </c>
      <c r="B56" s="234" t="s">
        <v>340</v>
      </c>
      <c r="C56" s="234"/>
      <c r="D56" s="234"/>
      <c r="E56" s="248" t="str">
        <f ca="1">IF(INDIRECT("V11")&lt;&gt;"","RandomNickNames[7]="""&amp;INDIRECT("V11")&amp;"""","")</f>
        <v>RandomNickNames[7]="Conquest"</v>
      </c>
      <c r="F56" s="234" t="s">
        <v>340</v>
      </c>
      <c r="G56" s="234"/>
      <c r="H56" s="234"/>
      <c r="I56" s="234"/>
      <c r="J56" s="234"/>
    </row>
    <row r="57" spans="1:10" x14ac:dyDescent="0.25">
      <c r="A57" s="240" t="str">
        <f ca="1">IF(INDIRECT("B5")=FALSE,";","")&amp;"+AllowedWeapons=(SlotType=eInvSlot_PrimaryWeapon, WeaponType=""rifle"")"</f>
        <v>+AllowedWeapons=(SlotType=eInvSlot_PrimaryWeapon, WeaponType="rifle")</v>
      </c>
      <c r="B57" s="234" t="s">
        <v>340</v>
      </c>
      <c r="C57" s="234"/>
      <c r="D57" s="234"/>
      <c r="E57" s="248" t="str">
        <f ca="1">IF(INDIRECT("V12")&lt;&gt;"","RandomNickNames[8]="""&amp;INDIRECT("V12")&amp;"""","")</f>
        <v>RandomNickNames[8]="Deacon"</v>
      </c>
      <c r="F57" s="234" t="s">
        <v>340</v>
      </c>
      <c r="G57" s="234"/>
      <c r="H57" s="234"/>
      <c r="I57" s="234"/>
      <c r="J57" s="234"/>
    </row>
    <row r="58" spans="1:10" x14ac:dyDescent="0.25">
      <c r="A58" s="240" t="str">
        <f ca="1">IF(INDIRECT("B6")=FALSE,";","")&amp;"+AllowedWeapons=(SlotType=eInvSlot_PrimaryWeapon, WeaponType=""cannon"")"</f>
        <v>;+AllowedWeapons=(SlotType=eInvSlot_PrimaryWeapon, WeaponType="cannon")</v>
      </c>
      <c r="B58" s="234" t="s">
        <v>340</v>
      </c>
      <c r="C58" s="234"/>
      <c r="D58" s="234"/>
      <c r="E58" s="248" t="str">
        <f ca="1">IF(INDIRECT("V13")&lt;&gt;"","RandomNickNames[9]="""&amp;INDIRECT("V13")&amp;"""","")</f>
        <v>RandomNickNames[9]="Doomtrain"</v>
      </c>
      <c r="F58" s="234" t="s">
        <v>340</v>
      </c>
      <c r="G58" s="234"/>
      <c r="H58" s="234"/>
      <c r="I58" s="234"/>
      <c r="J58" s="234"/>
    </row>
    <row r="59" spans="1:10" x14ac:dyDescent="0.25">
      <c r="A59" s="240" t="str">
        <f ca="1">IF(INDIRECT("B7")=FALSE,";","")&amp;"+AllowedWeapons=(SlotType=eInvSlot_PrimaryWeapon, WeaponType=""shotgun"")"</f>
        <v>;+AllowedWeapons=(SlotType=eInvSlot_PrimaryWeapon, WeaponType="shotgun")</v>
      </c>
      <c r="B59" s="234" t="s">
        <v>340</v>
      </c>
      <c r="C59" s="234"/>
      <c r="D59" s="234"/>
      <c r="E59" s="248" t="str">
        <f ca="1">IF(INDIRECT("V14")&lt;&gt;"","RandomNickNames[10]="""&amp;INDIRECT("V14")&amp;"""","")</f>
        <v>RandomNickNames[10]="Dr. Feelgood"</v>
      </c>
      <c r="F59" s="234" t="s">
        <v>340</v>
      </c>
      <c r="G59" s="234"/>
      <c r="H59" s="234"/>
      <c r="I59" s="234"/>
      <c r="J59" s="234"/>
    </row>
    <row r="60" spans="1:10" x14ac:dyDescent="0.25">
      <c r="A60" s="240" t="str">
        <f ca="1">IF(INDIRECT("B8")=FALSE,";","")&amp;"+AllowedWeapons=(SlotType=eInvSlot_PrimaryWeapon, WeaponType=""sniper_rifle"")"</f>
        <v>+AllowedWeapons=(SlotType=eInvSlot_PrimaryWeapon, WeaponType="sniper_rifle")</v>
      </c>
      <c r="B60" s="234" t="s">
        <v>340</v>
      </c>
      <c r="C60" s="234"/>
      <c r="D60" s="234"/>
      <c r="E60" s="248" t="str">
        <f ca="1">IF(INDIRECT("V15")&lt;&gt;"","RandomNickNames[11]="""&amp;INDIRECT("V15")&amp;"""","")</f>
        <v>RandomNickNames[11]="Famine"</v>
      </c>
      <c r="F60" s="234" t="s">
        <v>340</v>
      </c>
      <c r="G60" s="234"/>
      <c r="H60" s="234"/>
      <c r="I60" s="234"/>
      <c r="J60" s="234"/>
    </row>
    <row r="61" spans="1:10" x14ac:dyDescent="0.25">
      <c r="A61" s="240" t="str">
        <f ca="1">IF(INDIRECT("B9")=FALSE,";","")&amp;"+AllowedWeapons=(SlotType=eInvSlot_SecondaryWeapon, WeaponType=""gauntlet"")"</f>
        <v>;+AllowedWeapons=(SlotType=eInvSlot_SecondaryWeapon, WeaponType="gauntlet")</v>
      </c>
      <c r="B61" s="234" t="s">
        <v>340</v>
      </c>
      <c r="C61" s="234"/>
      <c r="D61" s="234"/>
      <c r="E61" s="248" t="str">
        <f ca="1">IF(INDIRECT("V16")&lt;&gt;"","RandomNickNames[12]="""&amp;INDIRECT("V16")&amp;"""","")</f>
        <v>RandomNickNames[12]="Feedback"</v>
      </c>
      <c r="F61" s="234" t="s">
        <v>340</v>
      </c>
      <c r="G61" s="234"/>
      <c r="H61" s="234"/>
      <c r="I61" s="234"/>
      <c r="J61" s="234"/>
    </row>
    <row r="62" spans="1:10" x14ac:dyDescent="0.25">
      <c r="A62" s="240" t="str">
        <f ca="1">IF(INDIRECT("B10")=FALSE,";","")&amp;"+AllowedWeapons=(SlotType=eInvSlot_SecondaryWeapon, WeaponType=""combatknife"")"</f>
        <v>;+AllowedWeapons=(SlotType=eInvSlot_SecondaryWeapon, WeaponType="combatknife")</v>
      </c>
      <c r="B62" s="234" t="s">
        <v>340</v>
      </c>
      <c r="C62" s="234"/>
      <c r="D62" s="234"/>
      <c r="E62" s="248" t="str">
        <f ca="1">IF(INDIRECT("V17")&lt;&gt;"","RandomNickNames[13]="""&amp;INDIRECT("V17")&amp;"""","")</f>
        <v>RandomNickNames[13]="Firewall"</v>
      </c>
      <c r="F62" s="234" t="s">
        <v>340</v>
      </c>
      <c r="G62" s="234"/>
      <c r="H62" s="234"/>
      <c r="I62" s="234"/>
      <c r="J62" s="234"/>
    </row>
    <row r="63" spans="1:10" x14ac:dyDescent="0.25">
      <c r="A63" s="240" t="str">
        <f ca="1">IF(INDIRECT("B11")=FALSE,";","")&amp;"+AllowedWeapons=(SlotType=eInvSlot_SecondaryWeapon, WeaponType=""grenade_launcher"")"</f>
        <v>;+AllowedWeapons=(SlotType=eInvSlot_SecondaryWeapon, WeaponType="grenade_launcher")</v>
      </c>
      <c r="B63" s="234" t="s">
        <v>340</v>
      </c>
      <c r="C63" s="234"/>
      <c r="D63" s="234"/>
      <c r="E63" s="248" t="str">
        <f ca="1">IF(INDIRECT("V18")&lt;&gt;"","RandomNickNames[14]="""&amp;INDIRECT("V18")&amp;"""","")</f>
        <v>RandomNickNames[14]="Genius"</v>
      </c>
      <c r="F63" s="234" t="s">
        <v>340</v>
      </c>
      <c r="G63" s="234"/>
      <c r="H63" s="234"/>
      <c r="I63" s="234"/>
      <c r="J63" s="234"/>
    </row>
    <row r="64" spans="1:10" x14ac:dyDescent="0.25">
      <c r="A64" s="240" t="str">
        <f ca="1">IF(INDIRECT("B12")=FALSE,";","")&amp;"+AllowedWeapons=(SlotType=eInvSlot_SecondaryWeapon, WeaponType=""gremlin"")"</f>
        <v>;+AllowedWeapons=(SlotType=eInvSlot_SecondaryWeapon, WeaponType="gremlin")</v>
      </c>
      <c r="B64" s="234" t="s">
        <v>340</v>
      </c>
      <c r="C64" s="234"/>
      <c r="D64" s="234"/>
      <c r="E64" s="248" t="str">
        <f ca="1">IF(INDIRECT("V19")&lt;&gt;"","RandomNickNames[15]="""&amp;INDIRECT("V19")&amp;"""","")</f>
        <v>RandomNickNames[15]="Gizmo"</v>
      </c>
      <c r="F64" s="234" t="s">
        <v>340</v>
      </c>
      <c r="G64" s="234"/>
      <c r="H64" s="234"/>
      <c r="I64" s="234"/>
      <c r="J64" s="234"/>
    </row>
    <row r="65" spans="1:10" x14ac:dyDescent="0.25">
      <c r="A65" s="240" t="str">
        <f ca="1">IF(INDIRECT("B13")=FALSE,";","")&amp;"+AllowedWeapons=(SlotType=eInvSlot_SecondaryWeapon, WeaponType=""sword"")"</f>
        <v>;+AllowedWeapons=(SlotType=eInvSlot_SecondaryWeapon, WeaponType="sword")</v>
      </c>
      <c r="B65" s="234" t="s">
        <v>340</v>
      </c>
      <c r="C65" s="234"/>
      <c r="D65" s="234"/>
      <c r="E65" s="248" t="str">
        <f ca="1">IF(INDIRECT("V20")&lt;&gt;"","RandomNickNames[16]="""&amp;INDIRECT("V20")&amp;"""","")</f>
        <v>RandomNickNames[16]="Jester"</v>
      </c>
      <c r="F65" s="234" t="s">
        <v>340</v>
      </c>
      <c r="G65" s="234"/>
      <c r="H65" s="234"/>
      <c r="I65" s="234"/>
      <c r="J65" s="234"/>
    </row>
    <row r="66" spans="1:10" x14ac:dyDescent="0.25">
      <c r="A66" s="240" t="str">
        <f ca="1">IF(INDIRECT("B14")=FALSE,";","")&amp;"+AllowedWeapons=(SlotType=eInvSlot_SecondaryWeapon, WeaponType=""sawedoffshotgun"")"</f>
        <v>+AllowedWeapons=(SlotType=eInvSlot_SecondaryWeapon, WeaponType="sawedoffshotgun")</v>
      </c>
      <c r="B66" s="234" t="s">
        <v>340</v>
      </c>
      <c r="C66" s="234"/>
      <c r="D66" s="234"/>
      <c r="E66" s="248" t="str">
        <f ca="1">IF(INDIRECT("V21")&lt;&gt;"","RandomNickNames[17]="""&amp;INDIRECT("V21")&amp;"""","")</f>
        <v>RandomNickNames[17]="Jolt"</v>
      </c>
      <c r="F66" s="234" t="s">
        <v>340</v>
      </c>
      <c r="G66" s="234"/>
      <c r="H66" s="234"/>
      <c r="I66" s="234"/>
      <c r="J66" s="234"/>
    </row>
    <row r="67" spans="1:10" x14ac:dyDescent="0.25">
      <c r="A67" s="240" t="str">
        <f ca="1">IF(INDIRECT("B15")=FALSE,";","")&amp;"+AllowedWeapons=(SlotType=eInvSlot_SecondaryWeapon, WeaponType=""arcthrower"")"</f>
        <v>;+AllowedWeapons=(SlotType=eInvSlot_SecondaryWeapon, WeaponType="arcthrower")</v>
      </c>
      <c r="B67" s="234" t="s">
        <v>340</v>
      </c>
      <c r="C67" s="234"/>
      <c r="D67" s="234"/>
      <c r="E67" s="248" t="str">
        <f ca="1">IF(INDIRECT("V22")&lt;&gt;"","RandomNickNames[18]="""&amp;INDIRECT("V22")&amp;"""","")</f>
        <v>RandomNickNames[18]="Lightning"</v>
      </c>
      <c r="F67" s="234" t="s">
        <v>340</v>
      </c>
      <c r="G67" s="234"/>
      <c r="H67" s="234"/>
      <c r="I67" s="234"/>
      <c r="J67" s="234"/>
    </row>
    <row r="68" spans="1:10" x14ac:dyDescent="0.25">
      <c r="A68" s="240" t="str">
        <f ca="1">IF(INDIRECT("B16")=FALSE,";","")&amp;"+AllowedWeapons=(SlotType=eInvSlot_SecondaryWeapon, WeaponType=""holotargeter"")"</f>
        <v>;+AllowedWeapons=(SlotType=eInvSlot_SecondaryWeapon, WeaponType="holotargeter")</v>
      </c>
      <c r="B68" s="234" t="s">
        <v>340</v>
      </c>
      <c r="C68" s="234"/>
      <c r="D68" s="234"/>
      <c r="E68" s="248" t="str">
        <f ca="1">IF(INDIRECT("V23")&lt;&gt;"","RandomNickNames[19]="""&amp;INDIRECT("V23")&amp;"""","")</f>
        <v>RandomNickNames[19]="Mayday"</v>
      </c>
      <c r="F68" s="234" t="s">
        <v>340</v>
      </c>
      <c r="G68" s="234"/>
      <c r="H68" s="234"/>
      <c r="I68" s="234"/>
      <c r="J68" s="234"/>
    </row>
    <row r="69" spans="1:10" x14ac:dyDescent="0.25">
      <c r="A69" s="240" t="str">
        <f ca="1">IF(INDIRECT("B17")=FALSE,";","")&amp;"+AllowedWeapons=(SlotType=eInvSlot_SecondaryWeapon, WeaponType=""psiamp"")"</f>
        <v>;+AllowedWeapons=(SlotType=eInvSlot_SecondaryWeapon, WeaponType="psiamp")</v>
      </c>
      <c r="B69" s="234" t="s">
        <v>340</v>
      </c>
      <c r="C69" s="234"/>
      <c r="D69" s="234"/>
      <c r="E69" s="248" t="str">
        <f ca="1">IF(INDIRECT("V24")&lt;&gt;"","RandomNickNames[20]="""&amp;INDIRECT("V24")&amp;"""","")</f>
        <v>RandomNickNames[20]="Mega"</v>
      </c>
      <c r="F69" s="234" t="s">
        <v>340</v>
      </c>
      <c r="G69" s="234"/>
      <c r="H69" s="234"/>
      <c r="I69" s="234"/>
      <c r="J69" s="234"/>
    </row>
    <row r="70" spans="1:10" x14ac:dyDescent="0.25">
      <c r="A70" s="240" t="str">
        <f ca="1">IF(INDIRECT("B9")=FALSE,";","")&amp;"+AllowedWeapons=(SlotType=eInvSlot_HeavyWeapon, WeaponType=""heavyammo"")"</f>
        <v>;+AllowedWeapons=(SlotType=eInvSlot_HeavyWeapon, WeaponType="heavyammo")</v>
      </c>
      <c r="B70" s="234" t="s">
        <v>340</v>
      </c>
      <c r="C70" s="234"/>
      <c r="D70" s="234"/>
      <c r="E70" s="248" t="str">
        <f ca="1">IF(INDIRECT("V25")&lt;&gt;"","RandomNickNames[21]="""&amp;INDIRECT("V25")&amp;"""","")</f>
        <v>RandomNickNames[21]="Eyes"</v>
      </c>
      <c r="F70" s="234" t="s">
        <v>340</v>
      </c>
      <c r="G70" s="234"/>
      <c r="H70" s="234"/>
      <c r="I70" s="234"/>
      <c r="J70" s="234"/>
    </row>
    <row r="71" spans="1:10" x14ac:dyDescent="0.25">
      <c r="A71" s="240" t="str">
        <f ca="1">IF(INDIRECT("B9")=TRUE,";","")&amp;"+AllowedWeapons=(SlotType=eInvSlot_HeavyWeapon, WeaponType=""heavy"")"</f>
        <v>+AllowedWeapons=(SlotType=eInvSlot_HeavyWeapon, WeaponType="heavy")</v>
      </c>
      <c r="B71" s="234" t="s">
        <v>340</v>
      </c>
      <c r="C71" s="234"/>
      <c r="D71" s="234"/>
      <c r="E71" s="248" t="str">
        <f ca="1">IF(INDIRECT("V26")&lt;&gt;"","RandomNickNames[22]="""&amp;INDIRECT("V26")&amp;"""","")</f>
        <v>RandomNickNames[22]="Ragtime"</v>
      </c>
      <c r="F71" s="234" t="s">
        <v>340</v>
      </c>
      <c r="G71" s="234"/>
      <c r="H71" s="234"/>
      <c r="I71" s="234"/>
      <c r="J71" s="234"/>
    </row>
    <row r="72" spans="1:10" x14ac:dyDescent="0.25">
      <c r="A72" s="240" t="str">
        <f ca="1">"+AllowedArmors="&amp;INDIRECT("E13")</f>
        <v>+AllowedArmors=soldier</v>
      </c>
      <c r="B72" s="234" t="s">
        <v>340</v>
      </c>
      <c r="C72" s="234"/>
      <c r="D72" s="234"/>
      <c r="E72" s="248" t="str">
        <f ca="1">IF(INDIRECT("V27")&lt;&gt;"","RandomNickNames[23]="""&amp;INDIRECT("V27")&amp;"""","")</f>
        <v>RandomNickNames[23]="Rascal"</v>
      </c>
      <c r="F72" s="234" t="s">
        <v>340</v>
      </c>
      <c r="G72" s="234"/>
      <c r="H72" s="234"/>
      <c r="I72" s="234"/>
      <c r="J72" s="234"/>
    </row>
    <row r="73" spans="1:10" x14ac:dyDescent="0.25">
      <c r="A73" s="240" t="str">
        <f>"; squaddie"</f>
        <v>; squaddie</v>
      </c>
      <c r="B73" s="234" t="s">
        <v>340</v>
      </c>
      <c r="C73" s="234"/>
      <c r="D73" s="234"/>
      <c r="E73" s="248" t="str">
        <f ca="1">IF(INDIRECT("V28")&lt;&gt;"","RandomNickNames[24]="""&amp;INDIRECT("V28")&amp;"""","")</f>
        <v>RandomNickNames[24]="Rattler"</v>
      </c>
      <c r="F73" s="234" t="s">
        <v>340</v>
      </c>
      <c r="G73" s="234"/>
      <c r="H73" s="234"/>
      <c r="I73" s="234"/>
      <c r="J73" s="234"/>
    </row>
    <row r="74" spans="1:10" x14ac:dyDescent="0.25">
      <c r="A74" s="240" t="str">
        <f ca="1">"+SoldierRanks=(  aAbilityTree=( (AbilityName="""&amp;VLOOKUP(INDIRECT("F4"),Abilities,2,FALSE)&amp;""""&amp;IF(VLOOKUP(INDIRECT("F4"),Abilities,3,FALSE)="","",", ApplyToWeaponSlot=eInvSlot_"&amp;VLOOKUP(INDIRECT("F4"),Abilities,3,FALSE))&amp;"), \\"</f>
        <v>+SoldierRanks=(  aAbilityTree=( (AbilityName="PointBlank", ApplyToWeaponSlot=eInvSlot_SecondaryWeapon), \\</v>
      </c>
      <c r="B74" s="234" t="s">
        <v>340</v>
      </c>
      <c r="C74" s="234"/>
      <c r="D74" s="234"/>
      <c r="E74" s="248" t="str">
        <f ca="1">IF(INDIRECT("V29")&lt;&gt;"","RandomNickNames[25]="""&amp;INDIRECT("V29")&amp;"""","")</f>
        <v>RandomNickNames[25]="Revelation"</v>
      </c>
      <c r="F74" s="234" t="s">
        <v>340</v>
      </c>
      <c r="G74" s="234"/>
      <c r="H74" s="234"/>
      <c r="I74" s="234"/>
      <c r="J74" s="234"/>
    </row>
    <row r="75" spans="1:10" x14ac:dyDescent="0.25">
      <c r="A75" s="240" t="str">
        <f ca="1">IF(INDIRECT("I4")="","\\","(AbilityName="""&amp;VLOOKUP(INDIRECT("I4"),Abilities,2,FALSE)&amp;""""&amp;IF(VLOOKUP(INDIRECT("I4"),Abilities,3,FALSE)="","",", ApplyToWeaponSlot=eInvSlot_"&amp;VLOOKUP(INDIRECT("I4"),Abilities,3,FALSE))&amp;"), \\")</f>
        <v>(AbilityName="BothBarrels", ApplyToWeaponSlot=eInvSlot_SecondaryWeapon), \\</v>
      </c>
      <c r="B75" s="234" t="s">
        <v>340</v>
      </c>
      <c r="C75" s="234"/>
      <c r="D75" s="234"/>
      <c r="E75" s="248" t="str">
        <f ca="1">IF(INDIRECT("V30")&lt;&gt;"","RandomNickNames[26]="""&amp;INDIRECT("V30")&amp;"""","")</f>
        <v>RandomNickNames[26]="Hitman"</v>
      </c>
      <c r="F75" s="234" t="s">
        <v>340</v>
      </c>
      <c r="G75" s="234"/>
      <c r="H75" s="234"/>
      <c r="I75" s="234"/>
      <c r="J75" s="234"/>
    </row>
    <row r="76" spans="1:10" x14ac:dyDescent="0.25">
      <c r="A76" s="240" t="str">
        <f ca="1">IF(INDIRECT("L4")="","\\","(AbilityName="""&amp;VLOOKUP(INDIRECT("L4"),Abilities,2,FALSE)&amp;""""&amp;IF(VLOOKUP(INDIRECT("L4"),Abilities,3,FALSE)="","",", ApplyToWeaponSlot=eInvSlot_"&amp;VLOOKUP(INDIRECT("L4"),Abilities,3,FALSE))&amp;"), \\")</f>
        <v>(AbilityName="SnapShot", ApplyToWeaponSlot=eInvSlot_PrimaryWeapon), \\</v>
      </c>
      <c r="B76" s="234" t="s">
        <v>340</v>
      </c>
      <c r="C76" s="234"/>
      <c r="D76" s="234"/>
      <c r="E76" s="248" t="str">
        <f ca="1">IF(INDIRECT("V31")&lt;&gt;"","RandomNickNames[27]="""&amp;INDIRECT("V31")&amp;"""","")</f>
        <v>RandomNickNames[27]="Thunder"</v>
      </c>
      <c r="F76" s="234" t="s">
        <v>340</v>
      </c>
      <c r="G76" s="234"/>
      <c r="H76" s="234"/>
      <c r="I76" s="234"/>
      <c r="J76" s="234"/>
    </row>
    <row r="77" spans="1:10" x14ac:dyDescent="0.25">
      <c r="A77" s="240" t="str">
        <f ca="1">IF(INDIRECT("F7")="","\\","(AbilityName="""&amp;VLOOKUP(INDIRECT("F7"),Abilities,2,FALSE)&amp;""""&amp;IF(VLOOKUP(INDIRECT("F7"),Abilities,3,FALSE)="","",", ApplyToWeaponSlot=eInvSlot_"&amp;VLOOKUP(INDIRECT("F7"),Abilities,3,FALSE))&amp;"), \\")</f>
        <v>\\</v>
      </c>
      <c r="B77" s="234" t="s">
        <v>340</v>
      </c>
      <c r="C77" s="234"/>
      <c r="D77" s="234"/>
      <c r="E77" s="248" t="str">
        <f ca="1">IF(INDIRECT("V32")&lt;&gt;"","RandomNickNames[28]="""&amp;INDIRECT("V32")&amp;"""","")</f>
        <v>RandomNickNames[28]="Undertaker"</v>
      </c>
      <c r="F77" s="234" t="s">
        <v>340</v>
      </c>
      <c r="G77" s="234"/>
      <c r="H77" s="234"/>
      <c r="I77" s="234"/>
      <c r="J77" s="234"/>
    </row>
    <row r="78" spans="1:10" x14ac:dyDescent="0.25">
      <c r="A78" s="240" t="str">
        <f ca="1">IF(INDIRECT("I7")="","\\","(AbilityName="""&amp;VLOOKUP(INDIRECT("I7"),Abilities,2,FALSE)&amp;""""&amp;IF(VLOOKUP(INDIRECT("I7"),Abilities,3,FALSE)="","",", ApplyToWeaponSlot=eInvSlot_"&amp;VLOOKUP(INDIRECT("I7"),Abilities,3,FALSE))&amp;"), \\")</f>
        <v>\\</v>
      </c>
      <c r="B78" s="234" t="s">
        <v>340</v>
      </c>
      <c r="C78" s="234"/>
      <c r="D78" s="234"/>
      <c r="E78" s="248" t="str">
        <f ca="1">IF(INDIRECT("V33")&lt;&gt;"","RandomNickNames[29]="""&amp;INDIRECT("V33")&amp;"""","")</f>
        <v>RandomNickNames[29]="War"</v>
      </c>
      <c r="F78" s="234" t="s">
        <v>340</v>
      </c>
      <c r="G78" s="234"/>
      <c r="H78" s="234"/>
      <c r="I78" s="234"/>
      <c r="J78" s="234"/>
    </row>
    <row r="79" spans="1:10" x14ac:dyDescent="0.25">
      <c r="A79" s="240" t="str">
        <f ca="1">IF(INDIRECT("L7")="","\\","(AbilityName="""&amp;VLOOKUP(INDIRECT("L7"),Abilities,2,FALSE)&amp;""""&amp;IF(VLOOKUP(INDIRECT("L7"),Abilities,3,FALSE)="","",", ApplyToWeaponSlot=eInvSlot_"&amp;VLOOKUP(INDIRECT("L7"),Abilities,3,FALSE))&amp;"), \\")</f>
        <v>\\</v>
      </c>
      <c r="B79" s="234" t="s">
        <v>340</v>
      </c>
      <c r="C79" s="234"/>
      <c r="D79" s="234"/>
      <c r="E79" s="248" t="str">
        <f ca="1">IF(INDIRECT("V34")&lt;&gt;"","RandomNickNames[30]="""&amp;INDIRECT("V34")&amp;"""","")</f>
        <v>RandomNickNames[30]="Whoopsie"</v>
      </c>
      <c r="F79" s="234" t="s">
        <v>340</v>
      </c>
      <c r="G79" s="234"/>
      <c r="H79" s="234"/>
      <c r="I79" s="234"/>
      <c r="J79" s="234"/>
    </row>
    <row r="80" spans="1:10" x14ac:dyDescent="0.25">
      <c r="A80" s="240" t="s">
        <v>337</v>
      </c>
      <c r="B80" s="234" t="s">
        <v>340</v>
      </c>
      <c r="C80" s="234"/>
      <c r="D80" s="234"/>
      <c r="E80" s="248" t="str">
        <f ca="1">IF(INDIRECT("V35")&lt;&gt;"","RandomNickNames[31]="""&amp;INDIRECT("V35")&amp;"""","")</f>
        <v>RandomNickNames[31]="Zulu"</v>
      </c>
      <c r="F80" s="234" t="s">
        <v>340</v>
      </c>
      <c r="G80" s="234"/>
      <c r="H80" s="234"/>
      <c r="I80" s="234"/>
      <c r="J80" s="234"/>
    </row>
    <row r="81" spans="1:10" x14ac:dyDescent="0.25">
      <c r="A81" s="240"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aStatProgression=((StatType=eStat_Offense,StatAmount=3), (StatType=eStat_HP,StatAmount=0), (StatType=eStat_Hacking,StatAmount=0), (StatType=eStat_CombatSims,StatAmount=1), (StatType=eStat_Will,StatAmount=3)),\\</v>
      </c>
      <c r="B81" s="234" t="s">
        <v>340</v>
      </c>
      <c r="C81" s="234"/>
      <c r="D81" s="234"/>
      <c r="E81" s="248" t="str">
        <f>"; Male Nicknames"</f>
        <v>; Male Nicknames</v>
      </c>
      <c r="F81" s="234" t="s">
        <v>340</v>
      </c>
      <c r="G81" s="234"/>
      <c r="H81" s="234"/>
      <c r="I81" s="234"/>
      <c r="J81" s="234"/>
    </row>
    <row r="82" spans="1:10" x14ac:dyDescent="0.25">
      <c r="A82" s="240" t="s">
        <v>338</v>
      </c>
      <c r="B82" s="234" t="s">
        <v>340</v>
      </c>
      <c r="C82" s="234"/>
      <c r="D82" s="234"/>
      <c r="E82" s="248" t="str">
        <f ca="1">IF(INDIRECT("X4")&lt;&gt;"","RandomNickNames_Male[0]="""&amp;INDIRECT("X4")&amp;"""","")</f>
        <v>RandomNickNames_Male[0]="Candyman"</v>
      </c>
      <c r="F82" s="234" t="s">
        <v>340</v>
      </c>
      <c r="G82" s="234"/>
      <c r="H82" s="234"/>
      <c r="I82" s="234"/>
      <c r="J82" s="234"/>
    </row>
    <row r="83" spans="1:10" x14ac:dyDescent="0.25">
      <c r="A83" s="240" t="str">
        <f>"; lance corporal"</f>
        <v>; lance corporal</v>
      </c>
      <c r="B83" s="234" t="s">
        <v>340</v>
      </c>
      <c r="C83" s="234"/>
      <c r="D83" s="234"/>
      <c r="E83" s="248" t="str">
        <f ca="1">IF(INDIRECT("X5")&lt;&gt;"","RandomNickNames_Male[1]="""&amp;INDIRECT("X5")&amp;"""","")</f>
        <v>RandomNickNames_Male[1]="Magic Man"</v>
      </c>
      <c r="F83" s="234" t="s">
        <v>340</v>
      </c>
      <c r="G83" s="234"/>
      <c r="H83" s="234"/>
      <c r="I83" s="234"/>
      <c r="J83" s="234"/>
    </row>
    <row r="84" spans="1:10" x14ac:dyDescent="0.25">
      <c r="A84" s="240" t="str">
        <f ca="1">"+SoldierRanks=(  aAbilityTree=( (AbilityName="""&amp;VLOOKUP(INDIRECT("F13"),Abilities,2,FALSE)&amp;""""&amp;IF(VLOOKUP(INDIRECT("F13"),Abilities,3,FALSE)="","",", ApplyToWeaponSlot=eInvSlot_"&amp;VLOOKUP(INDIRECT("F13"),Abilities,3,FALSE))&amp;"), \\"</f>
        <v>+SoldierRanks=(  aAbilityTree=( (AbilityName="Squadsight"), \\</v>
      </c>
      <c r="B84" s="234" t="s">
        <v>340</v>
      </c>
      <c r="C84" s="234"/>
      <c r="D84" s="234"/>
      <c r="E84" s="248" t="str">
        <f ca="1">IF(INDIRECT("X6")&lt;&gt;"","RandomNickNames_Male[2]="""&amp;INDIRECT("X6")&amp;"""","")</f>
        <v>RandomNickNames_Male[2]="Priest"</v>
      </c>
      <c r="F84" s="234" t="s">
        <v>340</v>
      </c>
      <c r="G84" s="234"/>
      <c r="H84" s="234"/>
      <c r="I84" s="234"/>
      <c r="J84" s="234"/>
    </row>
    <row r="85" spans="1:10" x14ac:dyDescent="0.25">
      <c r="A85" s="240" t="str">
        <f ca="1">IF(INDIRECT("I13")="","\\","(AbilityName="""&amp;VLOOKUP(INDIRECT("I13"),Abilities,2,FALSE)&amp;""""&amp;IF(VLOOKUP(INDIRECT("I13"),Abilities,3,FALSE)="","",", ApplyToWeaponSlot=eInvSlot_"&amp;VLOOKUP(INDIRECT("I13"),Abilities,3,FALSE))&amp;"), \\")</f>
        <v>(AbilityName=" "), \\</v>
      </c>
      <c r="B85" s="234" t="s">
        <v>340</v>
      </c>
      <c r="C85" s="234"/>
      <c r="D85" s="234"/>
      <c r="E85" s="248" t="str">
        <f ca="1">IF(INDIRECT("X7")&lt;&gt;"","RandomNickNames_Male[3]="""&amp;INDIRECT("X7")&amp;"""","")</f>
        <v>RandomNickNames_Male[3]="Rainman"</v>
      </c>
      <c r="F85" s="234" t="s">
        <v>340</v>
      </c>
      <c r="G85" s="234"/>
      <c r="H85" s="234"/>
      <c r="I85" s="234"/>
      <c r="J85" s="234"/>
    </row>
    <row r="86" spans="1:10" x14ac:dyDescent="0.25">
      <c r="A86" s="240" t="str">
        <f ca="1">IF(INDIRECT("L13")="","\\","(AbilityName="""&amp;VLOOKUP(INDIRECT("L13"),Abilities,2,FALSE)&amp;""""&amp;IF(VLOOKUP(INDIRECT("L13"),Abilities,3,FALSE)="","",", ApplyToWeaponSlot=eInvSlot_"&amp;VLOOKUP(INDIRECT("L13"),Abilities,3,FALSE))&amp;"), \\")</f>
        <v>(AbilityName="LWD_SpareShells", ApplyToWeaponSlot=eInvSlot_SecondaryWeapon), \\</v>
      </c>
      <c r="B86" s="234" t="s">
        <v>340</v>
      </c>
      <c r="C86" s="234"/>
      <c r="D86" s="234"/>
      <c r="E86" s="248" t="str">
        <f ca="1">IF(INDIRECT("X8")&lt;&gt;"","RandomNickNames_Male[4]="""&amp;INDIRECT("X8")&amp;"""","")</f>
        <v>RandomNickNames_Male[4]="Rooster"</v>
      </c>
      <c r="F86" s="234" t="s">
        <v>340</v>
      </c>
      <c r="G86" s="234"/>
      <c r="H86" s="234"/>
      <c r="I86" s="234"/>
      <c r="J86" s="234"/>
    </row>
    <row r="87" spans="1:10" x14ac:dyDescent="0.25">
      <c r="A87" s="240" t="s">
        <v>337</v>
      </c>
      <c r="B87" s="234" t="s">
        <v>340</v>
      </c>
      <c r="C87" s="234"/>
      <c r="D87" s="234"/>
      <c r="E87" s="248" t="str">
        <f>"; Female Nicknames"</f>
        <v>; Female Nicknames</v>
      </c>
      <c r="F87" s="234" t="s">
        <v>340</v>
      </c>
      <c r="G87" s="234"/>
      <c r="H87" s="234"/>
      <c r="I87" s="234"/>
      <c r="J87" s="234"/>
    </row>
    <row r="88" spans="1:10" x14ac:dyDescent="0.25">
      <c r="A88" s="240"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aStatProgression=((StatType=eStat_Offense,StatAmount=3), (StatType=eStat_HP,StatAmount=0), (StatType=eStat_Hacking,StatAmount=0), (StatType=eStat_Will,StatAmount=3)),\\</v>
      </c>
      <c r="B88" s="234" t="s">
        <v>340</v>
      </c>
      <c r="C88" s="234"/>
      <c r="D88" s="234"/>
      <c r="E88" s="248" t="str">
        <f ca="1">IF(INDIRECT("X10")&lt;&gt;"","RandomNickNames_Female[0]="""&amp;INDIRECT("X10")&amp;"""","")</f>
        <v>RandomNickNames_Female[0]="Priestess"</v>
      </c>
      <c r="F88" s="234" t="s">
        <v>340</v>
      </c>
      <c r="G88" s="234"/>
      <c r="H88" s="234"/>
      <c r="I88" s="234"/>
      <c r="J88" s="234"/>
    </row>
    <row r="89" spans="1:10" x14ac:dyDescent="0.25">
      <c r="A89" s="240" t="s">
        <v>338</v>
      </c>
      <c r="B89" s="234" t="s">
        <v>340</v>
      </c>
      <c r="C89" s="234"/>
      <c r="D89" s="234"/>
      <c r="E89" s="248" t="str">
        <f ca="1">IF(INDIRECT("X11")&lt;&gt;"","RandomNickNames_Female[1]="""&amp;INDIRECT("X11")&amp;"""","")</f>
        <v>RandomNickNames_Female[1]="Wolfmother"</v>
      </c>
      <c r="F89" s="234" t="s">
        <v>340</v>
      </c>
      <c r="G89" s="234"/>
      <c r="H89" s="234"/>
      <c r="I89" s="234"/>
      <c r="J89" s="234"/>
    </row>
    <row r="90" spans="1:10" x14ac:dyDescent="0.25">
      <c r="A90" s="240" t="str">
        <f>"; corporal"</f>
        <v>; corporal</v>
      </c>
      <c r="B90" s="234" t="s">
        <v>340</v>
      </c>
      <c r="C90" s="234"/>
      <c r="D90" s="234"/>
      <c r="E90" s="248" t="str">
        <f ca="1">IF(INDIRECT("X12")&lt;&gt;"","RandomNickNames_Female[2]="""&amp;INDIRECT("X12")&amp;"""","")</f>
        <v>RandomNickNames_Female[2]="Black Widow"</v>
      </c>
      <c r="F90" s="234" t="s">
        <v>340</v>
      </c>
      <c r="G90" s="234"/>
      <c r="H90" s="234"/>
      <c r="I90" s="234"/>
      <c r="J90" s="234"/>
    </row>
    <row r="91" spans="1:10" x14ac:dyDescent="0.25">
      <c r="A91" s="240" t="str">
        <f ca="1">"+SoldierRanks=(  aAbilityTree=( (AbilityName="""&amp;VLOOKUP(INDIRECT("F17"),Abilities,2,FALSE)&amp;""""&amp;IF(VLOOKUP(INDIRECT("F17"),Abilities,3,FALSE)="","",", ApplyToWeaponSlot=eInvSlot_"&amp;VLOOKUP(INDIRECT("F17"),Abilities,3,FALSE))&amp;"), \\"</f>
        <v>+SoldierRanks=(  aAbilityTree=( (AbilityName=" "), \\</v>
      </c>
      <c r="B91" s="234" t="s">
        <v>340</v>
      </c>
      <c r="C91" s="234"/>
      <c r="D91" s="234"/>
      <c r="E91" s="248" t="str">
        <f ca="1">IF(INDIRECT("X13")&lt;&gt;"","RandomNickNames_Female[3]="""&amp;INDIRECT("X13")&amp;"""","")</f>
        <v>RandomNickNames_Female[3]="Duchess"</v>
      </c>
      <c r="F91" s="234" t="s">
        <v>340</v>
      </c>
      <c r="G91" s="234"/>
      <c r="H91" s="234"/>
      <c r="I91" s="234"/>
      <c r="J91" s="234"/>
    </row>
    <row r="92" spans="1:10" ht="15.75" thickBot="1" x14ac:dyDescent="0.3">
      <c r="A92" s="240" t="str">
        <f ca="1">IF(INDIRECT("I17")="","\\","(AbilityName="""&amp;VLOOKUP(INDIRECT("I17"),Abilities,2,FALSE)&amp;""""&amp;IF(VLOOKUP(INDIRECT("I17"),Abilities,3,FALSE)="","",", ApplyToWeaponSlot=eInvSlot_"&amp;VLOOKUP(INDIRECT("I17"),Abilities,3,FALSE))&amp;"), \\")</f>
        <v>(AbilityName="PrecisionShot", ApplyToWeaponSlot=eInvSlot_PrimaryWeapon), \\</v>
      </c>
      <c r="B92" s="234" t="s">
        <v>340</v>
      </c>
      <c r="C92" s="234"/>
      <c r="D92" s="234"/>
      <c r="E92" s="249" t="str">
        <f ca="1">IF(INDIRECT("X14")&lt;&gt;"","RandomNickNames_Female[4]="""&amp;INDIRECT("X14")&amp;"""","")</f>
        <v>RandomNickNames_Female[4]="Queen"</v>
      </c>
      <c r="F92" s="234" t="s">
        <v>340</v>
      </c>
      <c r="G92" s="234"/>
      <c r="H92" s="234"/>
      <c r="I92" s="234"/>
      <c r="J92" s="234"/>
    </row>
    <row r="93" spans="1:10" x14ac:dyDescent="0.25">
      <c r="A93" s="240" t="str">
        <f ca="1">IF(INDIRECT("L17")="","\\","(AbilityName="""&amp;VLOOKUP(INDIRECT("L17"),Abilities,2,FALSE)&amp;""""&amp;IF(VLOOKUP(INDIRECT("L17"),Abilities,3,FALSE)="","",", ApplyToWeaponSlot=eInvSlot_"&amp;VLOOKUP(INDIRECT("L17"),Abilities,3,FALSE))&amp;"), \\")</f>
        <v>(AbilityName=" "), \\</v>
      </c>
      <c r="B93" s="234" t="s">
        <v>340</v>
      </c>
      <c r="C93" s="234"/>
      <c r="D93" s="234"/>
      <c r="E93" s="234"/>
      <c r="F93" s="234"/>
      <c r="G93" s="234"/>
      <c r="H93" s="234"/>
      <c r="I93" s="234"/>
      <c r="J93" s="234"/>
    </row>
    <row r="94" spans="1:10" x14ac:dyDescent="0.25">
      <c r="A94" s="240" t="s">
        <v>337</v>
      </c>
      <c r="B94" s="234" t="s">
        <v>340</v>
      </c>
      <c r="C94" s="234"/>
      <c r="D94" s="234"/>
      <c r="E94" s="234"/>
      <c r="F94" s="234"/>
      <c r="G94" s="234"/>
      <c r="H94" s="234"/>
      <c r="I94" s="234"/>
      <c r="J94" s="234"/>
    </row>
    <row r="95" spans="1:10" x14ac:dyDescent="0.25">
      <c r="A95" s="240"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aStatProgression=((StatType=eStat_Offense,StatAmount=3), (StatType=eStat_HP,StatAmount=0), (StatType=eStat_Hacking,StatAmount=0)),\\</v>
      </c>
      <c r="B95" s="234" t="s">
        <v>340</v>
      </c>
      <c r="C95" s="234"/>
      <c r="D95" s="234"/>
      <c r="E95" s="234"/>
      <c r="F95" s="234"/>
      <c r="G95" s="234"/>
      <c r="H95" s="234"/>
      <c r="I95" s="234"/>
      <c r="J95" s="234"/>
    </row>
    <row r="96" spans="1:10" x14ac:dyDescent="0.25">
      <c r="A96" s="240" t="s">
        <v>338</v>
      </c>
      <c r="B96" s="234" t="s">
        <v>340</v>
      </c>
      <c r="C96" s="234"/>
      <c r="D96" s="234"/>
      <c r="E96" s="234"/>
      <c r="F96" s="234"/>
      <c r="G96" s="234"/>
      <c r="H96" s="234"/>
      <c r="I96" s="234"/>
      <c r="J96" s="234"/>
    </row>
    <row r="97" spans="1:10" x14ac:dyDescent="0.25">
      <c r="A97" s="240" t="str">
        <f>"; sergeant"</f>
        <v>; sergeant</v>
      </c>
      <c r="B97" s="234" t="s">
        <v>340</v>
      </c>
      <c r="C97" s="234"/>
      <c r="D97" s="234"/>
      <c r="E97" s="234"/>
      <c r="F97" s="234"/>
      <c r="G97" s="234"/>
      <c r="H97" s="234"/>
      <c r="I97" s="234"/>
      <c r="J97" s="234"/>
    </row>
    <row r="98" spans="1:10" x14ac:dyDescent="0.25">
      <c r="A98" s="240" t="str">
        <f ca="1">"+SoldierRanks=(  aAbilityTree=( (AbilityName="""&amp;VLOOKUP(INDIRECT("F21"),Abilities,2,FALSE)&amp;""""&amp;IF(VLOOKUP(INDIRECT("F21"),Abilities,3,FALSE)="","",", ApplyToWeaponSlot=eInvSlot_"&amp;VLOOKUP(INDIRECT("F21"),Abilities,3,FALSE))&amp;"), \\"</f>
        <v>+SoldierRanks=(  aAbilityTree=( (AbilityName="LowProfile"), \\</v>
      </c>
      <c r="B98" s="234" t="s">
        <v>340</v>
      </c>
      <c r="C98" s="234"/>
      <c r="D98" s="234"/>
      <c r="E98" s="234"/>
      <c r="F98" s="234"/>
      <c r="G98" s="234"/>
      <c r="H98" s="234"/>
      <c r="I98" s="234"/>
      <c r="J98" s="234"/>
    </row>
    <row r="99" spans="1:10" x14ac:dyDescent="0.25">
      <c r="A99" s="240" t="str">
        <f ca="1">IF(INDIRECT("I21")="","\\","(AbilityName="""&amp;VLOOKUP(INDIRECT("I21"),Abilities,2,FALSE)&amp;""""&amp;IF(VLOOKUP(INDIRECT("I21"),Abilities,3,FALSE)="","",", ApplyToWeaponSlot=eInvSlot_"&amp;VLOOKUP(INDIRECT("I21"),Abilities,3,FALSE))&amp;"), \\")</f>
        <v>(AbilityName=" "), \\</v>
      </c>
      <c r="B99" s="234" t="s">
        <v>340</v>
      </c>
      <c r="C99" s="234"/>
      <c r="D99" s="234"/>
      <c r="E99" s="234"/>
      <c r="F99" s="234"/>
      <c r="G99" s="234"/>
      <c r="H99" s="234"/>
      <c r="I99" s="234"/>
      <c r="J99" s="234"/>
    </row>
    <row r="100" spans="1:10" x14ac:dyDescent="0.25">
      <c r="A100" s="240" t="str">
        <f ca="1">IF(INDIRECT("L21")="","\\","(AbilityName="""&amp;VLOOKUP(INDIRECT("L21"),Abilities,2,FALSE)&amp;""""&amp;IF(VLOOKUP(INDIRECT("L21"),Abilities,3,FALSE)="","",", ApplyToWeaponSlot=eInvSlot_"&amp;VLOOKUP(INDIRECT("L21"),Abilities,3,FALSE))&amp;"), \\")</f>
        <v>(AbilityName="HitWhereItHurts", ApplyToWeaponSlot=eInvSlot_PrimaryWeapon), \\</v>
      </c>
      <c r="B100" s="234" t="s">
        <v>340</v>
      </c>
      <c r="C100" s="234"/>
      <c r="D100" s="234"/>
      <c r="E100" s="234"/>
      <c r="F100" s="234"/>
      <c r="G100" s="234"/>
      <c r="H100" s="234"/>
      <c r="I100" s="234"/>
      <c r="J100" s="234"/>
    </row>
    <row r="101" spans="1:10" x14ac:dyDescent="0.25">
      <c r="A101" s="240" t="s">
        <v>337</v>
      </c>
      <c r="B101" s="234" t="s">
        <v>340</v>
      </c>
      <c r="C101" s="234"/>
      <c r="D101" s="234"/>
      <c r="E101" s="234"/>
      <c r="F101" s="234"/>
      <c r="G101" s="234"/>
      <c r="H101" s="234"/>
      <c r="I101" s="234"/>
      <c r="J101" s="234"/>
    </row>
    <row r="102" spans="1:10" x14ac:dyDescent="0.25">
      <c r="A102" s="240"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aStatProgression=((StatType=eStat_Offense,StatAmount=3), (StatType=eStat_HP,StatAmount=1), (StatType=eStat_Hacking,StatAmount=0)),\\</v>
      </c>
      <c r="B102" s="234" t="s">
        <v>340</v>
      </c>
      <c r="C102" s="234"/>
      <c r="D102" s="234"/>
      <c r="E102" s="234"/>
      <c r="F102" s="234"/>
      <c r="G102" s="234"/>
      <c r="H102" s="234"/>
      <c r="I102" s="234"/>
      <c r="J102" s="234"/>
    </row>
    <row r="103" spans="1:10" x14ac:dyDescent="0.25">
      <c r="A103" s="240" t="s">
        <v>338</v>
      </c>
      <c r="B103" s="234" t="s">
        <v>340</v>
      </c>
      <c r="C103" s="234"/>
      <c r="D103" s="234"/>
      <c r="E103" s="234"/>
      <c r="F103" s="234"/>
      <c r="G103" s="234"/>
      <c r="H103" s="234"/>
      <c r="I103" s="234"/>
      <c r="J103" s="234"/>
    </row>
    <row r="104" spans="1:10" x14ac:dyDescent="0.25">
      <c r="A104" s="240" t="str">
        <f>"; staff sergeant"</f>
        <v>; staff sergeant</v>
      </c>
      <c r="B104" s="234" t="s">
        <v>340</v>
      </c>
      <c r="C104" s="234"/>
      <c r="D104" s="234"/>
      <c r="E104" s="234"/>
      <c r="F104" s="234"/>
      <c r="G104" s="234"/>
      <c r="H104" s="234"/>
      <c r="I104" s="234"/>
      <c r="J104" s="234"/>
    </row>
    <row r="105" spans="1:10" x14ac:dyDescent="0.25">
      <c r="A105" s="240" t="str">
        <f ca="1">"+SoldierRanks=(  aAbilityTree=( (AbilityName="""&amp;VLOOKUP(INDIRECT("F25"),Abilities,2,FALSE)&amp;""""&amp;IF(VLOOKUP(INDIRECT("F25"),Abilities,3,FALSE)="","",", ApplyToWeaponSlot=eInvSlot_"&amp;VLOOKUP(INDIRECT("F25"),Abilities,3,FALSE))&amp;"), \\"</f>
        <v>+SoldierRanks=(  aAbilityTree=( (AbilityName="CenterMass", ApplyToWeaponSlot=eInvSlot_PrimaryWeapon), \\</v>
      </c>
      <c r="B105" s="234" t="s">
        <v>340</v>
      </c>
      <c r="C105" s="234"/>
      <c r="D105" s="234"/>
      <c r="E105" s="234"/>
      <c r="F105" s="234"/>
      <c r="G105" s="234"/>
      <c r="H105" s="234"/>
      <c r="I105" s="234"/>
      <c r="J105" s="234"/>
    </row>
    <row r="106" spans="1:10" x14ac:dyDescent="0.25">
      <c r="A106" s="240" t="str">
        <f ca="1">IF(INDIRECT("I25")="","\\","(AbilityName="""&amp;VLOOKUP(INDIRECT("I25"),Abilities,2,FALSE)&amp;""""&amp;IF(VLOOKUP(INDIRECT("I25"),Abilities,3,FALSE)="","",", ApplyToWeaponSlot=eInvSlot_"&amp;VLOOKUP(INDIRECT("I25"),Abilities,3,FALSE))&amp;"), \\")</f>
        <v>(AbilityName=" "), \\</v>
      </c>
      <c r="B106" s="234" t="s">
        <v>340</v>
      </c>
      <c r="C106" s="234"/>
      <c r="D106" s="234"/>
      <c r="E106" s="234"/>
      <c r="F106" s="234"/>
      <c r="G106" s="234"/>
      <c r="H106" s="234"/>
      <c r="I106" s="234"/>
      <c r="J106" s="234"/>
    </row>
    <row r="107" spans="1:10" x14ac:dyDescent="0.25">
      <c r="A107" s="240" t="str">
        <f ca="1">IF(INDIRECT("L25")="","\\","(AbilityName="""&amp;VLOOKUP(INDIRECT("L25"),Abilities,2,FALSE)&amp;""""&amp;IF(VLOOKUP(INDIRECT("L25"),Abilities,3,FALSE)="","",", ApplyToWeaponSlot=eInvSlot_"&amp;VLOOKUP(INDIRECT("L25"),Abilities,3,FALSE))&amp;"), \\")</f>
        <v>(AbilityName="LWD_TightChoke", ApplyToWeaponSlot=eInvSlot_SecondaryWeapon), \\</v>
      </c>
      <c r="B107" s="234" t="s">
        <v>340</v>
      </c>
      <c r="C107" s="234"/>
      <c r="D107" s="234"/>
      <c r="E107" s="234"/>
      <c r="F107" s="234"/>
      <c r="G107" s="234"/>
      <c r="H107" s="234"/>
      <c r="I107" s="234"/>
      <c r="J107" s="234"/>
    </row>
    <row r="108" spans="1:10" x14ac:dyDescent="0.25">
      <c r="A108" s="240" t="s">
        <v>337</v>
      </c>
      <c r="B108" s="234" t="s">
        <v>340</v>
      </c>
      <c r="C108" s="234"/>
      <c r="D108" s="234"/>
      <c r="E108" s="234"/>
      <c r="F108" s="234"/>
      <c r="G108" s="234"/>
      <c r="H108" s="234"/>
      <c r="I108" s="234"/>
      <c r="J108" s="234"/>
    </row>
    <row r="109" spans="1:10" x14ac:dyDescent="0.25">
      <c r="A109" s="240"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(StatType=eStat_HP,StatAmount=0), (StatType=eStat_Hacking,StatAmount=0)),\\</v>
      </c>
      <c r="B109" s="234" t="s">
        <v>340</v>
      </c>
      <c r="C109" s="234"/>
      <c r="D109" s="234"/>
      <c r="E109" s="234"/>
      <c r="F109" s="234"/>
      <c r="G109" s="234"/>
      <c r="H109" s="234"/>
      <c r="I109" s="234"/>
      <c r="J109" s="234"/>
    </row>
    <row r="110" spans="1:10" x14ac:dyDescent="0.25">
      <c r="A110" s="240" t="s">
        <v>338</v>
      </c>
      <c r="B110" s="234" t="s">
        <v>340</v>
      </c>
      <c r="C110" s="234"/>
      <c r="D110" s="234"/>
      <c r="E110" s="234"/>
      <c r="F110" s="234"/>
      <c r="G110" s="234"/>
      <c r="H110" s="234"/>
      <c r="I110" s="234"/>
      <c r="J110" s="234"/>
    </row>
    <row r="111" spans="1:10" x14ac:dyDescent="0.25">
      <c r="A111" s="240" t="str">
        <f>"; tech sergeant"</f>
        <v>; tech sergeant</v>
      </c>
      <c r="B111" s="234" t="s">
        <v>340</v>
      </c>
      <c r="C111" s="234"/>
      <c r="D111" s="234"/>
      <c r="E111" s="234"/>
      <c r="F111" s="234"/>
      <c r="G111" s="234"/>
      <c r="H111" s="234"/>
      <c r="I111" s="234"/>
      <c r="J111" s="234"/>
    </row>
    <row r="112" spans="1:10" x14ac:dyDescent="0.25">
      <c r="A112" s="240" t="str">
        <f ca="1">"+SoldierRanks=(  aAbilityTree=( (AbilityName="""&amp;VLOOKUP(INDIRECT("F29"),Abilities,2,FALSE)&amp;""""&amp;IF(VLOOKUP(INDIRECT("F29"),Abilities,3,FALSE)="","",", ApplyToWeaponSlot=eInvSlot_"&amp;VLOOKUP(INDIRECT("F29"),Abilities,3,FALSE))&amp;"), \\"</f>
        <v>+SoldierRanks=(  aAbilityTree=( (AbilityName="GrazingFire", ApplyToWeaponSlot=eInvSlot_PrimaryWeapon), \\</v>
      </c>
      <c r="B112" s="234" t="s">
        <v>340</v>
      </c>
      <c r="C112" s="234"/>
      <c r="D112" s="234"/>
      <c r="E112" s="234"/>
      <c r="F112" s="234"/>
      <c r="G112" s="234"/>
      <c r="H112" s="234"/>
      <c r="I112" s="234"/>
      <c r="J112" s="234"/>
    </row>
    <row r="113" spans="1:10" x14ac:dyDescent="0.25">
      <c r="A113" s="240" t="str">
        <f ca="1">IF(INDIRECT("I29")="","\\","(AbilityName="""&amp;VLOOKUP(INDIRECT("I29"),Abilities,2,FALSE)&amp;""""&amp;IF(VLOOKUP(INDIRECT("I29"),Abilities,3,FALSE)="","",", ApplyToWeaponSlot=eInvSlot_"&amp;VLOOKUP(INDIRECT("I29"),Abilities,3,FALSE))&amp;"), \\")</f>
        <v>(AbilityName=" "), \\</v>
      </c>
      <c r="B113" s="234" t="s">
        <v>340</v>
      </c>
      <c r="C113" s="234"/>
      <c r="D113" s="234"/>
      <c r="E113" s="234"/>
      <c r="F113" s="234"/>
      <c r="G113" s="234"/>
      <c r="H113" s="234"/>
      <c r="I113" s="234"/>
      <c r="J113" s="234"/>
    </row>
    <row r="114" spans="1:10" x14ac:dyDescent="0.25">
      <c r="A114" s="240" t="str">
        <f ca="1">IF(INDIRECT("L29")="","\\","(AbilityName="""&amp;VLOOKUP(INDIRECT("L29"),Abilities,2,FALSE)&amp;""""&amp;IF(VLOOKUP(INDIRECT("L29"),Abilities,3,FALSE)="","",", ApplyToWeaponSlot=eInvSlot_"&amp;VLOOKUP(INDIRECT("L29"),Abilities,3,FALSE))&amp;"), \\")</f>
        <v>(AbilityName="Aggression", ApplyToWeaponSlot=eInvSlot_PrimaryWeapon), \\</v>
      </c>
      <c r="B114" s="234" t="s">
        <v>340</v>
      </c>
      <c r="C114" s="234"/>
      <c r="D114" s="234"/>
      <c r="E114" s="234"/>
      <c r="F114" s="234"/>
      <c r="G114" s="234"/>
      <c r="H114" s="234"/>
      <c r="I114" s="234"/>
      <c r="J114" s="234"/>
    </row>
    <row r="115" spans="1:10" x14ac:dyDescent="0.25">
      <c r="A115" s="240" t="s">
        <v>337</v>
      </c>
      <c r="B115" s="234" t="s">
        <v>340</v>
      </c>
      <c r="C115" s="234"/>
      <c r="D115" s="234"/>
      <c r="E115" s="234"/>
      <c r="F115" s="234"/>
      <c r="G115" s="234"/>
      <c r="H115" s="234"/>
      <c r="I115" s="234"/>
      <c r="J115" s="234"/>
    </row>
    <row r="116" spans="1:10" x14ac:dyDescent="0.25">
      <c r="A116" s="240"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aStatProgression=((StatType=eStat_Offense,StatAmount=3), (StatType=eStat_HP,StatAmount=0), (StatType=eStat_Hacking,StatAmount=0)),\\</v>
      </c>
      <c r="B116" s="234" t="s">
        <v>340</v>
      </c>
      <c r="C116" s="234"/>
      <c r="D116" s="234"/>
      <c r="E116" s="234"/>
      <c r="F116" s="234"/>
      <c r="G116" s="234"/>
      <c r="H116" s="234"/>
      <c r="I116" s="234"/>
      <c r="J116" s="234"/>
    </row>
    <row r="117" spans="1:10" x14ac:dyDescent="0.25">
      <c r="A117" s="240" t="s">
        <v>338</v>
      </c>
      <c r="B117" s="234" t="s">
        <v>340</v>
      </c>
      <c r="C117" s="234"/>
      <c r="D117" s="234"/>
      <c r="E117" s="234"/>
      <c r="F117" s="234"/>
      <c r="G117" s="234"/>
      <c r="H117" s="234"/>
      <c r="I117" s="234"/>
      <c r="J117" s="234"/>
    </row>
    <row r="118" spans="1:10" x14ac:dyDescent="0.25">
      <c r="A118" s="240" t="str">
        <f>";  gunnery sergeant"</f>
        <v>;  gunnery sergeant</v>
      </c>
      <c r="B118" s="234" t="s">
        <v>340</v>
      </c>
      <c r="C118" s="234"/>
      <c r="D118" s="234"/>
      <c r="E118" s="234"/>
      <c r="F118" s="234"/>
      <c r="G118" s="234"/>
      <c r="H118" s="234"/>
      <c r="I118" s="234"/>
      <c r="J118" s="234"/>
    </row>
    <row r="119" spans="1:10" x14ac:dyDescent="0.25">
      <c r="A119" s="240" t="str">
        <f ca="1">"+SoldierRanks=(  aAbilityTree=( (AbilityName="""&amp;VLOOKUP(INDIRECT("F33"),Abilities,2,FALSE)&amp;""""&amp;IF(VLOOKUP(INDIRECT("F33"),Abilities,3,FALSE)="","",", ApplyToWeaponSlot=eInvSlot_"&amp;VLOOKUP(INDIRECT("F33"),Abilities,3,FALSE))&amp;"), \\"</f>
        <v>+SoldierRanks=(  aAbilityTree=( (AbilityName=" "), \\</v>
      </c>
      <c r="B119" s="234" t="s">
        <v>340</v>
      </c>
      <c r="C119" s="234"/>
      <c r="D119" s="234"/>
      <c r="E119" s="234"/>
      <c r="F119" s="234"/>
      <c r="G119" s="234"/>
      <c r="H119" s="234"/>
      <c r="I119" s="234"/>
      <c r="J119" s="234"/>
    </row>
    <row r="120" spans="1:10" x14ac:dyDescent="0.25">
      <c r="A120" s="240" t="str">
        <f ca="1">IF(INDIRECT("I33")="","\\","(AbilityName="""&amp;VLOOKUP(INDIRECT("I33"),Abilities,2,FALSE)&amp;""""&amp;IF(VLOOKUP(INDIRECT("I33"),Abilities,3,FALSE)="","",", ApplyToWeaponSlot=eInvSlot_"&amp;VLOOKUP(INDIRECT("I33"),Abilities,3,FALSE))&amp;"), \\")</f>
        <v>(AbilityName="HuntersInstinct", ApplyToWeaponSlot=eInvSlot_PrimaryWeapon), \\</v>
      </c>
      <c r="B120" s="234" t="s">
        <v>340</v>
      </c>
      <c r="C120" s="234"/>
      <c r="D120" s="234"/>
      <c r="E120" s="234"/>
      <c r="F120" s="234"/>
      <c r="G120" s="234"/>
      <c r="H120" s="234"/>
      <c r="I120" s="234"/>
      <c r="J120" s="234"/>
    </row>
    <row r="121" spans="1:10" x14ac:dyDescent="0.25">
      <c r="A121" s="240" t="str">
        <f ca="1">IF(INDIRECT("L33")="","\\","(AbilityName="""&amp;VLOOKUP(INDIRECT("L33"),Abilities,2,FALSE)&amp;""""&amp;IF(VLOOKUP(INDIRECT("L33"),Abilities,3,FALSE)="","",", ApplyToWeaponSlot=eInvSlot_"&amp;VLOOKUP(INDIRECT("L33"),Abilities,3,FALSE))&amp;"), \\")</f>
        <v>(AbilityName=" "), \\</v>
      </c>
      <c r="B121" s="234" t="s">
        <v>340</v>
      </c>
      <c r="C121" s="234"/>
      <c r="D121" s="234"/>
      <c r="E121" s="234"/>
      <c r="F121" s="234"/>
      <c r="G121" s="234"/>
      <c r="H121" s="234"/>
      <c r="I121" s="234"/>
      <c r="J121" s="234"/>
    </row>
    <row r="122" spans="1:10" x14ac:dyDescent="0.25">
      <c r="A122" s="240" t="s">
        <v>337</v>
      </c>
      <c r="B122" s="234" t="s">
        <v>340</v>
      </c>
      <c r="C122" s="234"/>
      <c r="D122" s="234"/>
      <c r="E122" s="234"/>
      <c r="F122" s="234"/>
      <c r="G122" s="234"/>
      <c r="H122" s="234"/>
      <c r="I122" s="234"/>
      <c r="J122" s="234"/>
    </row>
    <row r="123" spans="1:10" x14ac:dyDescent="0.25">
      <c r="A123" s="240"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(StatType=eStat_HP,StatAmount=0), (StatType=eStat_Hacking,StatAmount=0)),\\</v>
      </c>
      <c r="B123" s="234" t="s">
        <v>340</v>
      </c>
      <c r="C123" s="234"/>
      <c r="D123" s="234"/>
      <c r="E123" s="234"/>
      <c r="F123" s="234"/>
      <c r="G123" s="234"/>
      <c r="H123" s="234"/>
      <c r="I123" s="234"/>
      <c r="J123" s="234"/>
    </row>
    <row r="124" spans="1:10" x14ac:dyDescent="0.25">
      <c r="A124" s="240" t="s">
        <v>338</v>
      </c>
      <c r="B124" s="234" t="s">
        <v>340</v>
      </c>
      <c r="C124" s="234"/>
      <c r="D124" s="234"/>
      <c r="E124" s="234"/>
      <c r="F124" s="234"/>
      <c r="G124" s="234"/>
      <c r="H124" s="234"/>
      <c r="I124" s="234"/>
      <c r="J124" s="234"/>
    </row>
    <row r="125" spans="1:10" x14ac:dyDescent="0.25">
      <c r="A125" s="240" t="str">
        <f>"; master sergeant"</f>
        <v>; master sergeant</v>
      </c>
      <c r="B125" s="234" t="s">
        <v>340</v>
      </c>
      <c r="C125" s="234"/>
      <c r="D125" s="234"/>
      <c r="E125" s="234"/>
      <c r="F125" s="234"/>
      <c r="G125" s="234"/>
      <c r="H125" s="234"/>
      <c r="I125" s="234"/>
      <c r="J125" s="234"/>
    </row>
    <row r="126" spans="1:10" x14ac:dyDescent="0.25">
      <c r="A126" s="240" t="str">
        <f ca="1">"+SoldierRanks=(  aAbilityTree=( (AbilityName="""&amp;VLOOKUP(INDIRECT("F37"),Abilities,2,FALSE)&amp;""""&amp;IF(VLOOKUP(INDIRECT("F37"),Abilities,3,FALSE)="","",", ApplyToWeaponSlot=eInvSlot_"&amp;VLOOKUP(INDIRECT("F37"),Abilities,3,FALSE))&amp;"), \\"</f>
        <v>+SoldierRanks=(  aAbilityTree=( (AbilityName="DoubleTap", ApplyToWeaponSlot=eInvSlot_PrimaryWeapon), \\</v>
      </c>
      <c r="B126" s="234" t="s">
        <v>340</v>
      </c>
      <c r="C126" s="234"/>
      <c r="D126" s="234"/>
      <c r="E126" s="234"/>
      <c r="F126" s="234"/>
      <c r="G126" s="234"/>
      <c r="H126" s="234"/>
      <c r="I126" s="234"/>
      <c r="J126" s="234"/>
    </row>
    <row r="127" spans="1:10" x14ac:dyDescent="0.25">
      <c r="A127" s="240" t="str">
        <f ca="1">IF(INDIRECT("I37")="","\\","(AbilityName="""&amp;VLOOKUP(INDIRECT("I37"),Abilities,2,FALSE)&amp;""""&amp;IF(VLOOKUP(INDIRECT("I37"),Abilities,3,FALSE)="","",", ApplyToWeaponSlot=eInvSlot_"&amp;VLOOKUP(INDIRECT("I37"),Abilities,3,FALSE))&amp;"), \\")</f>
        <v>(AbilityName=" "), \\</v>
      </c>
      <c r="B127" s="234" t="s">
        <v>340</v>
      </c>
      <c r="C127" s="234"/>
      <c r="D127" s="234"/>
      <c r="E127" s="234"/>
      <c r="F127" s="234"/>
      <c r="G127" s="234"/>
      <c r="H127" s="234"/>
      <c r="I127" s="234"/>
      <c r="J127" s="234"/>
    </row>
    <row r="128" spans="1:10" x14ac:dyDescent="0.25">
      <c r="A128" s="240" t="str">
        <f ca="1">IF(INDIRECT("L37")="","\\","(AbilityName="""&amp;VLOOKUP(INDIRECT("L37"),Abilities,2,FALSE)&amp;""""&amp;IF(VLOOKUP(INDIRECT("L37"),Abilities,3,FALSE)="","",", ApplyToWeaponSlot=eInvSlot_"&amp;VLOOKUP(INDIRECT("L37"),Abilities,3,FALSE))&amp;"), \\")</f>
        <v>(AbilityName="LWD_WhitesOfTheirEyes", ApplyToWeaponSlot=eInvSlot_SecondaryWeapon), \\</v>
      </c>
      <c r="B128" s="234" t="s">
        <v>340</v>
      </c>
      <c r="C128" s="234"/>
      <c r="D128" s="234"/>
      <c r="E128" s="234"/>
      <c r="F128" s="234"/>
      <c r="G128" s="234"/>
      <c r="H128" s="234"/>
      <c r="I128" s="234"/>
      <c r="J128" s="234"/>
    </row>
    <row r="129" spans="1:10" x14ac:dyDescent="0.25">
      <c r="A129" s="240" t="s">
        <v>337</v>
      </c>
      <c r="B129" s="234" t="s">
        <v>340</v>
      </c>
      <c r="C129" s="234"/>
      <c r="D129" s="234"/>
      <c r="E129" s="234"/>
      <c r="F129" s="234"/>
      <c r="G129" s="234"/>
      <c r="H129" s="234"/>
      <c r="I129" s="234"/>
      <c r="J129" s="234"/>
    </row>
    <row r="130" spans="1:10" x14ac:dyDescent="0.25">
      <c r="A130" s="240"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aStatProgression=((StatType=eStat_Offense,StatAmount=3), (StatType=eStat_HP,StatAmount=1), (StatType=eStat_Hacking,StatAmount=0)),\\</v>
      </c>
      <c r="B130" s="234" t="s">
        <v>340</v>
      </c>
      <c r="C130" s="234"/>
      <c r="D130" s="234"/>
      <c r="E130" s="234"/>
      <c r="F130" s="234"/>
      <c r="G130" s="234"/>
      <c r="H130" s="234"/>
      <c r="I130" s="234"/>
      <c r="J130" s="234"/>
    </row>
    <row r="131" spans="1:10" ht="15.75" thickBot="1" x14ac:dyDescent="0.3">
      <c r="A131" s="241" t="s">
        <v>338</v>
      </c>
      <c r="B131" s="234" t="s">
        <v>340</v>
      </c>
      <c r="C131" s="234"/>
      <c r="D131" s="234"/>
      <c r="E131" s="234"/>
      <c r="F131" s="234"/>
      <c r="G131" s="234"/>
      <c r="H131" s="234"/>
      <c r="I131" s="234"/>
      <c r="J131" s="234"/>
    </row>
    <row r="132" spans="1:10" x14ac:dyDescent="0.25">
      <c r="E132" s="236"/>
    </row>
    <row r="133" spans="1:10" x14ac:dyDescent="0.25">
      <c r="E133" s="236"/>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I37:J37"/>
    <mergeCell ref="F17:G17"/>
    <mergeCell ref="I17:J17"/>
    <mergeCell ref="L17:M1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L37:M37"/>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A40:B41"/>
    <mergeCell ref="C40:E41"/>
    <mergeCell ref="A42:B42"/>
    <mergeCell ref="C42:D42"/>
    <mergeCell ref="E42:F42"/>
    <mergeCell ref="F38:H39"/>
    <mergeCell ref="I38:K39"/>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22881"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22882"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22883"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22884"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22885"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22886"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22887"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22888"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22889"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22890"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22891"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22892"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22893"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L29</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A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90" t="s">
        <v>308</v>
      </c>
      <c r="B1" s="91"/>
      <c r="C1" s="94" t="s">
        <v>471</v>
      </c>
      <c r="D1" s="95"/>
      <c r="E1" s="95"/>
      <c r="F1" s="98" t="s">
        <v>324</v>
      </c>
      <c r="G1" s="99"/>
      <c r="H1" s="99"/>
      <c r="I1" s="99"/>
      <c r="J1" s="99"/>
      <c r="K1" s="99"/>
      <c r="L1" s="99"/>
      <c r="M1" s="99"/>
      <c r="N1" s="99"/>
      <c r="O1" s="100" t="s">
        <v>325</v>
      </c>
      <c r="P1" s="101"/>
      <c r="Q1" s="101"/>
      <c r="R1" s="101"/>
      <c r="S1" s="101"/>
      <c r="T1" s="101"/>
      <c r="U1" s="102"/>
      <c r="V1" s="196" t="s">
        <v>776</v>
      </c>
      <c r="W1" s="197"/>
      <c r="X1" s="197"/>
      <c r="Y1" s="197"/>
    </row>
    <row r="2" spans="1:25" ht="15" customHeight="1" thickBot="1" x14ac:dyDescent="0.3">
      <c r="A2" s="92"/>
      <c r="B2" s="93"/>
      <c r="C2" s="96"/>
      <c r="D2" s="97"/>
      <c r="E2" s="97"/>
      <c r="F2" s="98"/>
      <c r="G2" s="99"/>
      <c r="H2" s="99"/>
      <c r="I2" s="99"/>
      <c r="J2" s="99"/>
      <c r="K2" s="99"/>
      <c r="L2" s="99"/>
      <c r="M2" s="99"/>
      <c r="N2" s="99"/>
      <c r="O2" s="103"/>
      <c r="P2" s="104"/>
      <c r="Q2" s="104"/>
      <c r="R2" s="104"/>
      <c r="S2" s="104"/>
      <c r="T2" s="104"/>
      <c r="U2" s="105"/>
      <c r="V2" s="198"/>
      <c r="W2" s="199"/>
      <c r="X2" s="199"/>
      <c r="Y2" s="199"/>
    </row>
    <row r="3" spans="1:25" ht="18" thickBot="1" x14ac:dyDescent="0.35">
      <c r="A3" s="106" t="s">
        <v>309</v>
      </c>
      <c r="B3" s="107"/>
      <c r="C3" s="108" t="str">
        <f>Output!$L$1&amp;SUBSTITUTE(C1," ","")</f>
        <v>LWD_Medic</v>
      </c>
      <c r="D3" s="109"/>
      <c r="E3" s="109"/>
      <c r="F3" s="110" t="s">
        <v>12</v>
      </c>
      <c r="G3" s="111"/>
      <c r="H3" s="111"/>
      <c r="I3" s="111"/>
      <c r="J3" s="111"/>
      <c r="K3" s="111"/>
      <c r="L3" s="111"/>
      <c r="M3" s="111"/>
      <c r="N3" s="112"/>
      <c r="O3" s="15"/>
      <c r="P3" s="16" t="s">
        <v>79</v>
      </c>
      <c r="Q3" s="17" t="s">
        <v>326</v>
      </c>
      <c r="R3" s="17" t="s">
        <v>328</v>
      </c>
      <c r="S3" s="17" t="s">
        <v>327</v>
      </c>
      <c r="T3" s="17" t="s">
        <v>330</v>
      </c>
      <c r="U3" s="18" t="s">
        <v>329</v>
      </c>
      <c r="V3" s="200" t="s">
        <v>810</v>
      </c>
      <c r="W3" s="201"/>
      <c r="X3" s="200" t="s">
        <v>811</v>
      </c>
      <c r="Y3" s="201"/>
    </row>
    <row r="4" spans="1:25" ht="18" thickTop="1" x14ac:dyDescent="0.3">
      <c r="A4" s="113" t="s">
        <v>310</v>
      </c>
      <c r="B4" s="114"/>
      <c r="C4" s="115" t="s">
        <v>314</v>
      </c>
      <c r="D4" s="116"/>
      <c r="E4" s="116"/>
      <c r="F4" s="119" t="s">
        <v>440</v>
      </c>
      <c r="G4" s="120"/>
      <c r="H4" s="4" t="str">
        <f>IFERROR(VLOOKUP(F4,Abilities,4,FALSE),"")</f>
        <v>LW2</v>
      </c>
      <c r="I4" s="121" t="s">
        <v>124</v>
      </c>
      <c r="J4" s="120"/>
      <c r="K4" s="35" t="str">
        <f>IFERROR(VLOOKUP(I4,Abilities,4,FALSE),"")</f>
        <v>XCOM2</v>
      </c>
      <c r="L4" s="122" t="s">
        <v>128</v>
      </c>
      <c r="M4" s="120"/>
      <c r="N4" s="10" t="str">
        <f>IFERROR(VLOOKUP(L4,Abilities,4,FALSE),"")</f>
        <v>XCOM2</v>
      </c>
      <c r="O4" s="19" t="s">
        <v>12</v>
      </c>
      <c r="P4" s="4">
        <v>2</v>
      </c>
      <c r="Q4" s="20">
        <v>0</v>
      </c>
      <c r="R4" s="20"/>
      <c r="S4" s="4">
        <v>0</v>
      </c>
      <c r="T4" s="4">
        <v>1</v>
      </c>
      <c r="U4" s="10"/>
      <c r="V4" s="192" t="s">
        <v>777</v>
      </c>
      <c r="W4" s="193"/>
      <c r="X4" s="192" t="s">
        <v>801</v>
      </c>
      <c r="Y4" s="193"/>
    </row>
    <row r="5" spans="1:25" ht="15" customHeight="1" x14ac:dyDescent="0.25">
      <c r="A5" s="6"/>
      <c r="B5" s="5" t="b">
        <v>1</v>
      </c>
      <c r="C5" s="117"/>
      <c r="D5" s="118"/>
      <c r="E5" s="118"/>
      <c r="F5" s="123">
        <f>IFERROR(VLOOKUP(F4,Abilities,7,FALSE),"")</f>
        <v>0</v>
      </c>
      <c r="G5" s="124"/>
      <c r="H5" s="125"/>
      <c r="I5" s="129" t="str">
        <f>IFERROR(VLOOKUP(I4,Abilities,7,FALSE),"")</f>
        <v>Give +20 defense to an ally.</v>
      </c>
      <c r="J5" s="130"/>
      <c r="K5" s="131"/>
      <c r="L5" s="130" t="str">
        <f>IFERROR(VLOOKUP(L4,Abilities,7,FALSE),"")</f>
        <v>Use the GREMLIN to use a medkit at range.</v>
      </c>
      <c r="M5" s="130"/>
      <c r="N5" s="135"/>
      <c r="O5" s="26" t="s">
        <v>456</v>
      </c>
      <c r="P5" s="27">
        <v>2</v>
      </c>
      <c r="Q5" s="28">
        <v>1</v>
      </c>
      <c r="R5" s="28"/>
      <c r="S5" s="27">
        <v>0</v>
      </c>
      <c r="T5" s="27"/>
      <c r="U5" s="29"/>
      <c r="V5" s="190" t="s">
        <v>821</v>
      </c>
      <c r="W5" s="191"/>
      <c r="X5" s="190" t="s">
        <v>802</v>
      </c>
      <c r="Y5" s="191"/>
    </row>
    <row r="6" spans="1:25" ht="15" customHeight="1" x14ac:dyDescent="0.25">
      <c r="A6" s="6"/>
      <c r="B6" s="5" t="b">
        <v>0</v>
      </c>
      <c r="C6" s="137" t="s">
        <v>315</v>
      </c>
      <c r="D6" s="138"/>
      <c r="E6" s="11">
        <v>0</v>
      </c>
      <c r="F6" s="126"/>
      <c r="G6" s="127"/>
      <c r="H6" s="128"/>
      <c r="I6" s="132"/>
      <c r="J6" s="133"/>
      <c r="K6" s="134"/>
      <c r="L6" s="133"/>
      <c r="M6" s="133"/>
      <c r="N6" s="136"/>
      <c r="O6" s="19" t="s">
        <v>15</v>
      </c>
      <c r="P6" s="4">
        <v>2</v>
      </c>
      <c r="Q6" s="20">
        <v>0</v>
      </c>
      <c r="R6" s="20"/>
      <c r="S6" s="4">
        <v>0</v>
      </c>
      <c r="T6" s="4"/>
      <c r="U6" s="10"/>
      <c r="V6" s="190" t="s">
        <v>778</v>
      </c>
      <c r="W6" s="191"/>
      <c r="X6" s="192" t="s">
        <v>803</v>
      </c>
      <c r="Y6" s="193"/>
    </row>
    <row r="7" spans="1:25" ht="15" customHeight="1" x14ac:dyDescent="0.25">
      <c r="A7" s="6"/>
      <c r="B7" s="5" t="b">
        <v>0</v>
      </c>
      <c r="C7" s="137" t="s">
        <v>316</v>
      </c>
      <c r="D7" s="138"/>
      <c r="E7" s="11">
        <v>4</v>
      </c>
      <c r="F7" s="139"/>
      <c r="G7" s="140"/>
      <c r="H7" s="4" t="str">
        <f>IFERROR(VLOOKUP(F7,Abilities,4,FALSE),"")</f>
        <v/>
      </c>
      <c r="I7" s="141"/>
      <c r="J7" s="140"/>
      <c r="K7" s="4" t="str">
        <f>IFERROR(VLOOKUP(I7,Abilities,4,FALSE),"")</f>
        <v/>
      </c>
      <c r="L7" s="142"/>
      <c r="M7" s="140"/>
      <c r="N7" s="10" t="str">
        <f>IFERROR(VLOOKUP(L7,Abilities,4,FALSE),"")</f>
        <v/>
      </c>
      <c r="O7" s="26" t="s">
        <v>21</v>
      </c>
      <c r="P7" s="27">
        <v>2</v>
      </c>
      <c r="Q7" s="28">
        <v>0</v>
      </c>
      <c r="R7" s="28"/>
      <c r="S7" s="27">
        <v>0</v>
      </c>
      <c r="T7" s="27"/>
      <c r="U7" s="29"/>
      <c r="V7" s="192" t="s">
        <v>779</v>
      </c>
      <c r="W7" s="193"/>
      <c r="X7" s="190" t="s">
        <v>804</v>
      </c>
      <c r="Y7" s="191"/>
    </row>
    <row r="8" spans="1:25" ht="15" customHeight="1" thickBot="1" x14ac:dyDescent="0.3">
      <c r="A8" s="6"/>
      <c r="B8" s="5" t="b">
        <v>0</v>
      </c>
      <c r="C8" s="137" t="s">
        <v>317</v>
      </c>
      <c r="D8" s="143"/>
      <c r="E8" s="12" t="s">
        <v>766</v>
      </c>
      <c r="F8" s="144" t="str">
        <f>IFERROR(VLOOKUP(F7,Abilities,7,FALSE),"")</f>
        <v/>
      </c>
      <c r="G8" s="130"/>
      <c r="H8" s="131"/>
      <c r="I8" s="129" t="str">
        <f>IFERROR(VLOOKUP(I7,Abilities,7,FALSE),"")</f>
        <v/>
      </c>
      <c r="J8" s="130"/>
      <c r="K8" s="131"/>
      <c r="L8" s="130" t="str">
        <f>IFERROR(VLOOKUP(L7,Abilities,7,FALSE),"")</f>
        <v/>
      </c>
      <c r="M8" s="130"/>
      <c r="N8" s="135"/>
      <c r="O8" s="21" t="s">
        <v>457</v>
      </c>
      <c r="P8" s="4">
        <v>2</v>
      </c>
      <c r="Q8" s="20">
        <v>1</v>
      </c>
      <c r="R8" s="20"/>
      <c r="S8" s="4">
        <v>0</v>
      </c>
      <c r="T8" s="4"/>
      <c r="U8" s="10"/>
      <c r="V8" s="190" t="s">
        <v>780</v>
      </c>
      <c r="W8" s="191"/>
      <c r="X8" s="192" t="s">
        <v>861</v>
      </c>
      <c r="Y8" s="193"/>
    </row>
    <row r="9" spans="1:25" ht="15.75" thickBot="1" x14ac:dyDescent="0.3">
      <c r="A9" s="6"/>
      <c r="B9" s="5" t="b">
        <v>0</v>
      </c>
      <c r="C9" s="137" t="s">
        <v>319</v>
      </c>
      <c r="D9" s="143"/>
      <c r="E9" s="12">
        <v>1</v>
      </c>
      <c r="F9" s="145"/>
      <c r="G9" s="133"/>
      <c r="H9" s="134"/>
      <c r="I9" s="146"/>
      <c r="J9" s="147"/>
      <c r="K9" s="148"/>
      <c r="L9" s="133"/>
      <c r="M9" s="133"/>
      <c r="N9" s="136"/>
      <c r="O9" s="26" t="s">
        <v>458</v>
      </c>
      <c r="P9" s="27">
        <v>2</v>
      </c>
      <c r="Q9" s="28">
        <v>0</v>
      </c>
      <c r="R9" s="28"/>
      <c r="S9" s="27">
        <v>0</v>
      </c>
      <c r="T9" s="27"/>
      <c r="U9" s="29"/>
      <c r="V9" s="192" t="s">
        <v>781</v>
      </c>
      <c r="W9" s="193"/>
      <c r="X9" s="200" t="s">
        <v>812</v>
      </c>
      <c r="Y9" s="201"/>
    </row>
    <row r="10" spans="1:25" ht="18.75" x14ac:dyDescent="0.3">
      <c r="A10" s="6"/>
      <c r="B10" s="5" t="b">
        <v>0</v>
      </c>
      <c r="C10" s="137" t="s">
        <v>318</v>
      </c>
      <c r="D10" s="143"/>
      <c r="E10" s="12">
        <v>4</v>
      </c>
      <c r="F10" s="157" t="s">
        <v>311</v>
      </c>
      <c r="G10" s="158"/>
      <c r="H10" s="159"/>
      <c r="I10" s="160" t="s">
        <v>349</v>
      </c>
      <c r="J10" s="158"/>
      <c r="K10" s="159"/>
      <c r="L10" s="158" t="s">
        <v>312</v>
      </c>
      <c r="M10" s="158"/>
      <c r="N10" s="161"/>
      <c r="O10" s="36" t="s">
        <v>459</v>
      </c>
      <c r="P10" s="37">
        <v>2</v>
      </c>
      <c r="Q10" s="37">
        <v>0</v>
      </c>
      <c r="R10" s="37"/>
      <c r="S10" s="37">
        <v>0</v>
      </c>
      <c r="T10" s="37"/>
      <c r="U10" s="38"/>
      <c r="V10" s="190" t="s">
        <v>782</v>
      </c>
      <c r="W10" s="191"/>
      <c r="X10" s="192" t="s">
        <v>806</v>
      </c>
      <c r="Y10" s="193"/>
    </row>
    <row r="11" spans="1:25" ht="15.75" customHeight="1" thickBot="1" x14ac:dyDescent="0.3">
      <c r="A11" s="6"/>
      <c r="B11" s="5" t="b">
        <v>0</v>
      </c>
      <c r="C11" s="137" t="s">
        <v>320</v>
      </c>
      <c r="D11" s="143"/>
      <c r="E11" s="12">
        <v>3</v>
      </c>
      <c r="F11" s="162" t="s">
        <v>736</v>
      </c>
      <c r="G11" s="163"/>
      <c r="H11" s="164"/>
      <c r="I11" s="165"/>
      <c r="J11" s="163"/>
      <c r="K11" s="164"/>
      <c r="L11" s="163" t="s">
        <v>751</v>
      </c>
      <c r="M11" s="163"/>
      <c r="N11" s="166"/>
      <c r="O11" s="39" t="s">
        <v>460</v>
      </c>
      <c r="P11" s="40">
        <v>2</v>
      </c>
      <c r="Q11" s="41">
        <v>1</v>
      </c>
      <c r="R11" s="41"/>
      <c r="S11" s="40">
        <v>0</v>
      </c>
      <c r="T11" s="40"/>
      <c r="U11" s="42"/>
      <c r="V11" s="192" t="s">
        <v>785</v>
      </c>
      <c r="W11" s="193"/>
      <c r="X11" s="190" t="s">
        <v>807</v>
      </c>
      <c r="Y11" s="191"/>
    </row>
    <row r="12" spans="1:25" ht="18" customHeight="1" thickBot="1" x14ac:dyDescent="0.35">
      <c r="A12" s="6"/>
      <c r="B12" s="5" t="b">
        <v>1</v>
      </c>
      <c r="C12" s="137" t="s">
        <v>321</v>
      </c>
      <c r="D12" s="143"/>
      <c r="E12" s="12">
        <v>1</v>
      </c>
      <c r="F12" s="169" t="s">
        <v>443</v>
      </c>
      <c r="G12" s="170"/>
      <c r="H12" s="170"/>
      <c r="I12" s="170"/>
      <c r="J12" s="170"/>
      <c r="K12" s="170"/>
      <c r="L12" s="170"/>
      <c r="M12" s="170"/>
      <c r="N12" s="171"/>
      <c r="O12" s="149" t="s">
        <v>813</v>
      </c>
      <c r="P12" s="150"/>
      <c r="Q12" s="150"/>
      <c r="R12" s="150"/>
      <c r="S12" s="150"/>
      <c r="T12" s="150"/>
      <c r="U12" s="151"/>
      <c r="V12" s="192" t="s">
        <v>783</v>
      </c>
      <c r="W12" s="193"/>
      <c r="X12" s="192" t="s">
        <v>808</v>
      </c>
      <c r="Y12" s="193"/>
    </row>
    <row r="13" spans="1:25" ht="16.5" thickTop="1" thickBot="1" x14ac:dyDescent="0.3">
      <c r="A13" s="6"/>
      <c r="B13" s="5" t="b">
        <v>0</v>
      </c>
      <c r="C13" s="155" t="s">
        <v>322</v>
      </c>
      <c r="D13" s="156"/>
      <c r="E13" s="13" t="s">
        <v>323</v>
      </c>
      <c r="F13" s="119" t="s">
        <v>134</v>
      </c>
      <c r="G13" s="120"/>
      <c r="H13" s="4" t="str">
        <f>IFERROR(VLOOKUP(F13,Abilities,4,FALSE),"")</f>
        <v>XCOM2</v>
      </c>
      <c r="I13" s="121" t="s">
        <v>962</v>
      </c>
      <c r="J13" s="120"/>
      <c r="K13" s="35" t="str">
        <f>IFERROR(VLOOKUP(I13,Abilities,4,FALSE),"")</f>
        <v>BLANK</v>
      </c>
      <c r="L13" s="122" t="s">
        <v>149</v>
      </c>
      <c r="M13" s="120"/>
      <c r="N13" s="10" t="str">
        <f>IFERROR(VLOOKUP(L13,Abilities,4,FALSE),"")</f>
        <v>XCOM2</v>
      </c>
      <c r="O13" s="152"/>
      <c r="P13" s="153"/>
      <c r="Q13" s="153"/>
      <c r="R13" s="153"/>
      <c r="S13" s="153"/>
      <c r="T13" s="153"/>
      <c r="U13" s="154"/>
      <c r="V13" s="192" t="s">
        <v>818</v>
      </c>
      <c r="W13" s="193"/>
      <c r="X13" s="190" t="s">
        <v>809</v>
      </c>
      <c r="Y13" s="191"/>
    </row>
    <row r="14" spans="1:25" ht="15.75" thickBot="1" x14ac:dyDescent="0.3">
      <c r="A14" s="6"/>
      <c r="B14" s="7" t="b">
        <v>0</v>
      </c>
      <c r="F14" s="144" t="str">
        <f>IFERROR(VLOOKUP(F13,Abilities,7,FALSE),"")</f>
        <v>Send the GREMLIN to an ally to remove any negative mental status effects. Disoriented, Stunned, Panicked, or Unconscious.</v>
      </c>
      <c r="G14" s="130"/>
      <c r="H14" s="131"/>
      <c r="I14" s="129" t="str">
        <f>IFERROR(VLOOKUP(I13,Abilities,7,FALSE),"")</f>
        <v xml:space="preserve"> </v>
      </c>
      <c r="J14" s="130"/>
      <c r="K14" s="131"/>
      <c r="L14" s="130" t="str">
        <f>IFERROR(VLOOKUP(L13,Abilities,7,FALSE),"")</f>
        <v>Aid Protocol now grants the target a Covering Fire Overwatch shot, but the Aid Protocol cooldown is increased by 1 turn. Giving a soldier Threat Assessment before he/she is opening fire as part of an overwatch ambush will result in the said soldier firing again after the squad loses concealment. This allows for an additional shot in an overwatch ambush.</v>
      </c>
      <c r="M14" s="130"/>
      <c r="N14" s="135"/>
      <c r="O14" s="22"/>
      <c r="P14" s="23" t="s">
        <v>331</v>
      </c>
      <c r="Q14" s="24" t="s">
        <v>332</v>
      </c>
      <c r="R14" s="24" t="s">
        <v>333</v>
      </c>
      <c r="S14" s="24" t="s">
        <v>334</v>
      </c>
      <c r="T14" s="24" t="s">
        <v>336</v>
      </c>
      <c r="U14" s="25" t="s">
        <v>335</v>
      </c>
      <c r="V14" s="190" t="s">
        <v>784</v>
      </c>
      <c r="W14" s="191"/>
      <c r="X14" s="194" t="s">
        <v>862</v>
      </c>
      <c r="Y14" s="195"/>
    </row>
    <row r="15" spans="1:25" ht="15.75" thickBot="1" x14ac:dyDescent="0.3">
      <c r="A15" s="6"/>
      <c r="B15" s="7" t="b">
        <v>0</v>
      </c>
      <c r="F15" s="167"/>
      <c r="G15" s="147"/>
      <c r="H15" s="148"/>
      <c r="I15" s="146"/>
      <c r="J15" s="147"/>
      <c r="K15" s="148"/>
      <c r="L15" s="147"/>
      <c r="M15" s="147"/>
      <c r="N15" s="168"/>
      <c r="O15" s="19" t="s">
        <v>12</v>
      </c>
      <c r="P15" s="4"/>
      <c r="Q15" s="20">
        <v>6</v>
      </c>
      <c r="R15" s="20"/>
      <c r="S15" s="4"/>
      <c r="T15" s="4"/>
      <c r="U15" s="10"/>
      <c r="V15" s="190" t="s">
        <v>823</v>
      </c>
      <c r="W15" s="191"/>
    </row>
    <row r="16" spans="1:25" ht="18" thickBot="1" x14ac:dyDescent="0.35">
      <c r="A16" s="6"/>
      <c r="B16" s="7" t="b">
        <v>0</v>
      </c>
      <c r="F16" s="169" t="s">
        <v>15</v>
      </c>
      <c r="G16" s="170"/>
      <c r="H16" s="170"/>
      <c r="I16" s="170"/>
      <c r="J16" s="170"/>
      <c r="K16" s="170"/>
      <c r="L16" s="170"/>
      <c r="M16" s="170"/>
      <c r="N16" s="171"/>
      <c r="O16" s="26" t="s">
        <v>456</v>
      </c>
      <c r="P16" s="27"/>
      <c r="Q16" s="28">
        <v>6</v>
      </c>
      <c r="R16" s="28"/>
      <c r="S16" s="27"/>
      <c r="T16" s="27"/>
      <c r="U16" s="29"/>
      <c r="V16" s="190" t="s">
        <v>786</v>
      </c>
      <c r="W16" s="191"/>
    </row>
    <row r="17" spans="1:27" ht="16.5" thickTop="1" thickBot="1" x14ac:dyDescent="0.3">
      <c r="A17" s="8"/>
      <c r="B17" s="9" t="b">
        <v>0</v>
      </c>
      <c r="F17" s="121" t="s">
        <v>962</v>
      </c>
      <c r="G17" s="120"/>
      <c r="H17" s="4" t="str">
        <f>IFERROR(VLOOKUP(F17,Abilities,4,FALSE),"")</f>
        <v>BLANK</v>
      </c>
      <c r="I17" s="121" t="s">
        <v>275</v>
      </c>
      <c r="J17" s="120"/>
      <c r="K17" s="35" t="str">
        <f>IFERROR(VLOOKUP(I17,Abilities,4,FALSE),"")</f>
        <v>LW2</v>
      </c>
      <c r="L17" s="121" t="s">
        <v>962</v>
      </c>
      <c r="M17" s="120"/>
      <c r="N17" s="10" t="str">
        <f>IFERROR(VLOOKUP(L17,Abilities,4,FALSE),"")</f>
        <v>BLANK</v>
      </c>
      <c r="O17" s="19" t="s">
        <v>15</v>
      </c>
      <c r="P17" s="4"/>
      <c r="Q17" s="20"/>
      <c r="R17" s="20"/>
      <c r="S17" s="4"/>
      <c r="T17" s="4"/>
      <c r="U17" s="10"/>
      <c r="V17" s="192" t="s">
        <v>864</v>
      </c>
      <c r="W17" s="193"/>
    </row>
    <row r="18" spans="1:27" x14ac:dyDescent="0.25">
      <c r="A18" s="172" t="s">
        <v>344</v>
      </c>
      <c r="B18" s="173"/>
      <c r="F18" s="144" t="str">
        <f>IFERROR(VLOOKUP(F17,Abilities,7,FALSE),"")</f>
        <v xml:space="preserve"> </v>
      </c>
      <c r="G18" s="130"/>
      <c r="H18" s="131"/>
      <c r="I18" s="129">
        <f>IFERROR(VLOOKUP(I17,Abilities,7,FALSE),"")</f>
        <v>0</v>
      </c>
      <c r="J18" s="130"/>
      <c r="K18" s="131"/>
      <c r="L18" s="130" t="str">
        <f>IFERROR(VLOOKUP(L17,Abilities,7,FALSE),"")</f>
        <v xml:space="preserve"> </v>
      </c>
      <c r="M18" s="130"/>
      <c r="N18" s="135"/>
      <c r="O18" s="26" t="s">
        <v>21</v>
      </c>
      <c r="P18" s="27"/>
      <c r="Q18" s="28"/>
      <c r="R18" s="28"/>
      <c r="S18" s="27"/>
      <c r="T18" s="27"/>
      <c r="U18" s="29"/>
      <c r="V18" s="190" t="s">
        <v>788</v>
      </c>
      <c r="W18" s="191"/>
    </row>
    <row r="19" spans="1:27" ht="15.75" thickBot="1" x14ac:dyDescent="0.3">
      <c r="A19" s="174"/>
      <c r="B19" s="175"/>
      <c r="D19" s="3"/>
      <c r="F19" s="167"/>
      <c r="G19" s="147"/>
      <c r="H19" s="148"/>
      <c r="I19" s="146"/>
      <c r="J19" s="147"/>
      <c r="K19" s="148"/>
      <c r="L19" s="147"/>
      <c r="M19" s="147"/>
      <c r="N19" s="168"/>
      <c r="O19" s="21" t="s">
        <v>457</v>
      </c>
      <c r="P19" s="4"/>
      <c r="Q19" s="20"/>
      <c r="R19" s="20"/>
      <c r="S19" s="4"/>
      <c r="T19" s="4"/>
      <c r="U19" s="10"/>
      <c r="V19" s="192" t="s">
        <v>789</v>
      </c>
      <c r="W19" s="193"/>
    </row>
    <row r="20" spans="1:27" ht="18" thickBot="1" x14ac:dyDescent="0.35">
      <c r="A20" s="176" t="s">
        <v>916</v>
      </c>
      <c r="B20" s="177"/>
      <c r="C20" s="178"/>
      <c r="D20" s="178"/>
      <c r="E20" s="179"/>
      <c r="F20" s="169" t="s">
        <v>21</v>
      </c>
      <c r="G20" s="170"/>
      <c r="H20" s="170"/>
      <c r="I20" s="170"/>
      <c r="J20" s="170"/>
      <c r="K20" s="170"/>
      <c r="L20" s="170"/>
      <c r="M20" s="170"/>
      <c r="N20" s="171"/>
      <c r="O20" s="26" t="s">
        <v>458</v>
      </c>
      <c r="P20" s="27"/>
      <c r="Q20" s="28"/>
      <c r="R20" s="28"/>
      <c r="S20" s="27"/>
      <c r="T20" s="27"/>
      <c r="U20" s="29"/>
      <c r="V20" s="192" t="s">
        <v>790</v>
      </c>
      <c r="W20" s="193"/>
    </row>
    <row r="21" spans="1:27" ht="15.75" thickTop="1" x14ac:dyDescent="0.25">
      <c r="A21" s="176"/>
      <c r="B21" s="177"/>
      <c r="C21" s="177"/>
      <c r="D21" s="177"/>
      <c r="E21" s="180"/>
      <c r="F21" s="119" t="s">
        <v>140</v>
      </c>
      <c r="G21" s="120"/>
      <c r="H21" s="4" t="str">
        <f>IFERROR(VLOOKUP(F21,Abilities,4,FALSE),"")</f>
        <v>XCOM2</v>
      </c>
      <c r="I21" s="121" t="s">
        <v>962</v>
      </c>
      <c r="J21" s="120"/>
      <c r="K21" s="35" t="str">
        <f>IFERROR(VLOOKUP(I21,Abilities,4,FALSE),"")</f>
        <v>BLANK</v>
      </c>
      <c r="L21" s="122" t="s">
        <v>593</v>
      </c>
      <c r="M21" s="120"/>
      <c r="N21" s="10" t="str">
        <f>IFERROR(VLOOKUP(L21,Abilities,4,FALSE),"")</f>
        <v>SOLW</v>
      </c>
      <c r="O21" s="36" t="s">
        <v>459</v>
      </c>
      <c r="P21" s="37"/>
      <c r="Q21" s="37"/>
      <c r="R21" s="37"/>
      <c r="S21" s="37"/>
      <c r="T21" s="37"/>
      <c r="U21" s="38"/>
      <c r="V21" s="190" t="s">
        <v>791</v>
      </c>
      <c r="W21" s="191"/>
    </row>
    <row r="22" spans="1:27" ht="15.75" thickBot="1" x14ac:dyDescent="0.3">
      <c r="A22" s="181"/>
      <c r="B22" s="182"/>
      <c r="C22" s="182"/>
      <c r="D22" s="182"/>
      <c r="E22" s="183"/>
      <c r="F22" s="144" t="str">
        <f>IFERROR(VLOOKUP(F21,Abilities,7,FALSE),"")</f>
        <v>Equipped medikits have 2 extra charges.</v>
      </c>
      <c r="G22" s="130"/>
      <c r="H22" s="131"/>
      <c r="I22" s="129" t="str">
        <f>IFERROR(VLOOKUP(I21,Abilities,7,FALSE),"")</f>
        <v xml:space="preserve"> </v>
      </c>
      <c r="J22" s="130"/>
      <c r="K22" s="131"/>
      <c r="L22" s="130" t="str">
        <f>IFERROR(VLOOKUP(L21,Abilities,7,FALSE),"")</f>
        <v>Give a friendly unit an energy shield which will absorb &lt;Ability:Shield/&gt; points of damage. The shield lasts until the end of the mission or until it is destroyed, and also grants poison immunity.</v>
      </c>
      <c r="M22" s="130"/>
      <c r="N22" s="135"/>
      <c r="O22" s="39" t="s">
        <v>460</v>
      </c>
      <c r="P22" s="40"/>
      <c r="Q22" s="41"/>
      <c r="R22" s="41"/>
      <c r="S22" s="40"/>
      <c r="T22" s="40"/>
      <c r="U22" s="42"/>
      <c r="V22" s="192" t="s">
        <v>792</v>
      </c>
      <c r="W22" s="193"/>
    </row>
    <row r="23" spans="1:27" ht="15.75" thickBot="1" x14ac:dyDescent="0.3">
      <c r="A23" s="184" t="s">
        <v>352</v>
      </c>
      <c r="B23" s="185"/>
      <c r="C23" s="185"/>
      <c r="D23" s="185"/>
      <c r="E23" s="186"/>
      <c r="F23" s="167"/>
      <c r="G23" s="147"/>
      <c r="H23" s="148"/>
      <c r="I23" s="146"/>
      <c r="J23" s="147"/>
      <c r="K23" s="148"/>
      <c r="L23" s="147"/>
      <c r="M23" s="147"/>
      <c r="N23" s="168"/>
      <c r="O23" s="14"/>
      <c r="P23" s="14"/>
      <c r="Q23" s="3"/>
      <c r="V23" s="190" t="s">
        <v>793</v>
      </c>
      <c r="W23" s="191"/>
    </row>
    <row r="24" spans="1:27" ht="18" thickBot="1" x14ac:dyDescent="0.35">
      <c r="A24" s="187"/>
      <c r="B24" s="188"/>
      <c r="C24" s="188"/>
      <c r="D24" s="188"/>
      <c r="E24" s="189"/>
      <c r="F24" s="169" t="s">
        <v>444</v>
      </c>
      <c r="G24" s="170"/>
      <c r="H24" s="170"/>
      <c r="I24" s="170"/>
      <c r="J24" s="170"/>
      <c r="K24" s="170"/>
      <c r="L24" s="170"/>
      <c r="M24" s="170"/>
      <c r="N24" s="171"/>
      <c r="O24" s="14"/>
      <c r="P24" s="14"/>
      <c r="Q24" s="3"/>
      <c r="V24" s="192" t="s">
        <v>794</v>
      </c>
      <c r="W24" s="193"/>
    </row>
    <row r="25" spans="1:27" ht="15.75" thickTop="1" x14ac:dyDescent="0.25">
      <c r="A25" s="50"/>
      <c r="B25" s="51"/>
      <c r="C25" s="51"/>
      <c r="D25" s="51"/>
      <c r="E25" s="52"/>
      <c r="F25" s="119" t="s">
        <v>623</v>
      </c>
      <c r="G25" s="120"/>
      <c r="H25" s="4" t="str">
        <f>IFERROR(VLOOKUP(F25,Abilities,4,FALSE),"")</f>
        <v>SOLW</v>
      </c>
      <c r="I25" s="121" t="s">
        <v>962</v>
      </c>
      <c r="J25" s="120"/>
      <c r="K25" s="35" t="str">
        <f>IFERROR(VLOOKUP(I25,Abilities,4,FALSE),"")</f>
        <v>BLANK</v>
      </c>
      <c r="L25" s="122" t="s">
        <v>152</v>
      </c>
      <c r="M25" s="120"/>
      <c r="N25" s="10" t="str">
        <f>IFERROR(VLOOKUP(L25,Abilities,4,FALSE),"")</f>
        <v>XCOM2</v>
      </c>
      <c r="O25" s="14"/>
      <c r="P25" s="14"/>
      <c r="Q25" s="3"/>
      <c r="V25" s="190" t="s">
        <v>795</v>
      </c>
      <c r="W25" s="191"/>
    </row>
    <row r="26" spans="1:27" x14ac:dyDescent="0.25">
      <c r="A26" s="50"/>
      <c r="B26" s="51"/>
      <c r="C26" s="51"/>
      <c r="D26" s="51"/>
      <c r="E26" s="52"/>
      <c r="F26" s="144" t="str">
        <f>IFERROR(VLOOKUP(F25,Abilities,7,FALSE),"")</f>
        <v>Grant an ally a bonus overwatch shot and the Cool Under Pressure ability. &lt;Ability:SelfCooldown/&gt; turn cooldown.</v>
      </c>
      <c r="G26" s="130"/>
      <c r="H26" s="131"/>
      <c r="I26" s="129" t="str">
        <f>IFERROR(VLOOKUP(I25,Abilities,7,FALSE),"")</f>
        <v xml:space="preserve"> </v>
      </c>
      <c r="J26" s="130"/>
      <c r="K26" s="131"/>
      <c r="L26" s="130" t="str">
        <f>IFERROR(VLOOKUP(L25,Abilities,7,FALSE),"")</f>
        <v>If you spend all of your actions on moves, you are granted an automatic overwatch shot at the end of the turn.</v>
      </c>
      <c r="M26" s="130"/>
      <c r="N26" s="135"/>
      <c r="O26" s="14"/>
      <c r="P26" s="14"/>
      <c r="Q26" s="3"/>
      <c r="V26" s="190" t="s">
        <v>863</v>
      </c>
      <c r="W26" s="191"/>
    </row>
    <row r="27" spans="1:27" ht="15.75" thickBot="1" x14ac:dyDescent="0.3">
      <c r="A27" s="50"/>
      <c r="B27" s="51"/>
      <c r="C27" s="51"/>
      <c r="D27" s="51"/>
      <c r="E27" s="52"/>
      <c r="F27" s="167"/>
      <c r="G27" s="147"/>
      <c r="H27" s="148"/>
      <c r="I27" s="146"/>
      <c r="J27" s="147"/>
      <c r="K27" s="148"/>
      <c r="L27" s="147"/>
      <c r="M27" s="147"/>
      <c r="N27" s="168"/>
      <c r="O27" s="14"/>
      <c r="P27" s="14"/>
      <c r="Q27" s="3"/>
      <c r="V27" s="192" t="s">
        <v>798</v>
      </c>
      <c r="W27" s="193"/>
    </row>
    <row r="28" spans="1:27" ht="18" thickBot="1" x14ac:dyDescent="0.35">
      <c r="A28" s="50"/>
      <c r="B28" s="51"/>
      <c r="C28" s="51"/>
      <c r="D28" s="51"/>
      <c r="E28" s="52"/>
      <c r="F28" s="169" t="s">
        <v>445</v>
      </c>
      <c r="G28" s="170"/>
      <c r="H28" s="170"/>
      <c r="I28" s="170"/>
      <c r="J28" s="170"/>
      <c r="K28" s="170"/>
      <c r="L28" s="170"/>
      <c r="M28" s="170"/>
      <c r="N28" s="171"/>
      <c r="P28" s="14"/>
      <c r="Q28" s="3"/>
      <c r="V28" s="190" t="s">
        <v>799</v>
      </c>
      <c r="W28" s="191"/>
      <c r="AA28" s="14"/>
    </row>
    <row r="29" spans="1:27" ht="15.75" thickTop="1" x14ac:dyDescent="0.25">
      <c r="A29" s="50"/>
      <c r="B29" s="51"/>
      <c r="C29" s="51"/>
      <c r="D29" s="51"/>
      <c r="E29" s="52"/>
      <c r="F29" s="119" t="s">
        <v>278</v>
      </c>
      <c r="G29" s="120"/>
      <c r="H29" s="4" t="str">
        <f>IFERROR(VLOOKUP(F29,Abilities,4,FALSE),"")</f>
        <v>LW2</v>
      </c>
      <c r="I29" s="121" t="s">
        <v>962</v>
      </c>
      <c r="J29" s="120"/>
      <c r="K29" s="35" t="str">
        <f>IFERROR(VLOOKUP(I29,Abilities,4,FALSE),"")</f>
        <v>BLANK</v>
      </c>
      <c r="L29" s="122" t="s">
        <v>155</v>
      </c>
      <c r="M29" s="120"/>
      <c r="N29" s="10" t="str">
        <f>IFERROR(VLOOKUP(L29,Abilities,4,FALSE),"")</f>
        <v>XCOM2</v>
      </c>
      <c r="O29" s="14"/>
      <c r="P29" s="14"/>
      <c r="Q29" s="3"/>
      <c r="V29" s="190" t="s">
        <v>825</v>
      </c>
      <c r="W29" s="191"/>
    </row>
    <row r="30" spans="1:27" x14ac:dyDescent="0.25">
      <c r="A30" s="50"/>
      <c r="B30" s="51"/>
      <c r="C30" s="51"/>
      <c r="D30" s="51"/>
      <c r="E30" s="52"/>
      <c r="F30" s="144">
        <f>IFERROR(VLOOKUP(F29,Abilities,7,FALSE),"")</f>
        <v>0</v>
      </c>
      <c r="G30" s="130"/>
      <c r="H30" s="131"/>
      <c r="I30" s="129" t="str">
        <f>IFERROR(VLOOKUP(I29,Abilities,7,FALSE),"")</f>
        <v xml:space="preserve"> </v>
      </c>
      <c r="J30" s="130"/>
      <c r="K30" s="131"/>
      <c r="L30" s="130" t="str">
        <f>IFERROR(VLOOKUP(L29,Abilities,7,FALSE),"")</f>
        <v>Grants 50% chance during Overwatch to perform an additional shot if the previous Overwatch shot hits. There's no limit as to how many times Guardian can trigger.</v>
      </c>
      <c r="M30" s="130"/>
      <c r="N30" s="135"/>
      <c r="O30" s="14"/>
      <c r="P30" s="14"/>
      <c r="Q30" s="3"/>
      <c r="V30" s="190" t="s">
        <v>819</v>
      </c>
      <c r="W30" s="191"/>
    </row>
    <row r="31" spans="1:27" ht="15.75" thickBot="1" x14ac:dyDescent="0.3">
      <c r="A31" s="50"/>
      <c r="B31" s="51"/>
      <c r="C31" s="51"/>
      <c r="D31" s="51"/>
      <c r="E31" s="52"/>
      <c r="F31" s="167"/>
      <c r="G31" s="147"/>
      <c r="H31" s="148"/>
      <c r="I31" s="146"/>
      <c r="J31" s="147"/>
      <c r="K31" s="148"/>
      <c r="L31" s="147"/>
      <c r="M31" s="147"/>
      <c r="N31" s="168"/>
      <c r="O31" s="14"/>
      <c r="P31" s="14"/>
      <c r="Q31" s="3"/>
      <c r="V31" s="192" t="s">
        <v>820</v>
      </c>
      <c r="W31" s="193"/>
    </row>
    <row r="32" spans="1:27" ht="18" thickBot="1" x14ac:dyDescent="0.35">
      <c r="A32" s="50"/>
      <c r="B32" s="51"/>
      <c r="C32" s="51"/>
      <c r="D32" s="51"/>
      <c r="E32" s="52"/>
      <c r="F32" s="169" t="s">
        <v>446</v>
      </c>
      <c r="G32" s="170"/>
      <c r="H32" s="170"/>
      <c r="I32" s="170"/>
      <c r="J32" s="170"/>
      <c r="K32" s="170"/>
      <c r="L32" s="170"/>
      <c r="M32" s="170"/>
      <c r="N32" s="171"/>
      <c r="O32" s="14"/>
      <c r="P32" s="14"/>
      <c r="Q32" s="3"/>
      <c r="V32" s="192" t="s">
        <v>815</v>
      </c>
      <c r="W32" s="193"/>
    </row>
    <row r="33" spans="1:23" ht="15.75" thickTop="1" x14ac:dyDescent="0.25">
      <c r="A33" s="50"/>
      <c r="B33" s="51"/>
      <c r="C33" s="51"/>
      <c r="D33" s="51"/>
      <c r="E33" s="52"/>
      <c r="F33" s="121" t="s">
        <v>962</v>
      </c>
      <c r="G33" s="120"/>
      <c r="H33" s="4" t="str">
        <f>IFERROR(VLOOKUP(F33,Abilities,4,FALSE),"")</f>
        <v>BLANK</v>
      </c>
      <c r="I33" s="121" t="s">
        <v>37</v>
      </c>
      <c r="J33" s="120"/>
      <c r="K33" s="35" t="str">
        <f>IFERROR(VLOOKUP(I33,Abilities,4,FALSE),"")</f>
        <v>XCOM2</v>
      </c>
      <c r="L33" s="121" t="s">
        <v>962</v>
      </c>
      <c r="M33" s="120"/>
      <c r="N33" s="10" t="str">
        <f>IFERROR(VLOOKUP(L33,Abilities,4,FALSE),"")</f>
        <v>BLANK</v>
      </c>
      <c r="O33" s="14"/>
      <c r="P33" s="14"/>
      <c r="Q33" s="3"/>
      <c r="V33" s="192" t="s">
        <v>822</v>
      </c>
      <c r="W33" s="193"/>
    </row>
    <row r="34" spans="1:23" x14ac:dyDescent="0.25">
      <c r="A34" s="50"/>
      <c r="B34" s="51"/>
      <c r="C34" s="51"/>
      <c r="D34" s="51"/>
      <c r="E34" s="52"/>
      <c r="F34" s="144" t="str">
        <f>IFERROR(VLOOKUP(F33,Abilities,7,FALSE),"")</f>
        <v xml:space="preserve"> </v>
      </c>
      <c r="G34" s="130"/>
      <c r="H34" s="131"/>
      <c r="I34" s="129" t="str">
        <f>IFERROR(VLOOKUP(I33,Abilities,7,FALSE),"")</f>
        <v>If you did not attack this turn, hunker down automatically.</v>
      </c>
      <c r="J34" s="130"/>
      <c r="K34" s="131"/>
      <c r="L34" s="130" t="str">
        <f>IFERROR(VLOOKUP(L33,Abilities,7,FALSE),"")</f>
        <v xml:space="preserve"> </v>
      </c>
      <c r="M34" s="130"/>
      <c r="N34" s="135"/>
      <c r="O34" s="14"/>
      <c r="P34" s="14"/>
      <c r="Q34" s="3"/>
      <c r="V34" s="190" t="s">
        <v>816</v>
      </c>
      <c r="W34" s="191"/>
    </row>
    <row r="35" spans="1:23" ht="15.75" thickBot="1" x14ac:dyDescent="0.3">
      <c r="A35" s="50"/>
      <c r="B35" s="51"/>
      <c r="C35" s="51"/>
      <c r="D35" s="51"/>
      <c r="E35" s="52"/>
      <c r="F35" s="167"/>
      <c r="G35" s="147"/>
      <c r="H35" s="148"/>
      <c r="I35" s="146"/>
      <c r="J35" s="147"/>
      <c r="K35" s="148"/>
      <c r="L35" s="147"/>
      <c r="M35" s="147"/>
      <c r="N35" s="168"/>
      <c r="O35" s="14"/>
      <c r="P35" s="14"/>
      <c r="Q35" s="3"/>
      <c r="V35" s="194" t="s">
        <v>865</v>
      </c>
      <c r="W35" s="195"/>
    </row>
    <row r="36" spans="1:23" ht="18" thickBot="1" x14ac:dyDescent="0.35">
      <c r="A36" s="50"/>
      <c r="B36" s="51"/>
      <c r="C36" s="51"/>
      <c r="D36" s="51"/>
      <c r="E36" s="52"/>
      <c r="F36" s="169" t="s">
        <v>447</v>
      </c>
      <c r="G36" s="170"/>
      <c r="H36" s="170"/>
      <c r="I36" s="170"/>
      <c r="J36" s="170"/>
      <c r="K36" s="170"/>
      <c r="L36" s="170"/>
      <c r="M36" s="170"/>
      <c r="N36" s="171"/>
    </row>
    <row r="37" spans="1:23" ht="15.75" thickTop="1" x14ac:dyDescent="0.25">
      <c r="A37" s="50"/>
      <c r="B37" s="51"/>
      <c r="C37" s="51"/>
      <c r="D37" s="51"/>
      <c r="E37" s="52"/>
      <c r="F37" s="119" t="s">
        <v>158</v>
      </c>
      <c r="G37" s="120"/>
      <c r="H37" s="4" t="str">
        <f>IFERROR(VLOOKUP(F37,Abilities,4,FALSE),"")</f>
        <v>XCOM2</v>
      </c>
      <c r="I37" s="121" t="s">
        <v>962</v>
      </c>
      <c r="J37" s="120"/>
      <c r="K37" s="35" t="str">
        <f>IFERROR(VLOOKUP(I37,Abilities,4,FALSE),"")</f>
        <v>BLANK</v>
      </c>
      <c r="L37" s="122" t="s">
        <v>613</v>
      </c>
      <c r="M37" s="120"/>
      <c r="N37" s="10" t="str">
        <f>IFERROR(VLOOKUP(L37,Abilities,4,FALSE),"")</f>
        <v>SOLW</v>
      </c>
    </row>
    <row r="38" spans="1:23" x14ac:dyDescent="0.25">
      <c r="A38" s="50"/>
      <c r="B38" s="51"/>
      <c r="C38" s="51"/>
      <c r="D38" s="51"/>
      <c r="E38" s="52"/>
      <c r="F38" s="144" t="str">
        <f>IFERROR(VLOOKUP(F37,Abilities,7,FALSE),"")</f>
        <v>The GREMLIN flies to each squad member, healing or reviving them as needed. Once per mission.</v>
      </c>
      <c r="G38" s="130"/>
      <c r="H38" s="131"/>
      <c r="I38" s="129" t="str">
        <f>IFERROR(VLOOKUP(I37,Abilities,7,FALSE),"")</f>
        <v xml:space="preserve"> </v>
      </c>
      <c r="J38" s="130"/>
      <c r="K38" s="131"/>
      <c r="L38" s="130" t="str">
        <f>IFERROR(VLOOKUP(L37,Abilities,7,FALSE),"")</f>
        <v>Your first reaction shot each turn is guaranteed to hit.</v>
      </c>
      <c r="M38" s="130"/>
      <c r="N38" s="135"/>
    </row>
    <row r="39" spans="1:23" ht="15.75" thickBot="1" x14ac:dyDescent="0.3">
      <c r="A39" s="53"/>
      <c r="B39" s="54"/>
      <c r="C39" s="54"/>
      <c r="D39" s="54"/>
      <c r="E39" s="55"/>
      <c r="F39" s="167"/>
      <c r="G39" s="147"/>
      <c r="H39" s="148"/>
      <c r="I39" s="146"/>
      <c r="J39" s="147"/>
      <c r="K39" s="148"/>
      <c r="L39" s="147"/>
      <c r="M39" s="147"/>
      <c r="N39" s="168"/>
    </row>
    <row r="40" spans="1:23" ht="15" customHeight="1" x14ac:dyDescent="0.25">
      <c r="A40" s="86" t="s">
        <v>1200</v>
      </c>
      <c r="B40" s="86"/>
      <c r="C40" s="88" t="str">
        <f>SUBSTITUTE(C1," ","")</f>
        <v>Medic</v>
      </c>
      <c r="D40" s="88"/>
      <c r="E40" s="88"/>
      <c r="F40" s="238"/>
      <c r="G40" s="238"/>
      <c r="H40" s="237"/>
      <c r="I40" s="237"/>
      <c r="J40" s="237"/>
    </row>
    <row r="41" spans="1:23" ht="15" customHeight="1" thickBot="1" x14ac:dyDescent="0.3">
      <c r="A41" s="87"/>
      <c r="B41" s="87"/>
      <c r="C41" s="89"/>
      <c r="D41" s="89"/>
      <c r="E41" s="89"/>
      <c r="F41" s="239"/>
      <c r="G41" s="239"/>
      <c r="H41" s="237"/>
      <c r="I41" s="237"/>
      <c r="J41" s="237"/>
    </row>
    <row r="42" spans="1:23" ht="16.5" thickBot="1" x14ac:dyDescent="0.3">
      <c r="A42" s="242" t="s">
        <v>339</v>
      </c>
      <c r="B42" s="244"/>
      <c r="C42" s="253" t="s">
        <v>342</v>
      </c>
      <c r="D42" s="247"/>
      <c r="E42" s="251" t="s">
        <v>343</v>
      </c>
      <c r="F42" s="250"/>
      <c r="G42" s="234"/>
      <c r="H42" s="235"/>
      <c r="I42" s="235"/>
      <c r="J42" s="235"/>
    </row>
    <row r="43" spans="1:23" x14ac:dyDescent="0.25">
      <c r="A43" s="243" t="str">
        <f ca="1">"; "&amp;INDIRECT("C1")&amp;" class data"</f>
        <v>; Medic class data</v>
      </c>
      <c r="B43" s="234" t="s">
        <v>340</v>
      </c>
      <c r="C43" s="254" t="str">
        <f ca="1">"; "&amp;INDIRECT("C1")&amp;" class loadout"</f>
        <v>; Medic class loadout</v>
      </c>
      <c r="D43" s="234" t="s">
        <v>340</v>
      </c>
      <c r="E43" s="252" t="str">
        <f ca="1">"["&amp;INDIRECT("C3")&amp;" X2SoldierClassTemplate]"</f>
        <v>[LWD_Medic X2SoldierClassTemplate]</v>
      </c>
      <c r="F43" s="234" t="s">
        <v>340</v>
      </c>
      <c r="G43" s="234"/>
      <c r="H43" s="235"/>
      <c r="I43" s="235"/>
      <c r="J43" s="235"/>
    </row>
    <row r="44" spans="1:23" x14ac:dyDescent="0.25">
      <c r="A44" s="240"/>
      <c r="B44" s="234"/>
      <c r="C44" s="245"/>
      <c r="D44" s="234" t="s">
        <v>340</v>
      </c>
      <c r="E44" s="248" t="str">
        <f ca="1">"+DisplayName="""&amp;INDIRECT("C1")&amp;""""</f>
        <v>+DisplayName="Medic"</v>
      </c>
      <c r="F44" s="234" t="s">
        <v>340</v>
      </c>
      <c r="G44" s="234"/>
      <c r="H44" s="235"/>
      <c r="I44" s="235"/>
      <c r="J44" s="235"/>
    </row>
    <row r="45" spans="1:23" x14ac:dyDescent="0.25">
      <c r="A45" s="240" t="str">
        <f>"[XComGame.X2SoldierClass_DefaultClasses]"</f>
        <v>[XComGame.X2SoldierClass_DefaultClasses]</v>
      </c>
      <c r="B45" s="234" t="s">
        <v>340</v>
      </c>
      <c r="C45" s="245" t="s">
        <v>341</v>
      </c>
      <c r="D45" s="234" t="s">
        <v>340</v>
      </c>
      <c r="E45" s="248" t="str">
        <f ca="1">"+ClassSummary="""&amp;INDIRECT("A20")&amp;""""</f>
        <v>+ClassSummary="The Medic uses their GREMLIN to keep their squad in tip-top fighting shape. "</v>
      </c>
      <c r="F45" s="234" t="s">
        <v>340</v>
      </c>
      <c r="G45" s="234"/>
      <c r="H45" s="235"/>
      <c r="I45" s="235"/>
      <c r="J45" s="235"/>
    </row>
    <row r="46" spans="1:23" x14ac:dyDescent="0.25">
      <c r="A46" s="240" t="str">
        <f ca="1">"+SoldierClasses="&amp;INDIRECT("C3")</f>
        <v>+SoldierClasses=LWD_Medic</v>
      </c>
      <c r="B46" s="234" t="s">
        <v>340</v>
      </c>
      <c r="C46" s="245"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+Loadouts=(LoadoutName="SquaddieLWD_Medic", Items[0]=(Item="AssaultRifle_CV"), Items[1]=(Item="Gremlin_CV"))</v>
      </c>
      <c r="D46" s="234" t="s">
        <v>340</v>
      </c>
      <c r="E46" s="248" t="str">
        <f ca="1">"+LeftAbilityTreeTitle="""&amp;INDIRECT("F11")&amp;""""</f>
        <v>+LeftAbilityTreeTitle="Healer"</v>
      </c>
      <c r="F46" s="234" t="s">
        <v>340</v>
      </c>
      <c r="G46" s="234"/>
      <c r="H46" s="235"/>
      <c r="I46" s="234"/>
      <c r="J46" s="234"/>
    </row>
    <row r="47" spans="1:23" x14ac:dyDescent="0.25">
      <c r="A47" s="240"/>
      <c r="B47" s="234" t="s">
        <v>340</v>
      </c>
      <c r="C47" s="245"/>
      <c r="D47" s="234" t="s">
        <v>340</v>
      </c>
      <c r="E47" s="248" t="str">
        <f ca="1">"+RightAbilityTreeTitle="""&amp;INDIRECT("L11")&amp;""""</f>
        <v>+RightAbilityTreeTitle="Ally"</v>
      </c>
      <c r="F47" s="234" t="s">
        <v>340</v>
      </c>
      <c r="G47" s="234"/>
      <c r="H47" s="235"/>
      <c r="I47" s="234"/>
      <c r="J47" s="234"/>
    </row>
    <row r="48" spans="1:23" x14ac:dyDescent="0.25">
      <c r="A48" s="240" t="str">
        <f ca="1">"["&amp;INDIRECT("C3")&amp;" X2SoldierClassTemplate]"</f>
        <v>[LWD_Medic X2SoldierClassTemplate]</v>
      </c>
      <c r="B48" s="234" t="s">
        <v>340</v>
      </c>
      <c r="C48" s="245" t="s">
        <v>351</v>
      </c>
      <c r="D48" s="234" t="s">
        <v>340</v>
      </c>
      <c r="E48" s="248" t="str">
        <f>"; Nicknames"</f>
        <v>; Nicknames</v>
      </c>
      <c r="F48" s="234" t="s">
        <v>340</v>
      </c>
      <c r="G48" s="234"/>
      <c r="H48" s="234"/>
      <c r="I48" s="234"/>
      <c r="J48" s="234"/>
    </row>
    <row r="49" spans="1:10" ht="15.75" thickBot="1" x14ac:dyDescent="0.3">
      <c r="A49" s="240" t="str">
        <f ca="1">"+bMultiplayerOnly="&amp;INDIRECT("E6")</f>
        <v>+bMultiplayerOnly=0</v>
      </c>
      <c r="B49" s="234" t="s">
        <v>340</v>
      </c>
      <c r="C49" s="246" t="str">
        <f ca="1">"+DEBUG_StartingSoldierClasses="""&amp;INDIRECT("C3")&amp;""""</f>
        <v>+DEBUG_StartingSoldierClasses="LWD_Medic"</v>
      </c>
      <c r="D49" s="234" t="s">
        <v>340</v>
      </c>
      <c r="E49" s="248" t="str">
        <f ca="1">IF(INDIRECT("V4")&lt;&gt;"","RandomNickNames[0]="""&amp;INDIRECT("V4")&amp;"""","")</f>
        <v>RandomNickNames[0]="Angel"</v>
      </c>
      <c r="F49" s="234" t="s">
        <v>340</v>
      </c>
      <c r="G49" s="234"/>
      <c r="H49" s="234"/>
      <c r="I49" s="234"/>
      <c r="J49" s="234"/>
    </row>
    <row r="50" spans="1:10" x14ac:dyDescent="0.25">
      <c r="A50" s="240" t="str">
        <f ca="1">"+ClassPoints="&amp;INDIRECT("E7")</f>
        <v>+ClassPoints=4</v>
      </c>
      <c r="B50" s="234" t="s">
        <v>340</v>
      </c>
      <c r="C50" s="234"/>
      <c r="D50" s="234"/>
      <c r="E50" s="248" t="str">
        <f ca="1">IF(INDIRECT("V5")&lt;&gt;"","RandomNickNames[1]="""&amp;INDIRECT("V5")&amp;"""","")</f>
        <v>RandomNickNames[1]="Bargain"</v>
      </c>
      <c r="F50" s="234" t="s">
        <v>340</v>
      </c>
      <c r="G50" s="234"/>
      <c r="H50" s="234"/>
      <c r="I50" s="234"/>
      <c r="J50" s="234"/>
    </row>
    <row r="51" spans="1:10" x14ac:dyDescent="0.25">
      <c r="A51" s="240" t="str">
        <f ca="1">"+IconImage="&amp;""""&amp;INDIRECT("E8")&amp;""""</f>
        <v>+IconImage="img:///UILibrary_LWD.class_medic"</v>
      </c>
      <c r="B51" s="234" t="s">
        <v>340</v>
      </c>
      <c r="C51" s="234"/>
      <c r="D51" s="234"/>
      <c r="E51" s="248" t="str">
        <f ca="1">IF(INDIRECT("V6")&lt;&gt;"","RandomNickNames[2]="""&amp;INDIRECT("V6")&amp;"""","")</f>
        <v>RandomNickNames[2]="Beta"</v>
      </c>
      <c r="F51" s="234" t="s">
        <v>340</v>
      </c>
      <c r="G51" s="234"/>
      <c r="H51" s="234"/>
      <c r="I51" s="234"/>
      <c r="J51" s="234"/>
    </row>
    <row r="52" spans="1:10" x14ac:dyDescent="0.25">
      <c r="A52" s="240" t="str">
        <f ca="1">"+NumInForcedDeck="&amp;INDIRECT("E9")</f>
        <v>+NumInForcedDeck=1</v>
      </c>
      <c r="B52" s="234" t="s">
        <v>340</v>
      </c>
      <c r="C52" s="234"/>
      <c r="D52" s="234"/>
      <c r="E52" s="248" t="str">
        <f ca="1">IF(INDIRECT("V7")&lt;&gt;"","RandomNickNames[3]="""&amp;INDIRECT("V7")&amp;"""","")</f>
        <v>RandomNickNames[3]="Bishop"</v>
      </c>
      <c r="F52" s="234" t="s">
        <v>340</v>
      </c>
      <c r="G52" s="234"/>
      <c r="H52" s="234"/>
      <c r="I52" s="234"/>
      <c r="J52" s="234"/>
    </row>
    <row r="53" spans="1:10" x14ac:dyDescent="0.25">
      <c r="A53" s="240" t="str">
        <f ca="1">"+NumInDeck="&amp;INDIRECT("E10")</f>
        <v>+NumInDeck=4</v>
      </c>
      <c r="B53" s="234" t="s">
        <v>340</v>
      </c>
      <c r="C53" s="234"/>
      <c r="D53" s="234"/>
      <c r="E53" s="248" t="str">
        <f ca="1">IF(INDIRECT("V8")&lt;&gt;"","RandomNickNames[4]="""&amp;INDIRECT("V8")&amp;"""","")</f>
        <v>RandomNickNames[4]="Bones"</v>
      </c>
      <c r="F53" s="234" t="s">
        <v>340</v>
      </c>
      <c r="G53" s="234"/>
      <c r="H53" s="234"/>
      <c r="I53" s="234"/>
      <c r="J53" s="234"/>
    </row>
    <row r="54" spans="1:10" x14ac:dyDescent="0.25">
      <c r="A54" s="240" t="str">
        <f ca="1">"+KillAssistsPerKill="&amp;INDIRECT("E11")</f>
        <v>+KillAssistsPerKill=3</v>
      </c>
      <c r="B54" s="234" t="s">
        <v>340</v>
      </c>
      <c r="C54" s="234"/>
      <c r="D54" s="234"/>
      <c r="E54" s="248" t="str">
        <f ca="1">IF(INDIRECT("V9")&lt;&gt;"","RandomNickNames[5]="""&amp;INDIRECT("V9")&amp;"""","")</f>
        <v>RandomNickNames[5]="Breaker"</v>
      </c>
      <c r="F54" s="234" t="s">
        <v>340</v>
      </c>
      <c r="G54" s="234"/>
      <c r="H54" s="234"/>
      <c r="I54" s="234"/>
      <c r="J54" s="234"/>
    </row>
    <row r="55" spans="1:10" x14ac:dyDescent="0.25">
      <c r="A55" s="240" t="str">
        <f ca="1">"+SquaddieLoadout=Squaddie"&amp;INDIRECT("C3")</f>
        <v>+SquaddieLoadout=SquaddieLWD_Medic</v>
      </c>
      <c r="B55" s="234" t="s">
        <v>340</v>
      </c>
      <c r="C55" s="234"/>
      <c r="D55" s="234"/>
      <c r="E55" s="248" t="str">
        <f ca="1">IF(INDIRECT("V10")&lt;&gt;"","RandomNickNames[6]="""&amp;INDIRECT("V10")&amp;"""","")</f>
        <v>RandomNickNames[6]="Broker"</v>
      </c>
      <c r="F55" s="234" t="s">
        <v>340</v>
      </c>
      <c r="G55" s="234"/>
      <c r="H55" s="234"/>
      <c r="I55" s="234"/>
      <c r="J55" s="234"/>
    </row>
    <row r="56" spans="1:10" x14ac:dyDescent="0.25">
      <c r="A56" s="240" t="str">
        <f ca="1">";+bAllowAWCAbilities="&amp;INDIRECT("E12")&amp;" ; Not a thing in LW2"</f>
        <v>;+bAllowAWCAbilities=1 ; Not a thing in LW2</v>
      </c>
      <c r="B56" s="234" t="s">
        <v>340</v>
      </c>
      <c r="C56" s="234"/>
      <c r="D56" s="234"/>
      <c r="E56" s="248" t="str">
        <f ca="1">IF(INDIRECT("V11")&lt;&gt;"","RandomNickNames[7]="""&amp;INDIRECT("V11")&amp;"""","")</f>
        <v>RandomNickNames[7]="Doc"</v>
      </c>
      <c r="F56" s="234" t="s">
        <v>340</v>
      </c>
      <c r="G56" s="234"/>
      <c r="H56" s="234"/>
      <c r="I56" s="234"/>
      <c r="J56" s="234"/>
    </row>
    <row r="57" spans="1:10" x14ac:dyDescent="0.25">
      <c r="A57" s="240" t="str">
        <f ca="1">IF(INDIRECT("B5")=FALSE,";","")&amp;"+AllowedWeapons=(SlotType=eInvSlot_PrimaryWeapon, WeaponType=""rifle"")"</f>
        <v>+AllowedWeapons=(SlotType=eInvSlot_PrimaryWeapon, WeaponType="rifle")</v>
      </c>
      <c r="B57" s="234" t="s">
        <v>340</v>
      </c>
      <c r="C57" s="234"/>
      <c r="D57" s="234"/>
      <c r="E57" s="248" t="str">
        <f ca="1">IF(INDIRECT("V12")&lt;&gt;"","RandomNickNames[8]="""&amp;INDIRECT("V12")&amp;"""","")</f>
        <v>RandomNickNames[8]="Deacon"</v>
      </c>
      <c r="F57" s="234" t="s">
        <v>340</v>
      </c>
      <c r="G57" s="234"/>
      <c r="H57" s="234"/>
      <c r="I57" s="234"/>
      <c r="J57" s="234"/>
    </row>
    <row r="58" spans="1:10" x14ac:dyDescent="0.25">
      <c r="A58" s="240" t="str">
        <f ca="1">IF(INDIRECT("B6")=FALSE,";","")&amp;"+AllowedWeapons=(SlotType=eInvSlot_PrimaryWeapon, WeaponType=""cannon"")"</f>
        <v>;+AllowedWeapons=(SlotType=eInvSlot_PrimaryWeapon, WeaponType="cannon")</v>
      </c>
      <c r="B58" s="234" t="s">
        <v>340</v>
      </c>
      <c r="C58" s="234"/>
      <c r="D58" s="234"/>
      <c r="E58" s="248" t="str">
        <f ca="1">IF(INDIRECT("V13")&lt;&gt;"","RandomNickNames[9]="""&amp;INDIRECT("V13")&amp;"""","")</f>
        <v>RandomNickNames[9]="Doomtrain"</v>
      </c>
      <c r="F58" s="234" t="s">
        <v>340</v>
      </c>
      <c r="G58" s="234"/>
      <c r="H58" s="234"/>
      <c r="I58" s="234"/>
      <c r="J58" s="234"/>
    </row>
    <row r="59" spans="1:10" x14ac:dyDescent="0.25">
      <c r="A59" s="240" t="str">
        <f ca="1">IF(INDIRECT("B7")=FALSE,";","")&amp;"+AllowedWeapons=(SlotType=eInvSlot_PrimaryWeapon, WeaponType=""shotgun"")"</f>
        <v>;+AllowedWeapons=(SlotType=eInvSlot_PrimaryWeapon, WeaponType="shotgun")</v>
      </c>
      <c r="B59" s="234" t="s">
        <v>340</v>
      </c>
      <c r="C59" s="234"/>
      <c r="D59" s="234"/>
      <c r="E59" s="248" t="str">
        <f ca="1">IF(INDIRECT("V14")&lt;&gt;"","RandomNickNames[10]="""&amp;INDIRECT("V14")&amp;"""","")</f>
        <v>RandomNickNames[10]="Dr. Feelgood"</v>
      </c>
      <c r="F59" s="234" t="s">
        <v>340</v>
      </c>
      <c r="G59" s="234"/>
      <c r="H59" s="234"/>
      <c r="I59" s="234"/>
      <c r="J59" s="234"/>
    </row>
    <row r="60" spans="1:10" x14ac:dyDescent="0.25">
      <c r="A60" s="240" t="str">
        <f ca="1">IF(INDIRECT("B8")=FALSE,";","")&amp;"+AllowedWeapons=(SlotType=eInvSlot_PrimaryWeapon, WeaponType=""sniper_rifle"")"</f>
        <v>;+AllowedWeapons=(SlotType=eInvSlot_PrimaryWeapon, WeaponType="sniper_rifle")</v>
      </c>
      <c r="B60" s="234" t="s">
        <v>340</v>
      </c>
      <c r="C60" s="234"/>
      <c r="D60" s="234"/>
      <c r="E60" s="248" t="str">
        <f ca="1">IF(INDIRECT("V15")&lt;&gt;"","RandomNickNames[11]="""&amp;INDIRECT("V15")&amp;"""","")</f>
        <v>RandomNickNames[11]="Famine"</v>
      </c>
      <c r="F60" s="234" t="s">
        <v>340</v>
      </c>
      <c r="G60" s="234"/>
      <c r="H60" s="234"/>
      <c r="I60" s="234"/>
      <c r="J60" s="234"/>
    </row>
    <row r="61" spans="1:10" x14ac:dyDescent="0.25">
      <c r="A61" s="240" t="str">
        <f ca="1">IF(INDIRECT("B9")=FALSE,";","")&amp;"+AllowedWeapons=(SlotType=eInvSlot_SecondaryWeapon, WeaponType=""gauntlet"")"</f>
        <v>;+AllowedWeapons=(SlotType=eInvSlot_SecondaryWeapon, WeaponType="gauntlet")</v>
      </c>
      <c r="B61" s="234" t="s">
        <v>340</v>
      </c>
      <c r="C61" s="234"/>
      <c r="D61" s="234"/>
      <c r="E61" s="248" t="str">
        <f ca="1">IF(INDIRECT("V16")&lt;&gt;"","RandomNickNames[12]="""&amp;INDIRECT("V16")&amp;"""","")</f>
        <v>RandomNickNames[12]="Feedback"</v>
      </c>
      <c r="F61" s="234" t="s">
        <v>340</v>
      </c>
      <c r="G61" s="234"/>
      <c r="H61" s="234"/>
      <c r="I61" s="234"/>
      <c r="J61" s="234"/>
    </row>
    <row r="62" spans="1:10" x14ac:dyDescent="0.25">
      <c r="A62" s="240" t="str">
        <f ca="1">IF(INDIRECT("B10")=FALSE,";","")&amp;"+AllowedWeapons=(SlotType=eInvSlot_SecondaryWeapon, WeaponType=""combatknife"")"</f>
        <v>;+AllowedWeapons=(SlotType=eInvSlot_SecondaryWeapon, WeaponType="combatknife")</v>
      </c>
      <c r="B62" s="234" t="s">
        <v>340</v>
      </c>
      <c r="C62" s="234"/>
      <c r="D62" s="234"/>
      <c r="E62" s="248" t="str">
        <f ca="1">IF(INDIRECT("V17")&lt;&gt;"","RandomNickNames[13]="""&amp;INDIRECT("V17")&amp;"""","")</f>
        <v>RandomNickNames[13]="Band-Aid"</v>
      </c>
      <c r="F62" s="234" t="s">
        <v>340</v>
      </c>
      <c r="G62" s="234"/>
      <c r="H62" s="234"/>
      <c r="I62" s="234"/>
      <c r="J62" s="234"/>
    </row>
    <row r="63" spans="1:10" x14ac:dyDescent="0.25">
      <c r="A63" s="240" t="str">
        <f ca="1">IF(INDIRECT("B11")=FALSE,";","")&amp;"+AllowedWeapons=(SlotType=eInvSlot_SecondaryWeapon, WeaponType=""grenade_launcher"")"</f>
        <v>;+AllowedWeapons=(SlotType=eInvSlot_SecondaryWeapon, WeaponType="grenade_launcher")</v>
      </c>
      <c r="B63" s="234" t="s">
        <v>340</v>
      </c>
      <c r="C63" s="234"/>
      <c r="D63" s="234"/>
      <c r="E63" s="248" t="str">
        <f ca="1">IF(INDIRECT("V18")&lt;&gt;"","RandomNickNames[14]="""&amp;INDIRECT("V18")&amp;"""","")</f>
        <v>RandomNickNames[14]="Genius"</v>
      </c>
      <c r="F63" s="234" t="s">
        <v>340</v>
      </c>
      <c r="G63" s="234"/>
      <c r="H63" s="234"/>
      <c r="I63" s="234"/>
      <c r="J63" s="234"/>
    </row>
    <row r="64" spans="1:10" x14ac:dyDescent="0.25">
      <c r="A64" s="240" t="str">
        <f ca="1">IF(INDIRECT("B12")=FALSE,";","")&amp;"+AllowedWeapons=(SlotType=eInvSlot_SecondaryWeapon, WeaponType=""gremlin"")"</f>
        <v>+AllowedWeapons=(SlotType=eInvSlot_SecondaryWeapon, WeaponType="gremlin")</v>
      </c>
      <c r="B64" s="234" t="s">
        <v>340</v>
      </c>
      <c r="C64" s="234"/>
      <c r="D64" s="234"/>
      <c r="E64" s="248" t="str">
        <f ca="1">IF(INDIRECT("V19")&lt;&gt;"","RandomNickNames[15]="""&amp;INDIRECT("V19")&amp;"""","")</f>
        <v>RandomNickNames[15]="Gizmo"</v>
      </c>
      <c r="F64" s="234" t="s">
        <v>340</v>
      </c>
      <c r="G64" s="234"/>
      <c r="H64" s="234"/>
      <c r="I64" s="234"/>
      <c r="J64" s="234"/>
    </row>
    <row r="65" spans="1:10" x14ac:dyDescent="0.25">
      <c r="A65" s="240" t="str">
        <f ca="1">IF(INDIRECT("B13")=FALSE,";","")&amp;"+AllowedWeapons=(SlotType=eInvSlot_SecondaryWeapon, WeaponType=""sword"")"</f>
        <v>;+AllowedWeapons=(SlotType=eInvSlot_SecondaryWeapon, WeaponType="sword")</v>
      </c>
      <c r="B65" s="234" t="s">
        <v>340</v>
      </c>
      <c r="C65" s="234"/>
      <c r="D65" s="234"/>
      <c r="E65" s="248" t="str">
        <f ca="1">IF(INDIRECT("V20")&lt;&gt;"","RandomNickNames[16]="""&amp;INDIRECT("V20")&amp;"""","")</f>
        <v>RandomNickNames[16]="Jester"</v>
      </c>
      <c r="F65" s="234" t="s">
        <v>340</v>
      </c>
      <c r="G65" s="234"/>
      <c r="H65" s="234"/>
      <c r="I65" s="234"/>
      <c r="J65" s="234"/>
    </row>
    <row r="66" spans="1:10" x14ac:dyDescent="0.25">
      <c r="A66" s="240" t="str">
        <f ca="1">IF(INDIRECT("B14")=FALSE,";","")&amp;"+AllowedWeapons=(SlotType=eInvSlot_SecondaryWeapon, WeaponType=""sawedoffshotgun"")"</f>
        <v>;+AllowedWeapons=(SlotType=eInvSlot_SecondaryWeapon, WeaponType="sawedoffshotgun")</v>
      </c>
      <c r="B66" s="234" t="s">
        <v>340</v>
      </c>
      <c r="C66" s="234"/>
      <c r="D66" s="234"/>
      <c r="E66" s="248" t="str">
        <f ca="1">IF(INDIRECT("V21")&lt;&gt;"","RandomNickNames[17]="""&amp;INDIRECT("V21")&amp;"""","")</f>
        <v>RandomNickNames[17]="Jolt"</v>
      </c>
      <c r="F66" s="234" t="s">
        <v>340</v>
      </c>
      <c r="G66" s="234"/>
      <c r="H66" s="234"/>
      <c r="I66" s="234"/>
      <c r="J66" s="234"/>
    </row>
    <row r="67" spans="1:10" x14ac:dyDescent="0.25">
      <c r="A67" s="240" t="str">
        <f ca="1">IF(INDIRECT("B15")=FALSE,";","")&amp;"+AllowedWeapons=(SlotType=eInvSlot_SecondaryWeapon, WeaponType=""arcthrower"")"</f>
        <v>;+AllowedWeapons=(SlotType=eInvSlot_SecondaryWeapon, WeaponType="arcthrower")</v>
      </c>
      <c r="B67" s="234" t="s">
        <v>340</v>
      </c>
      <c r="C67" s="234"/>
      <c r="D67" s="234"/>
      <c r="E67" s="248" t="str">
        <f ca="1">IF(INDIRECT("V22")&lt;&gt;"","RandomNickNames[18]="""&amp;INDIRECT("V22")&amp;"""","")</f>
        <v>RandomNickNames[18]="Lightning"</v>
      </c>
      <c r="F67" s="234" t="s">
        <v>340</v>
      </c>
      <c r="G67" s="234"/>
      <c r="H67" s="234"/>
      <c r="I67" s="234"/>
      <c r="J67" s="234"/>
    </row>
    <row r="68" spans="1:10" x14ac:dyDescent="0.25">
      <c r="A68" s="240" t="str">
        <f ca="1">IF(INDIRECT("B16")=FALSE,";","")&amp;"+AllowedWeapons=(SlotType=eInvSlot_SecondaryWeapon, WeaponType=""holotargeter"")"</f>
        <v>;+AllowedWeapons=(SlotType=eInvSlot_SecondaryWeapon, WeaponType="holotargeter")</v>
      </c>
      <c r="B68" s="234" t="s">
        <v>340</v>
      </c>
      <c r="C68" s="234"/>
      <c r="D68" s="234"/>
      <c r="E68" s="248" t="str">
        <f ca="1">IF(INDIRECT("V23")&lt;&gt;"","RandomNickNames[19]="""&amp;INDIRECT("V23")&amp;"""","")</f>
        <v>RandomNickNames[19]="Mayday"</v>
      </c>
      <c r="F68" s="234" t="s">
        <v>340</v>
      </c>
      <c r="G68" s="234"/>
      <c r="H68" s="234"/>
      <c r="I68" s="234"/>
      <c r="J68" s="234"/>
    </row>
    <row r="69" spans="1:10" x14ac:dyDescent="0.25">
      <c r="A69" s="240" t="str">
        <f ca="1">IF(INDIRECT("B17")=FALSE,";","")&amp;"+AllowedWeapons=(SlotType=eInvSlot_SecondaryWeapon, WeaponType=""psiamp"")"</f>
        <v>;+AllowedWeapons=(SlotType=eInvSlot_SecondaryWeapon, WeaponType="psiamp")</v>
      </c>
      <c r="B69" s="234" t="s">
        <v>340</v>
      </c>
      <c r="C69" s="234"/>
      <c r="D69" s="234"/>
      <c r="E69" s="248" t="str">
        <f ca="1">IF(INDIRECT("V24")&lt;&gt;"","RandomNickNames[20]="""&amp;INDIRECT("V24")&amp;"""","")</f>
        <v>RandomNickNames[20]="Mega"</v>
      </c>
      <c r="F69" s="234" t="s">
        <v>340</v>
      </c>
      <c r="G69" s="234"/>
      <c r="H69" s="234"/>
      <c r="I69" s="234"/>
      <c r="J69" s="234"/>
    </row>
    <row r="70" spans="1:10" x14ac:dyDescent="0.25">
      <c r="A70" s="240" t="str">
        <f ca="1">IF(INDIRECT("B9")=FALSE,";","")&amp;"+AllowedWeapons=(SlotType=eInvSlot_HeavyWeapon, WeaponType=""heavyammo"")"</f>
        <v>;+AllowedWeapons=(SlotType=eInvSlot_HeavyWeapon, WeaponType="heavyammo")</v>
      </c>
      <c r="B70" s="234" t="s">
        <v>340</v>
      </c>
      <c r="C70" s="234"/>
      <c r="D70" s="234"/>
      <c r="E70" s="248" t="str">
        <f ca="1">IF(INDIRECT("V25")&lt;&gt;"","RandomNickNames[21]="""&amp;INDIRECT("V25")&amp;"""","")</f>
        <v>RandomNickNames[21]="Newton"</v>
      </c>
      <c r="F70" s="234" t="s">
        <v>340</v>
      </c>
      <c r="G70" s="234"/>
      <c r="H70" s="234"/>
      <c r="I70" s="234"/>
      <c r="J70" s="234"/>
    </row>
    <row r="71" spans="1:10" x14ac:dyDescent="0.25">
      <c r="A71" s="240" t="str">
        <f ca="1">IF(INDIRECT("B9")=TRUE,";","")&amp;"+AllowedWeapons=(SlotType=eInvSlot_HeavyWeapon, WeaponType=""heavy"")"</f>
        <v>+AllowedWeapons=(SlotType=eInvSlot_HeavyWeapon, WeaponType="heavy")</v>
      </c>
      <c r="B71" s="234" t="s">
        <v>340</v>
      </c>
      <c r="C71" s="234"/>
      <c r="D71" s="234"/>
      <c r="E71" s="248" t="str">
        <f ca="1">IF(INDIRECT("V26")&lt;&gt;"","RandomNickNames[22]="""&amp;INDIRECT("V26")&amp;"""","")</f>
        <v>RandomNickNames[22]="Chance"</v>
      </c>
      <c r="F71" s="234" t="s">
        <v>340</v>
      </c>
      <c r="G71" s="234"/>
      <c r="H71" s="234"/>
      <c r="I71" s="234"/>
      <c r="J71" s="234"/>
    </row>
    <row r="72" spans="1:10" x14ac:dyDescent="0.25">
      <c r="A72" s="240" t="str">
        <f ca="1">"+AllowedArmors="&amp;INDIRECT("E13")</f>
        <v>+AllowedArmors=soldier</v>
      </c>
      <c r="B72" s="234" t="s">
        <v>340</v>
      </c>
      <c r="C72" s="234"/>
      <c r="D72" s="234"/>
      <c r="E72" s="248" t="str">
        <f ca="1">IF(INDIRECT("V27")&lt;&gt;"","RandomNickNames[23]="""&amp;INDIRECT("V27")&amp;"""","")</f>
        <v>RandomNickNames[23]="Rascal"</v>
      </c>
      <c r="F72" s="234" t="s">
        <v>340</v>
      </c>
      <c r="G72" s="234"/>
      <c r="H72" s="234"/>
      <c r="I72" s="234"/>
      <c r="J72" s="234"/>
    </row>
    <row r="73" spans="1:10" x14ac:dyDescent="0.25">
      <c r="A73" s="240" t="str">
        <f>"; squaddie"</f>
        <v>; squaddie</v>
      </c>
      <c r="B73" s="234" t="s">
        <v>340</v>
      </c>
      <c r="C73" s="234"/>
      <c r="D73" s="234"/>
      <c r="E73" s="248" t="str">
        <f ca="1">IF(INDIRECT("V28")&lt;&gt;"","RandomNickNames[24]="""&amp;INDIRECT("V28")&amp;"""","")</f>
        <v>RandomNickNames[24]="Rattler"</v>
      </c>
      <c r="F73" s="234" t="s">
        <v>340</v>
      </c>
      <c r="G73" s="234"/>
      <c r="H73" s="234"/>
      <c r="I73" s="234"/>
      <c r="J73" s="234"/>
    </row>
    <row r="74" spans="1:10" x14ac:dyDescent="0.25">
      <c r="A74" s="240" t="str">
        <f ca="1">"+SoldierRanks=(  aAbilityTree=( (AbilityName="""&amp;VLOOKUP(INDIRECT("F4"),Abilities,2,FALSE)&amp;""""&amp;IF(VLOOKUP(INDIRECT("F4"),Abilities,3,FALSE)="","",", ApplyToWeaponSlot=eInvSlot_"&amp;VLOOKUP(INDIRECT("F4"),Abilities,3,FALSE))&amp;"), \\"</f>
        <v>+SoldierRanks=(  aAbilityTree=( (AbilityName="IntrusionProtocol", ApplyToWeaponSlot=eInvSlot_SecondaryWeapon), \\</v>
      </c>
      <c r="B74" s="234" t="s">
        <v>340</v>
      </c>
      <c r="C74" s="234"/>
      <c r="D74" s="234"/>
      <c r="E74" s="248" t="str">
        <f ca="1">IF(INDIRECT("V29")&lt;&gt;"","RandomNickNames[25]="""&amp;INDIRECT("V29")&amp;"""","")</f>
        <v>RandomNickNames[25]="Revelation"</v>
      </c>
      <c r="F74" s="234" t="s">
        <v>340</v>
      </c>
      <c r="G74" s="234"/>
      <c r="H74" s="234"/>
      <c r="I74" s="234"/>
      <c r="J74" s="234"/>
    </row>
    <row r="75" spans="1:10" x14ac:dyDescent="0.25">
      <c r="A75" s="240" t="str">
        <f ca="1">IF(INDIRECT("I4")="","\\","(AbilityName="""&amp;VLOOKUP(INDIRECT("I4"),Abilities,2,FALSE)&amp;""""&amp;IF(VLOOKUP(INDIRECT("I4"),Abilities,3,FALSE)="","",", ApplyToWeaponSlot=eInvSlot_"&amp;VLOOKUP(INDIRECT("I4"),Abilities,3,FALSE))&amp;"), \\")</f>
        <v>(AbilityName="AidProtocol", ApplyToWeaponSlot=eInvSlot_SecondaryWeapon), \\</v>
      </c>
      <c r="B75" s="234" t="s">
        <v>340</v>
      </c>
      <c r="C75" s="234"/>
      <c r="D75" s="234"/>
      <c r="E75" s="248" t="str">
        <f ca="1">IF(INDIRECT("V30")&lt;&gt;"","RandomNickNames[26]="""&amp;INDIRECT("V30")&amp;"""","")</f>
        <v>RandomNickNames[26]="Skipper"</v>
      </c>
      <c r="F75" s="234" t="s">
        <v>340</v>
      </c>
      <c r="G75" s="234"/>
      <c r="H75" s="234"/>
      <c r="I75" s="234"/>
      <c r="J75" s="234"/>
    </row>
    <row r="76" spans="1:10" x14ac:dyDescent="0.25">
      <c r="A76" s="240" t="str">
        <f ca="1">IF(INDIRECT("L4")="","\\","(AbilityName="""&amp;VLOOKUP(INDIRECT("L4"),Abilities,2,FALSE)&amp;""""&amp;IF(VLOOKUP(INDIRECT("L4"),Abilities,3,FALSE)="","",", ApplyToWeaponSlot=eInvSlot_"&amp;VLOOKUP(INDIRECT("L4"),Abilities,3,FALSE))&amp;"), \\")</f>
        <v>(AbilityName="MedicalProtocol", ApplyToWeaponSlot=eInvSlot_SecondaryWeapon), \\</v>
      </c>
      <c r="B76" s="234" t="s">
        <v>340</v>
      </c>
      <c r="C76" s="234"/>
      <c r="D76" s="234"/>
      <c r="E76" s="248" t="str">
        <f ca="1">IF(INDIRECT("V31")&lt;&gt;"","RandomNickNames[27]="""&amp;INDIRECT("V31")&amp;"""","")</f>
        <v>RandomNickNames[27]="Thunder"</v>
      </c>
      <c r="F76" s="234" t="s">
        <v>340</v>
      </c>
      <c r="G76" s="234"/>
      <c r="H76" s="234"/>
      <c r="I76" s="234"/>
      <c r="J76" s="234"/>
    </row>
    <row r="77" spans="1:10" x14ac:dyDescent="0.25">
      <c r="A77" s="240" t="str">
        <f ca="1">IF(INDIRECT("F7")="","\\","(AbilityName="""&amp;VLOOKUP(INDIRECT("F7"),Abilities,2,FALSE)&amp;""""&amp;IF(VLOOKUP(INDIRECT("F7"),Abilities,3,FALSE)="","",", ApplyToWeaponSlot=eInvSlot_"&amp;VLOOKUP(INDIRECT("F7"),Abilities,3,FALSE))&amp;"), \\")</f>
        <v>\\</v>
      </c>
      <c r="B77" s="234" t="s">
        <v>340</v>
      </c>
      <c r="C77" s="234"/>
      <c r="D77" s="234"/>
      <c r="E77" s="248" t="str">
        <f ca="1">IF(INDIRECT("V32")&lt;&gt;"","RandomNickNames[28]="""&amp;INDIRECT("V32")&amp;"""","")</f>
        <v>RandomNickNames[28]="Undertaker"</v>
      </c>
      <c r="F77" s="234" t="s">
        <v>340</v>
      </c>
      <c r="G77" s="234"/>
      <c r="H77" s="234"/>
      <c r="I77" s="234"/>
      <c r="J77" s="234"/>
    </row>
    <row r="78" spans="1:10" x14ac:dyDescent="0.25">
      <c r="A78" s="240" t="str">
        <f ca="1">IF(INDIRECT("I7")="","\\","(AbilityName="""&amp;VLOOKUP(INDIRECT("I7"),Abilities,2,FALSE)&amp;""""&amp;IF(VLOOKUP(INDIRECT("I7"),Abilities,3,FALSE)="","",", ApplyToWeaponSlot=eInvSlot_"&amp;VLOOKUP(INDIRECT("I7"),Abilities,3,FALSE))&amp;"), \\")</f>
        <v>\\</v>
      </c>
      <c r="B78" s="234" t="s">
        <v>340</v>
      </c>
      <c r="C78" s="234"/>
      <c r="D78" s="234"/>
      <c r="E78" s="248" t="str">
        <f ca="1">IF(INDIRECT("V33")&lt;&gt;"","RandomNickNames[29]="""&amp;INDIRECT("V33")&amp;"""","")</f>
        <v>RandomNickNames[29]="War"</v>
      </c>
      <c r="F78" s="234" t="s">
        <v>340</v>
      </c>
      <c r="G78" s="234"/>
      <c r="H78" s="234"/>
      <c r="I78" s="234"/>
      <c r="J78" s="234"/>
    </row>
    <row r="79" spans="1:10" x14ac:dyDescent="0.25">
      <c r="A79" s="240" t="str">
        <f ca="1">IF(INDIRECT("L7")="","\\","(AbilityName="""&amp;VLOOKUP(INDIRECT("L7"),Abilities,2,FALSE)&amp;""""&amp;IF(VLOOKUP(INDIRECT("L7"),Abilities,3,FALSE)="","",", ApplyToWeaponSlot=eInvSlot_"&amp;VLOOKUP(INDIRECT("L7"),Abilities,3,FALSE))&amp;"), \\")</f>
        <v>\\</v>
      </c>
      <c r="B79" s="234" t="s">
        <v>340</v>
      </c>
      <c r="C79" s="234"/>
      <c r="D79" s="234"/>
      <c r="E79" s="248" t="str">
        <f ca="1">IF(INDIRECT("V34")&lt;&gt;"","RandomNickNames[30]="""&amp;INDIRECT("V34")&amp;"""","")</f>
        <v>RandomNickNames[30]="Whoopsie"</v>
      </c>
      <c r="F79" s="234" t="s">
        <v>340</v>
      </c>
      <c r="G79" s="234"/>
      <c r="H79" s="234"/>
      <c r="I79" s="234"/>
      <c r="J79" s="234"/>
    </row>
    <row r="80" spans="1:10" x14ac:dyDescent="0.25">
      <c r="A80" s="240" t="s">
        <v>337</v>
      </c>
      <c r="B80" s="234" t="s">
        <v>340</v>
      </c>
      <c r="C80" s="234"/>
      <c r="D80" s="234"/>
      <c r="E80" s="248" t="str">
        <f ca="1">IF(INDIRECT("V35")&lt;&gt;"","RandomNickNames[31]="""&amp;INDIRECT("V35")&amp;"""","")</f>
        <v>RandomNickNames[31]="Red Cross"</v>
      </c>
      <c r="F80" s="234" t="s">
        <v>340</v>
      </c>
      <c r="G80" s="234"/>
      <c r="H80" s="234"/>
      <c r="I80" s="234"/>
      <c r="J80" s="234"/>
    </row>
    <row r="81" spans="1:10" x14ac:dyDescent="0.25">
      <c r="A81" s="240"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(StatType=eStat_Will,StatAmount=6)),\\</v>
      </c>
      <c r="B81" s="234" t="s">
        <v>340</v>
      </c>
      <c r="C81" s="234"/>
      <c r="D81" s="234"/>
      <c r="E81" s="248" t="str">
        <f>"; Male Nicknames"</f>
        <v>; Male Nicknames</v>
      </c>
      <c r="F81" s="234" t="s">
        <v>340</v>
      </c>
      <c r="G81" s="234"/>
      <c r="H81" s="234"/>
      <c r="I81" s="234"/>
      <c r="J81" s="234"/>
    </row>
    <row r="82" spans="1:10" x14ac:dyDescent="0.25">
      <c r="A82" s="240" t="s">
        <v>338</v>
      </c>
      <c r="B82" s="234" t="s">
        <v>340</v>
      </c>
      <c r="C82" s="234"/>
      <c r="D82" s="234"/>
      <c r="E82" s="248" t="str">
        <f ca="1">IF(INDIRECT("X4")&lt;&gt;"","RandomNickNames_Male[0]="""&amp;INDIRECT("X4")&amp;"""","")</f>
        <v>RandomNickNames_Male[0]="Candyman"</v>
      </c>
      <c r="F82" s="234" t="s">
        <v>340</v>
      </c>
      <c r="G82" s="234"/>
      <c r="H82" s="234"/>
      <c r="I82" s="234"/>
      <c r="J82" s="234"/>
    </row>
    <row r="83" spans="1:10" x14ac:dyDescent="0.25">
      <c r="A83" s="240" t="str">
        <f>"; lance corporal"</f>
        <v>; lance corporal</v>
      </c>
      <c r="B83" s="234" t="s">
        <v>340</v>
      </c>
      <c r="C83" s="234"/>
      <c r="D83" s="234"/>
      <c r="E83" s="248" t="str">
        <f ca="1">IF(INDIRECT("X5")&lt;&gt;"","RandomNickNames_Male[1]="""&amp;INDIRECT("X5")&amp;"""","")</f>
        <v>RandomNickNames_Male[1]="Magic Man"</v>
      </c>
      <c r="F83" s="234" t="s">
        <v>340</v>
      </c>
      <c r="G83" s="234"/>
      <c r="H83" s="234"/>
      <c r="I83" s="234"/>
      <c r="J83" s="234"/>
    </row>
    <row r="84" spans="1:10" x14ac:dyDescent="0.25">
      <c r="A84" s="240" t="str">
        <f ca="1">"+SoldierRanks=(  aAbilityTree=( (AbilityName="""&amp;VLOOKUP(INDIRECT("F13"),Abilities,2,FALSE)&amp;""""&amp;IF(VLOOKUP(INDIRECT("F13"),Abilities,3,FALSE)="","",", ApplyToWeaponSlot=eInvSlot_"&amp;VLOOKUP(INDIRECT("F13"),Abilities,3,FALSE))&amp;"), \\"</f>
        <v>+SoldierRanks=(  aAbilityTree=( (AbilityName="RevivalProtocol", ApplyToWeaponSlot=eInvSlot_SecondaryWeapon), \\</v>
      </c>
      <c r="B84" s="234" t="s">
        <v>340</v>
      </c>
      <c r="C84" s="234"/>
      <c r="D84" s="234"/>
      <c r="E84" s="248" t="str">
        <f ca="1">IF(INDIRECT("X6")&lt;&gt;"","RandomNickNames_Male[2]="""&amp;INDIRECT("X6")&amp;"""","")</f>
        <v>RandomNickNames_Male[2]="Priest"</v>
      </c>
      <c r="F84" s="234" t="s">
        <v>340</v>
      </c>
      <c r="G84" s="234"/>
      <c r="H84" s="234"/>
      <c r="I84" s="234"/>
      <c r="J84" s="234"/>
    </row>
    <row r="85" spans="1:10" x14ac:dyDescent="0.25">
      <c r="A85" s="240" t="str">
        <f ca="1">IF(INDIRECT("I13")="","\\","(AbilityName="""&amp;VLOOKUP(INDIRECT("I13"),Abilities,2,FALSE)&amp;""""&amp;IF(VLOOKUP(INDIRECT("I13"),Abilities,3,FALSE)="","",", ApplyToWeaponSlot=eInvSlot_"&amp;VLOOKUP(INDIRECT("I13"),Abilities,3,FALSE))&amp;"), \\")</f>
        <v>(AbilityName=" "), \\</v>
      </c>
      <c r="B85" s="234" t="s">
        <v>340</v>
      </c>
      <c r="C85" s="234"/>
      <c r="D85" s="234"/>
      <c r="E85" s="248" t="str">
        <f ca="1">IF(INDIRECT("X7")&lt;&gt;"","RandomNickNames_Male[3]="""&amp;INDIRECT("X7")&amp;"""","")</f>
        <v>RandomNickNames_Male[3]="Rainman"</v>
      </c>
      <c r="F85" s="234" t="s">
        <v>340</v>
      </c>
      <c r="G85" s="234"/>
      <c r="H85" s="234"/>
      <c r="I85" s="234"/>
      <c r="J85" s="234"/>
    </row>
    <row r="86" spans="1:10" x14ac:dyDescent="0.25">
      <c r="A86" s="240" t="str">
        <f ca="1">IF(INDIRECT("L13")="","\\","(AbilityName="""&amp;VLOOKUP(INDIRECT("L13"),Abilities,2,FALSE)&amp;""""&amp;IF(VLOOKUP(INDIRECT("L13"),Abilities,3,FALSE)="","",", ApplyToWeaponSlot=eInvSlot_"&amp;VLOOKUP(INDIRECT("L13"),Abilities,3,FALSE))&amp;"), \\")</f>
        <v>(AbilityName="ThreatAssessment", ApplyToWeaponSlot=eInvSlot_Unknown), \\</v>
      </c>
      <c r="B86" s="234" t="s">
        <v>340</v>
      </c>
      <c r="C86" s="234"/>
      <c r="D86" s="234"/>
      <c r="E86" s="248" t="str">
        <f ca="1">IF(INDIRECT("X8")&lt;&gt;"","RandomNickNames_Male[4]="""&amp;INDIRECT("X8")&amp;"""","")</f>
        <v>RandomNickNames_Male[4]="Mr. Fixer"</v>
      </c>
      <c r="F86" s="234" t="s">
        <v>340</v>
      </c>
      <c r="G86" s="234"/>
      <c r="H86" s="234"/>
      <c r="I86" s="234"/>
      <c r="J86" s="234"/>
    </row>
    <row r="87" spans="1:10" x14ac:dyDescent="0.25">
      <c r="A87" s="240" t="s">
        <v>337</v>
      </c>
      <c r="B87" s="234" t="s">
        <v>340</v>
      </c>
      <c r="C87" s="234"/>
      <c r="D87" s="234"/>
      <c r="E87" s="248" t="str">
        <f>"; Female Nicknames"</f>
        <v>; Female Nicknames</v>
      </c>
      <c r="F87" s="234" t="s">
        <v>340</v>
      </c>
      <c r="G87" s="234"/>
      <c r="H87" s="234"/>
      <c r="I87" s="234"/>
      <c r="J87" s="234"/>
    </row>
    <row r="88" spans="1:10" x14ac:dyDescent="0.25">
      <c r="A88" s="240"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(StatType=eStat_Will,StatAmount=6)),\\</v>
      </c>
      <c r="B88" s="234" t="s">
        <v>340</v>
      </c>
      <c r="C88" s="234"/>
      <c r="D88" s="234"/>
      <c r="E88" s="248" t="str">
        <f ca="1">IF(INDIRECT("X10")&lt;&gt;"","RandomNickNames_Female[0]="""&amp;INDIRECT("X10")&amp;"""","")</f>
        <v>RandomNickNames_Female[0]="Priestess"</v>
      </c>
      <c r="F88" s="234" t="s">
        <v>340</v>
      </c>
      <c r="G88" s="234"/>
      <c r="H88" s="234"/>
      <c r="I88" s="234"/>
      <c r="J88" s="234"/>
    </row>
    <row r="89" spans="1:10" x14ac:dyDescent="0.25">
      <c r="A89" s="240" t="s">
        <v>338</v>
      </c>
      <c r="B89" s="234" t="s">
        <v>340</v>
      </c>
      <c r="C89" s="234"/>
      <c r="D89" s="234"/>
      <c r="E89" s="248" t="str">
        <f ca="1">IF(INDIRECT("X11")&lt;&gt;"","RandomNickNames_Female[1]="""&amp;INDIRECT("X11")&amp;"""","")</f>
        <v>RandomNickNames_Female[1]="Wolfmother"</v>
      </c>
      <c r="F89" s="234" t="s">
        <v>340</v>
      </c>
      <c r="G89" s="234"/>
      <c r="H89" s="234"/>
      <c r="I89" s="234"/>
      <c r="J89" s="234"/>
    </row>
    <row r="90" spans="1:10" x14ac:dyDescent="0.25">
      <c r="A90" s="240" t="str">
        <f>"; corporal"</f>
        <v>; corporal</v>
      </c>
      <c r="B90" s="234" t="s">
        <v>340</v>
      </c>
      <c r="C90" s="234"/>
      <c r="D90" s="234"/>
      <c r="E90" s="248" t="str">
        <f ca="1">IF(INDIRECT("X12")&lt;&gt;"","RandomNickNames_Female[2]="""&amp;INDIRECT("X12")&amp;"""","")</f>
        <v>RandomNickNames_Female[2]="Black Widow"</v>
      </c>
      <c r="F90" s="234" t="s">
        <v>340</v>
      </c>
      <c r="G90" s="234"/>
      <c r="H90" s="234"/>
      <c r="I90" s="234"/>
      <c r="J90" s="234"/>
    </row>
    <row r="91" spans="1:10" x14ac:dyDescent="0.25">
      <c r="A91" s="240" t="str">
        <f ca="1">"+SoldierRanks=(  aAbilityTree=( (AbilityName="""&amp;VLOOKUP(INDIRECT("F17"),Abilities,2,FALSE)&amp;""""&amp;IF(VLOOKUP(INDIRECT("F17"),Abilities,3,FALSE)="","",", ApplyToWeaponSlot=eInvSlot_"&amp;VLOOKUP(INDIRECT("F17"),Abilities,3,FALSE))&amp;"), \\"</f>
        <v>+SoldierRanks=(  aAbilityTree=( (AbilityName=" "), \\</v>
      </c>
      <c r="B91" s="234" t="s">
        <v>340</v>
      </c>
      <c r="C91" s="234"/>
      <c r="D91" s="234"/>
      <c r="E91" s="248" t="str">
        <f ca="1">IF(INDIRECT("X13")&lt;&gt;"","RandomNickNames_Female[3]="""&amp;INDIRECT("X13")&amp;"""","")</f>
        <v>RandomNickNames_Female[3]="Duchess"</v>
      </c>
      <c r="F91" s="234" t="s">
        <v>340</v>
      </c>
      <c r="G91" s="234"/>
      <c r="H91" s="234"/>
      <c r="I91" s="234"/>
      <c r="J91" s="234"/>
    </row>
    <row r="92" spans="1:10" ht="15.75" thickBot="1" x14ac:dyDescent="0.3">
      <c r="A92" s="240" t="str">
        <f ca="1">IF(INDIRECT("I17")="","\\","(AbilityName="""&amp;VLOOKUP(INDIRECT("I17"),Abilities,2,FALSE)&amp;""""&amp;IF(VLOOKUP(INDIRECT("I17"),Abilities,3,FALSE)="","",", ApplyToWeaponSlot=eInvSlot_"&amp;VLOOKUP(INDIRECT("I17"),Abilities,3,FALSE))&amp;"), \\")</f>
        <v>(AbilityName="FieldSurgeon", ApplyToWeaponSlot=eInvSlot_Unknown), \\</v>
      </c>
      <c r="B92" s="234" t="s">
        <v>340</v>
      </c>
      <c r="C92" s="234"/>
      <c r="D92" s="234"/>
      <c r="E92" s="249" t="str">
        <f ca="1">IF(INDIRECT("X14")&lt;&gt;"","RandomNickNames_Female[4]="""&amp;INDIRECT("X14")&amp;"""","")</f>
        <v>RandomNickNames_Female[4]="Nurse Joy"</v>
      </c>
      <c r="F92" s="234" t="s">
        <v>340</v>
      </c>
      <c r="G92" s="234"/>
      <c r="H92" s="234"/>
      <c r="I92" s="234"/>
      <c r="J92" s="234"/>
    </row>
    <row r="93" spans="1:10" x14ac:dyDescent="0.25">
      <c r="A93" s="240" t="str">
        <f ca="1">IF(INDIRECT("L17")="","\\","(AbilityName="""&amp;VLOOKUP(INDIRECT("L17"),Abilities,2,FALSE)&amp;""""&amp;IF(VLOOKUP(INDIRECT("L17"),Abilities,3,FALSE)="","",", ApplyToWeaponSlot=eInvSlot_"&amp;VLOOKUP(INDIRECT("L17"),Abilities,3,FALSE))&amp;"), \\")</f>
        <v>(AbilityName=" "), \\</v>
      </c>
      <c r="B93" s="234" t="s">
        <v>340</v>
      </c>
      <c r="C93" s="234"/>
      <c r="D93" s="234"/>
      <c r="E93" s="234"/>
      <c r="F93" s="234"/>
      <c r="G93" s="234"/>
      <c r="H93" s="234"/>
      <c r="I93" s="234"/>
      <c r="J93" s="234"/>
    </row>
    <row r="94" spans="1:10" x14ac:dyDescent="0.25">
      <c r="A94" s="240" t="s">
        <v>337</v>
      </c>
      <c r="B94" s="234" t="s">
        <v>340</v>
      </c>
      <c r="C94" s="234"/>
      <c r="D94" s="234"/>
      <c r="E94" s="234"/>
      <c r="F94" s="234"/>
      <c r="G94" s="234"/>
      <c r="H94" s="234"/>
      <c r="I94" s="234"/>
      <c r="J94" s="234"/>
    </row>
    <row r="95" spans="1:10" x14ac:dyDescent="0.25">
      <c r="A95" s="240"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234" t="s">
        <v>340</v>
      </c>
      <c r="C95" s="234"/>
      <c r="D95" s="234"/>
      <c r="E95" s="234"/>
      <c r="F95" s="234"/>
      <c r="G95" s="234"/>
      <c r="H95" s="234"/>
      <c r="I95" s="234"/>
      <c r="J95" s="234"/>
    </row>
    <row r="96" spans="1:10" x14ac:dyDescent="0.25">
      <c r="A96" s="240" t="s">
        <v>338</v>
      </c>
      <c r="B96" s="234" t="s">
        <v>340</v>
      </c>
      <c r="C96" s="234"/>
      <c r="D96" s="234"/>
      <c r="E96" s="234"/>
      <c r="F96" s="234"/>
      <c r="G96" s="234"/>
      <c r="H96" s="234"/>
      <c r="I96" s="234"/>
      <c r="J96" s="234"/>
    </row>
    <row r="97" spans="1:10" x14ac:dyDescent="0.25">
      <c r="A97" s="240" t="str">
        <f>"; sergeant"</f>
        <v>; sergeant</v>
      </c>
      <c r="B97" s="234" t="s">
        <v>340</v>
      </c>
      <c r="C97" s="234"/>
      <c r="D97" s="234"/>
      <c r="E97" s="234"/>
      <c r="F97" s="234"/>
      <c r="G97" s="234"/>
      <c r="H97" s="234"/>
      <c r="I97" s="234"/>
      <c r="J97" s="234"/>
    </row>
    <row r="98" spans="1:10" x14ac:dyDescent="0.25">
      <c r="A98" s="240" t="str">
        <f ca="1">"+SoldierRanks=(  aAbilityTree=( (AbilityName="""&amp;VLOOKUP(INDIRECT("F21"),Abilities,2,FALSE)&amp;""""&amp;IF(VLOOKUP(INDIRECT("F21"),Abilities,3,FALSE)="","",", ApplyToWeaponSlot=eInvSlot_"&amp;VLOOKUP(INDIRECT("F21"),Abilities,3,FALSE))&amp;"), \\"</f>
        <v>+SoldierRanks=(  aAbilityTree=( (AbilityName="FieldMedic", ApplyToWeaponSlot=eInvSlot_Unknown), \\</v>
      </c>
      <c r="B98" s="234" t="s">
        <v>340</v>
      </c>
      <c r="C98" s="234"/>
      <c r="D98" s="234"/>
      <c r="E98" s="234"/>
      <c r="F98" s="234"/>
      <c r="G98" s="234"/>
      <c r="H98" s="234"/>
      <c r="I98" s="234"/>
      <c r="J98" s="234"/>
    </row>
    <row r="99" spans="1:10" x14ac:dyDescent="0.25">
      <c r="A99" s="240" t="str">
        <f ca="1">IF(INDIRECT("I21")="","\\","(AbilityName="""&amp;VLOOKUP(INDIRECT("I21"),Abilities,2,FALSE)&amp;""""&amp;IF(VLOOKUP(INDIRECT("I21"),Abilities,3,FALSE)="","",", ApplyToWeaponSlot=eInvSlot_"&amp;VLOOKUP(INDIRECT("I21"),Abilities,3,FALSE))&amp;"), \\")</f>
        <v>(AbilityName=" "), \\</v>
      </c>
      <c r="B99" s="234" t="s">
        <v>340</v>
      </c>
      <c r="C99" s="234"/>
      <c r="D99" s="234"/>
      <c r="E99" s="234"/>
      <c r="F99" s="234"/>
      <c r="G99" s="234"/>
      <c r="H99" s="234"/>
      <c r="I99" s="234"/>
      <c r="J99" s="234"/>
    </row>
    <row r="100" spans="1:10" x14ac:dyDescent="0.25">
      <c r="A100" s="240" t="str">
        <f ca="1">IF(INDIRECT("L21")="","\\","(AbilityName="""&amp;VLOOKUP(INDIRECT("L21"),Abilities,2,FALSE)&amp;""""&amp;IF(VLOOKUP(INDIRECT("L21"),Abilities,3,FALSE)="","",", ApplyToWeaponSlot=eInvSlot_"&amp;VLOOKUP(INDIRECT("L21"),Abilities,3,FALSE))&amp;"), \\")</f>
        <v>(AbilityName="ShadowOps_ShieldProtocol", ApplyToWeaponSlot=eInvSlot_SecondaryWeapon), \\</v>
      </c>
      <c r="B100" s="234" t="s">
        <v>340</v>
      </c>
      <c r="C100" s="234"/>
      <c r="D100" s="234"/>
      <c r="E100" s="234"/>
      <c r="F100" s="234"/>
      <c r="G100" s="234"/>
      <c r="H100" s="234"/>
      <c r="I100" s="234"/>
      <c r="J100" s="234"/>
    </row>
    <row r="101" spans="1:10" x14ac:dyDescent="0.25">
      <c r="A101" s="240" t="s">
        <v>337</v>
      </c>
      <c r="B101" s="234" t="s">
        <v>340</v>
      </c>
      <c r="C101" s="234"/>
      <c r="D101" s="234"/>
      <c r="E101" s="234"/>
      <c r="F101" s="234"/>
      <c r="G101" s="234"/>
      <c r="H101" s="234"/>
      <c r="I101" s="234"/>
      <c r="J101" s="234"/>
    </row>
    <row r="102" spans="1:10" x14ac:dyDescent="0.25">
      <c r="A102" s="240"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234" t="s">
        <v>340</v>
      </c>
      <c r="C102" s="234"/>
      <c r="D102" s="234"/>
      <c r="E102" s="234"/>
      <c r="F102" s="234"/>
      <c r="G102" s="234"/>
      <c r="H102" s="234"/>
      <c r="I102" s="234"/>
      <c r="J102" s="234"/>
    </row>
    <row r="103" spans="1:10" x14ac:dyDescent="0.25">
      <c r="A103" s="240" t="s">
        <v>338</v>
      </c>
      <c r="B103" s="234" t="s">
        <v>340</v>
      </c>
      <c r="C103" s="234"/>
      <c r="D103" s="234"/>
      <c r="E103" s="234"/>
      <c r="F103" s="234"/>
      <c r="G103" s="234"/>
      <c r="H103" s="234"/>
      <c r="I103" s="234"/>
      <c r="J103" s="234"/>
    </row>
    <row r="104" spans="1:10" x14ac:dyDescent="0.25">
      <c r="A104" s="240" t="str">
        <f>"; staff sergeant"</f>
        <v>; staff sergeant</v>
      </c>
      <c r="B104" s="234" t="s">
        <v>340</v>
      </c>
      <c r="C104" s="234"/>
      <c r="D104" s="234"/>
      <c r="E104" s="234"/>
      <c r="F104" s="234"/>
      <c r="G104" s="234"/>
      <c r="H104" s="234"/>
      <c r="I104" s="234"/>
      <c r="J104" s="234"/>
    </row>
    <row r="105" spans="1:10" x14ac:dyDescent="0.25">
      <c r="A105" s="240" t="str">
        <f ca="1">"+SoldierRanks=(  aAbilityTree=( (AbilityName="""&amp;VLOOKUP(INDIRECT("F25"),Abilities,2,FALSE)&amp;""""&amp;IF(VLOOKUP(INDIRECT("F25"),Abilities,3,FALSE)="","",", ApplyToWeaponSlot=eInvSlot_"&amp;VLOOKUP(INDIRECT("F25"),Abilities,3,FALSE))&amp;"), \\"</f>
        <v>+SoldierRanks=(  aAbilityTree=( (AbilityName="ShadowOps_CoverMe"), \\</v>
      </c>
      <c r="B105" s="234" t="s">
        <v>340</v>
      </c>
      <c r="C105" s="234"/>
      <c r="D105" s="234"/>
      <c r="E105" s="234"/>
      <c r="F105" s="234"/>
      <c r="G105" s="234"/>
      <c r="H105" s="234"/>
      <c r="I105" s="234"/>
      <c r="J105" s="234"/>
    </row>
    <row r="106" spans="1:10" x14ac:dyDescent="0.25">
      <c r="A106" s="240" t="str">
        <f ca="1">IF(INDIRECT("I25")="","\\","(AbilityName="""&amp;VLOOKUP(INDIRECT("I25"),Abilities,2,FALSE)&amp;""""&amp;IF(VLOOKUP(INDIRECT("I25"),Abilities,3,FALSE)="","",", ApplyToWeaponSlot=eInvSlot_"&amp;VLOOKUP(INDIRECT("I25"),Abilities,3,FALSE))&amp;"), \\")</f>
        <v>(AbilityName=" "), \\</v>
      </c>
      <c r="B106" s="234" t="s">
        <v>340</v>
      </c>
      <c r="C106" s="234"/>
      <c r="D106" s="234"/>
      <c r="E106" s="234"/>
      <c r="F106" s="234"/>
      <c r="G106" s="234"/>
      <c r="H106" s="234"/>
      <c r="I106" s="234"/>
      <c r="J106" s="234"/>
    </row>
    <row r="107" spans="1:10" x14ac:dyDescent="0.25">
      <c r="A107" s="240" t="str">
        <f ca="1">IF(INDIRECT("L25")="","\\","(AbilityName="""&amp;VLOOKUP(INDIRECT("L25"),Abilities,2,FALSE)&amp;""""&amp;IF(VLOOKUP(INDIRECT("L25"),Abilities,3,FALSE)="","",", ApplyToWeaponSlot=eInvSlot_"&amp;VLOOKUP(INDIRECT("L25"),Abilities,3,FALSE))&amp;"), \\")</f>
        <v>(AbilityName="EverVigilant", ApplyToWeaponSlot=eInvSlot_Unknown), \\</v>
      </c>
      <c r="B107" s="234" t="s">
        <v>340</v>
      </c>
      <c r="C107" s="234"/>
      <c r="D107" s="234"/>
      <c r="E107" s="234"/>
      <c r="F107" s="234"/>
      <c r="G107" s="234"/>
      <c r="H107" s="234"/>
      <c r="I107" s="234"/>
      <c r="J107" s="234"/>
    </row>
    <row r="108" spans="1:10" x14ac:dyDescent="0.25">
      <c r="A108" s="240" t="s">
        <v>337</v>
      </c>
      <c r="B108" s="234" t="s">
        <v>340</v>
      </c>
      <c r="C108" s="234"/>
      <c r="D108" s="234"/>
      <c r="E108" s="234"/>
      <c r="F108" s="234"/>
      <c r="G108" s="234"/>
      <c r="H108" s="234"/>
      <c r="I108" s="234"/>
      <c r="J108" s="234"/>
    </row>
    <row r="109" spans="1:10" x14ac:dyDescent="0.25">
      <c r="A109" s="240"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(StatType=eStat_Hacking,StatAmount=0)),\\</v>
      </c>
      <c r="B109" s="234" t="s">
        <v>340</v>
      </c>
      <c r="C109" s="234"/>
      <c r="D109" s="234"/>
      <c r="E109" s="234"/>
      <c r="F109" s="234"/>
      <c r="G109" s="234"/>
      <c r="H109" s="234"/>
      <c r="I109" s="234"/>
      <c r="J109" s="234"/>
    </row>
    <row r="110" spans="1:10" x14ac:dyDescent="0.25">
      <c r="A110" s="240" t="s">
        <v>338</v>
      </c>
      <c r="B110" s="234" t="s">
        <v>340</v>
      </c>
      <c r="C110" s="234"/>
      <c r="D110" s="234"/>
      <c r="E110" s="234"/>
      <c r="F110" s="234"/>
      <c r="G110" s="234"/>
      <c r="H110" s="234"/>
      <c r="I110" s="234"/>
      <c r="J110" s="234"/>
    </row>
    <row r="111" spans="1:10" x14ac:dyDescent="0.25">
      <c r="A111" s="240" t="str">
        <f>"; tech sergeant"</f>
        <v>; tech sergeant</v>
      </c>
      <c r="B111" s="234" t="s">
        <v>340</v>
      </c>
      <c r="C111" s="234"/>
      <c r="D111" s="234"/>
      <c r="E111" s="234"/>
      <c r="F111" s="234"/>
      <c r="G111" s="234"/>
      <c r="H111" s="234"/>
      <c r="I111" s="234"/>
      <c r="J111" s="234"/>
    </row>
    <row r="112" spans="1:10" x14ac:dyDescent="0.25">
      <c r="A112" s="240" t="str">
        <f ca="1">"+SoldierRanks=(  aAbilityTree=( (AbilityName="""&amp;VLOOKUP(INDIRECT("F29"),Abilities,2,FALSE)&amp;""""&amp;IF(VLOOKUP(INDIRECT("F29"),Abilities,3,FALSE)="","",", ApplyToWeaponSlot=eInvSlot_"&amp;VLOOKUP(INDIRECT("F29"),Abilities,3,FALSE))&amp;"), \\"</f>
        <v>+SoldierRanks=(  aAbilityTree=( (AbilityName="Savior", ApplyToWeaponSlot=eInvSlot_Unknown), \\</v>
      </c>
      <c r="B112" s="234" t="s">
        <v>340</v>
      </c>
      <c r="C112" s="234"/>
      <c r="D112" s="234"/>
      <c r="E112" s="234"/>
      <c r="F112" s="234"/>
      <c r="G112" s="234"/>
      <c r="H112" s="234"/>
      <c r="I112" s="234"/>
      <c r="J112" s="234"/>
    </row>
    <row r="113" spans="1:10" x14ac:dyDescent="0.25">
      <c r="A113" s="240" t="str">
        <f ca="1">IF(INDIRECT("I29")="","\\","(AbilityName="""&amp;VLOOKUP(INDIRECT("I29"),Abilities,2,FALSE)&amp;""""&amp;IF(VLOOKUP(INDIRECT("I29"),Abilities,3,FALSE)="","",", ApplyToWeaponSlot=eInvSlot_"&amp;VLOOKUP(INDIRECT("I29"),Abilities,3,FALSE))&amp;"), \\")</f>
        <v>(AbilityName=" "), \\</v>
      </c>
      <c r="B113" s="234" t="s">
        <v>340</v>
      </c>
      <c r="C113" s="234"/>
      <c r="D113" s="234"/>
      <c r="E113" s="234"/>
      <c r="F113" s="234"/>
      <c r="G113" s="234"/>
      <c r="H113" s="234"/>
      <c r="I113" s="234"/>
      <c r="J113" s="234"/>
    </row>
    <row r="114" spans="1:10" x14ac:dyDescent="0.25">
      <c r="A114" s="240" t="str">
        <f ca="1">IF(INDIRECT("L29")="","\\","(AbilityName="""&amp;VLOOKUP(INDIRECT("L29"),Abilities,2,FALSE)&amp;""""&amp;IF(VLOOKUP(INDIRECT("L29"),Abilities,3,FALSE)="","",", ApplyToWeaponSlot=eInvSlot_"&amp;VLOOKUP(INDIRECT("L29"),Abilities,3,FALSE))&amp;"), \\")</f>
        <v>(AbilityName="Sentinel", ApplyToWeaponSlot=eInvSlot_Unknown), \\</v>
      </c>
      <c r="B114" s="234" t="s">
        <v>340</v>
      </c>
      <c r="C114" s="234"/>
      <c r="D114" s="234"/>
      <c r="E114" s="234"/>
      <c r="F114" s="234"/>
      <c r="G114" s="234"/>
      <c r="H114" s="234"/>
      <c r="I114" s="234"/>
      <c r="J114" s="234"/>
    </row>
    <row r="115" spans="1:10" x14ac:dyDescent="0.25">
      <c r="A115" s="240" t="s">
        <v>337</v>
      </c>
      <c r="B115" s="234" t="s">
        <v>340</v>
      </c>
      <c r="C115" s="234"/>
      <c r="D115" s="234"/>
      <c r="E115" s="234"/>
      <c r="F115" s="234"/>
      <c r="G115" s="234"/>
      <c r="H115" s="234"/>
      <c r="I115" s="234"/>
      <c r="J115" s="234"/>
    </row>
    <row r="116" spans="1:10" x14ac:dyDescent="0.25">
      <c r="A116" s="240"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234" t="s">
        <v>340</v>
      </c>
      <c r="C116" s="234"/>
      <c r="D116" s="234"/>
      <c r="E116" s="234"/>
      <c r="F116" s="234"/>
      <c r="G116" s="234"/>
      <c r="H116" s="234"/>
      <c r="I116" s="234"/>
      <c r="J116" s="234"/>
    </row>
    <row r="117" spans="1:10" x14ac:dyDescent="0.25">
      <c r="A117" s="240" t="s">
        <v>338</v>
      </c>
      <c r="B117" s="234" t="s">
        <v>340</v>
      </c>
      <c r="C117" s="234"/>
      <c r="D117" s="234"/>
      <c r="E117" s="234"/>
      <c r="F117" s="234"/>
      <c r="G117" s="234"/>
      <c r="H117" s="234"/>
      <c r="I117" s="234"/>
      <c r="J117" s="234"/>
    </row>
    <row r="118" spans="1:10" x14ac:dyDescent="0.25">
      <c r="A118" s="240" t="str">
        <f>";  gunnery sergeant"</f>
        <v>;  gunnery sergeant</v>
      </c>
      <c r="B118" s="234" t="s">
        <v>340</v>
      </c>
      <c r="C118" s="234"/>
      <c r="D118" s="234"/>
      <c r="E118" s="234"/>
      <c r="F118" s="234"/>
      <c r="G118" s="234"/>
      <c r="H118" s="234"/>
      <c r="I118" s="234"/>
      <c r="J118" s="234"/>
    </row>
    <row r="119" spans="1:10" x14ac:dyDescent="0.25">
      <c r="A119" s="240" t="str">
        <f ca="1">"+SoldierRanks=(  aAbilityTree=( (AbilityName="""&amp;VLOOKUP(INDIRECT("F33"),Abilities,2,FALSE)&amp;""""&amp;IF(VLOOKUP(INDIRECT("F33"),Abilities,3,FALSE)="","",", ApplyToWeaponSlot=eInvSlot_"&amp;VLOOKUP(INDIRECT("F33"),Abilities,3,FALSE))&amp;"), \\"</f>
        <v>+SoldierRanks=(  aAbilityTree=( (AbilityName=" "), \\</v>
      </c>
      <c r="B119" s="234" t="s">
        <v>340</v>
      </c>
      <c r="C119" s="234"/>
      <c r="D119" s="234"/>
      <c r="E119" s="234"/>
      <c r="F119" s="234"/>
      <c r="G119" s="234"/>
      <c r="H119" s="234"/>
      <c r="I119" s="234"/>
      <c r="J119" s="234"/>
    </row>
    <row r="120" spans="1:10" x14ac:dyDescent="0.25">
      <c r="A120" s="240" t="str">
        <f ca="1">IF(INDIRECT("I33")="","\\","(AbilityName="""&amp;VLOOKUP(INDIRECT("I33"),Abilities,2,FALSE)&amp;""""&amp;IF(VLOOKUP(INDIRECT("I33"),Abilities,3,FALSE)="","",", ApplyToWeaponSlot=eInvSlot_"&amp;VLOOKUP(INDIRECT("I33"),Abilities,3,FALSE))&amp;"), \\")</f>
        <v>(AbilityName="DeepCover"), \\</v>
      </c>
      <c r="B120" s="234" t="s">
        <v>340</v>
      </c>
      <c r="C120" s="234"/>
      <c r="D120" s="234"/>
      <c r="E120" s="234"/>
      <c r="F120" s="234"/>
      <c r="G120" s="234"/>
      <c r="H120" s="234"/>
      <c r="I120" s="234"/>
      <c r="J120" s="234"/>
    </row>
    <row r="121" spans="1:10" x14ac:dyDescent="0.25">
      <c r="A121" s="240" t="str">
        <f ca="1">IF(INDIRECT("L33")="","\\","(AbilityName="""&amp;VLOOKUP(INDIRECT("L33"),Abilities,2,FALSE)&amp;""""&amp;IF(VLOOKUP(INDIRECT("L33"),Abilities,3,FALSE)="","",", ApplyToWeaponSlot=eInvSlot_"&amp;VLOOKUP(INDIRECT("L33"),Abilities,3,FALSE))&amp;"), \\")</f>
        <v>(AbilityName=" "), \\</v>
      </c>
      <c r="B121" s="234" t="s">
        <v>340</v>
      </c>
      <c r="C121" s="234"/>
      <c r="D121" s="234"/>
      <c r="E121" s="234"/>
      <c r="F121" s="234"/>
      <c r="G121" s="234"/>
      <c r="H121" s="234"/>
      <c r="I121" s="234"/>
      <c r="J121" s="234"/>
    </row>
    <row r="122" spans="1:10" x14ac:dyDescent="0.25">
      <c r="A122" s="240" t="s">
        <v>337</v>
      </c>
      <c r="B122" s="234" t="s">
        <v>340</v>
      </c>
      <c r="C122" s="234"/>
      <c r="D122" s="234"/>
      <c r="E122" s="234"/>
      <c r="F122" s="234"/>
      <c r="G122" s="234"/>
      <c r="H122" s="234"/>
      <c r="I122" s="234"/>
      <c r="J122" s="234"/>
    </row>
    <row r="123" spans="1:10" x14ac:dyDescent="0.25">
      <c r="A123" s="240"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234" t="s">
        <v>340</v>
      </c>
      <c r="C123" s="234"/>
      <c r="D123" s="234"/>
      <c r="E123" s="234"/>
      <c r="F123" s="234"/>
      <c r="G123" s="234"/>
      <c r="H123" s="234"/>
      <c r="I123" s="234"/>
      <c r="J123" s="234"/>
    </row>
    <row r="124" spans="1:10" x14ac:dyDescent="0.25">
      <c r="A124" s="240" t="s">
        <v>338</v>
      </c>
      <c r="B124" s="234" t="s">
        <v>340</v>
      </c>
      <c r="C124" s="234"/>
      <c r="D124" s="234"/>
      <c r="E124" s="234"/>
      <c r="F124" s="234"/>
      <c r="G124" s="234"/>
      <c r="H124" s="234"/>
      <c r="I124" s="234"/>
      <c r="J124" s="234"/>
    </row>
    <row r="125" spans="1:10" x14ac:dyDescent="0.25">
      <c r="A125" s="240" t="str">
        <f>"; master sergeant"</f>
        <v>; master sergeant</v>
      </c>
      <c r="B125" s="234" t="s">
        <v>340</v>
      </c>
      <c r="C125" s="234"/>
      <c r="D125" s="234"/>
      <c r="E125" s="234"/>
      <c r="F125" s="234"/>
      <c r="G125" s="234"/>
      <c r="H125" s="234"/>
      <c r="I125" s="234"/>
      <c r="J125" s="234"/>
    </row>
    <row r="126" spans="1:10" x14ac:dyDescent="0.25">
      <c r="A126" s="240" t="str">
        <f ca="1">"+SoldierRanks=(  aAbilityTree=( (AbilityName="""&amp;VLOOKUP(INDIRECT("F37"),Abilities,2,FALSE)&amp;""""&amp;IF(VLOOKUP(INDIRECT("F37"),Abilities,3,FALSE)="","",", ApplyToWeaponSlot=eInvSlot_"&amp;VLOOKUP(INDIRECT("F37"),Abilities,3,FALSE))&amp;"), \\"</f>
        <v>+SoldierRanks=(  aAbilityTree=( (AbilityName="RestorativeMist", ApplyToWeaponSlot=eInvSlot_SecondaryWeapon), \\</v>
      </c>
      <c r="B126" s="234" t="s">
        <v>340</v>
      </c>
      <c r="C126" s="234"/>
      <c r="D126" s="234"/>
      <c r="E126" s="234"/>
      <c r="F126" s="234"/>
      <c r="G126" s="234"/>
      <c r="H126" s="234"/>
      <c r="I126" s="234"/>
      <c r="J126" s="234"/>
    </row>
    <row r="127" spans="1:10" x14ac:dyDescent="0.25">
      <c r="A127" s="240" t="str">
        <f ca="1">IF(INDIRECT("I37")="","\\","(AbilityName="""&amp;VLOOKUP(INDIRECT("I37"),Abilities,2,FALSE)&amp;""""&amp;IF(VLOOKUP(INDIRECT("I37"),Abilities,3,FALSE)="","",", ApplyToWeaponSlot=eInvSlot_"&amp;VLOOKUP(INDIRECT("I37"),Abilities,3,FALSE))&amp;"), \\")</f>
        <v>(AbilityName=" "), \\</v>
      </c>
      <c r="B127" s="234" t="s">
        <v>340</v>
      </c>
      <c r="C127" s="234"/>
      <c r="D127" s="234"/>
      <c r="E127" s="234"/>
      <c r="F127" s="234"/>
      <c r="G127" s="234"/>
      <c r="H127" s="234"/>
      <c r="I127" s="234"/>
      <c r="J127" s="234"/>
    </row>
    <row r="128" spans="1:10" x14ac:dyDescent="0.25">
      <c r="A128" s="240" t="str">
        <f ca="1">IF(INDIRECT("L37")="","\\","(AbilityName="""&amp;VLOOKUP(INDIRECT("L37"),Abilities,2,FALSE)&amp;""""&amp;IF(VLOOKUP(INDIRECT("L37"),Abilities,3,FALSE)="","",", ApplyToWeaponSlot=eInvSlot_"&amp;VLOOKUP(INDIRECT("L37"),Abilities,3,FALSE))&amp;"), \\")</f>
        <v>(AbilityName="ShadowOps_Focus", ApplyToWeaponSlot=eInvSlot_PrimaryWeapon), \\</v>
      </c>
      <c r="B128" s="234" t="s">
        <v>340</v>
      </c>
      <c r="C128" s="234"/>
      <c r="D128" s="234"/>
      <c r="E128" s="234"/>
      <c r="F128" s="234"/>
      <c r="G128" s="234"/>
      <c r="H128" s="234"/>
      <c r="I128" s="234"/>
      <c r="J128" s="234"/>
    </row>
    <row r="129" spans="1:10" x14ac:dyDescent="0.25">
      <c r="A129" s="240" t="s">
        <v>337</v>
      </c>
      <c r="B129" s="234" t="s">
        <v>340</v>
      </c>
      <c r="C129" s="234"/>
      <c r="D129" s="234"/>
      <c r="E129" s="234"/>
      <c r="F129" s="234"/>
      <c r="G129" s="234"/>
      <c r="H129" s="234"/>
      <c r="I129" s="234"/>
      <c r="J129" s="234"/>
    </row>
    <row r="130" spans="1:10" x14ac:dyDescent="0.25">
      <c r="A130" s="240"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234" t="s">
        <v>340</v>
      </c>
      <c r="C130" s="234"/>
      <c r="D130" s="234"/>
      <c r="E130" s="234"/>
      <c r="F130" s="234"/>
      <c r="G130" s="234"/>
      <c r="H130" s="234"/>
      <c r="I130" s="234"/>
      <c r="J130" s="234"/>
    </row>
    <row r="131" spans="1:10" ht="15.75" thickBot="1" x14ac:dyDescent="0.3">
      <c r="A131" s="241" t="s">
        <v>338</v>
      </c>
      <c r="B131" s="234" t="s">
        <v>340</v>
      </c>
      <c r="C131" s="234"/>
      <c r="D131" s="234"/>
      <c r="E131" s="234"/>
      <c r="F131" s="234"/>
      <c r="G131" s="234"/>
      <c r="H131" s="234"/>
      <c r="I131" s="234"/>
      <c r="J131" s="234"/>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I37:J37"/>
    <mergeCell ref="F17:G17"/>
    <mergeCell ref="I17:J17"/>
    <mergeCell ref="L17:M1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L37:M37"/>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A40:B41"/>
    <mergeCell ref="C40:E41"/>
    <mergeCell ref="A42:B42"/>
    <mergeCell ref="C42:D42"/>
    <mergeCell ref="E42:F42"/>
    <mergeCell ref="F38:H39"/>
    <mergeCell ref="I38:K39"/>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3665"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3666"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3667"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3668"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3669"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3670"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3671"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3672"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3673"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3674"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3675"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3676"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3677"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90" t="s">
        <v>308</v>
      </c>
      <c r="B1" s="91"/>
      <c r="C1" s="94" t="s">
        <v>478</v>
      </c>
      <c r="D1" s="95"/>
      <c r="E1" s="95"/>
      <c r="F1" s="98" t="s">
        <v>324</v>
      </c>
      <c r="G1" s="99"/>
      <c r="H1" s="99"/>
      <c r="I1" s="99"/>
      <c r="J1" s="99"/>
      <c r="K1" s="99"/>
      <c r="L1" s="99"/>
      <c r="M1" s="99"/>
      <c r="N1" s="99"/>
      <c r="O1" s="100" t="s">
        <v>325</v>
      </c>
      <c r="P1" s="101"/>
      <c r="Q1" s="101"/>
      <c r="R1" s="101"/>
      <c r="S1" s="101"/>
      <c r="T1" s="101"/>
      <c r="U1" s="102"/>
      <c r="V1" s="196" t="s">
        <v>776</v>
      </c>
      <c r="W1" s="197"/>
      <c r="X1" s="197"/>
      <c r="Y1" s="197"/>
    </row>
    <row r="2" spans="1:25" ht="15" customHeight="1" thickBot="1" x14ac:dyDescent="0.3">
      <c r="A2" s="92"/>
      <c r="B2" s="93"/>
      <c r="C2" s="96"/>
      <c r="D2" s="97"/>
      <c r="E2" s="97"/>
      <c r="F2" s="98"/>
      <c r="G2" s="99"/>
      <c r="H2" s="99"/>
      <c r="I2" s="99"/>
      <c r="J2" s="99"/>
      <c r="K2" s="99"/>
      <c r="L2" s="99"/>
      <c r="M2" s="99"/>
      <c r="N2" s="99"/>
      <c r="O2" s="103"/>
      <c r="P2" s="104"/>
      <c r="Q2" s="104"/>
      <c r="R2" s="104"/>
      <c r="S2" s="104"/>
      <c r="T2" s="104"/>
      <c r="U2" s="105"/>
      <c r="V2" s="198"/>
      <c r="W2" s="199"/>
      <c r="X2" s="199"/>
      <c r="Y2" s="199"/>
    </row>
    <row r="3" spans="1:25" ht="18" thickBot="1" x14ac:dyDescent="0.35">
      <c r="A3" s="106" t="s">
        <v>309</v>
      </c>
      <c r="B3" s="107"/>
      <c r="C3" s="108" t="str">
        <f>Output!$L$1&amp;SUBSTITUTE(C1," ","")</f>
        <v>LWD_Partisan</v>
      </c>
      <c r="D3" s="109"/>
      <c r="E3" s="109"/>
      <c r="F3" s="110" t="s">
        <v>12</v>
      </c>
      <c r="G3" s="111"/>
      <c r="H3" s="111"/>
      <c r="I3" s="111"/>
      <c r="J3" s="111"/>
      <c r="K3" s="111"/>
      <c r="L3" s="111"/>
      <c r="M3" s="111"/>
      <c r="N3" s="112"/>
      <c r="O3" s="15"/>
      <c r="P3" s="16" t="s">
        <v>79</v>
      </c>
      <c r="Q3" s="17" t="s">
        <v>326</v>
      </c>
      <c r="R3" s="17" t="s">
        <v>328</v>
      </c>
      <c r="S3" s="17" t="s">
        <v>327</v>
      </c>
      <c r="T3" s="17" t="s">
        <v>330</v>
      </c>
      <c r="U3" s="18" t="s">
        <v>329</v>
      </c>
      <c r="V3" s="200" t="s">
        <v>810</v>
      </c>
      <c r="W3" s="201"/>
      <c r="X3" s="200" t="s">
        <v>811</v>
      </c>
      <c r="Y3" s="201"/>
    </row>
    <row r="4" spans="1:25" ht="18" thickTop="1" x14ac:dyDescent="0.3">
      <c r="A4" s="113" t="s">
        <v>310</v>
      </c>
      <c r="B4" s="114"/>
      <c r="C4" s="115" t="s">
        <v>314</v>
      </c>
      <c r="D4" s="116"/>
      <c r="E4" s="116"/>
      <c r="F4" s="119" t="s">
        <v>410</v>
      </c>
      <c r="G4" s="120"/>
      <c r="H4" s="4" t="str">
        <f>IFERROR(VLOOKUP(F4,Abilities,4,FALSE),"")</f>
        <v>LW2</v>
      </c>
      <c r="I4" s="121" t="s">
        <v>204</v>
      </c>
      <c r="J4" s="120"/>
      <c r="K4" s="35" t="str">
        <f>IFERROR(VLOOKUP(I4,Abilities,4,FALSE),"")</f>
        <v>LW2</v>
      </c>
      <c r="L4" s="122"/>
      <c r="M4" s="120"/>
      <c r="N4" s="10" t="str">
        <f>IFERROR(VLOOKUP(L4,Abilities,4,FALSE),"")</f>
        <v/>
      </c>
      <c r="O4" s="19" t="s">
        <v>12</v>
      </c>
      <c r="P4" s="4">
        <v>2</v>
      </c>
      <c r="Q4" s="20">
        <v>0</v>
      </c>
      <c r="R4" s="20"/>
      <c r="S4" s="4">
        <v>0</v>
      </c>
      <c r="T4" s="4">
        <v>1</v>
      </c>
      <c r="U4" s="10"/>
      <c r="V4" s="192" t="s">
        <v>777</v>
      </c>
      <c r="W4" s="193"/>
      <c r="X4" s="192" t="s">
        <v>801</v>
      </c>
      <c r="Y4" s="193"/>
    </row>
    <row r="5" spans="1:25" ht="15" customHeight="1" x14ac:dyDescent="0.25">
      <c r="A5" s="6"/>
      <c r="B5" s="5" t="b">
        <v>1</v>
      </c>
      <c r="C5" s="117"/>
      <c r="D5" s="118"/>
      <c r="E5" s="118"/>
      <c r="F5" s="123">
        <f>IFERROR(VLOOKUP(F4,Abilities,7,FALSE),"")</f>
        <v>0</v>
      </c>
      <c r="G5" s="124"/>
      <c r="H5" s="125"/>
      <c r="I5" s="129">
        <f>IFERROR(VLOOKUP(I4,Abilities,7,FALSE),"")</f>
        <v>0</v>
      </c>
      <c r="J5" s="130"/>
      <c r="K5" s="131"/>
      <c r="L5" s="130" t="str">
        <f>IFERROR(VLOOKUP(L4,Abilities,7,FALSE),"")</f>
        <v/>
      </c>
      <c r="M5" s="130"/>
      <c r="N5" s="135"/>
      <c r="O5" s="26" t="s">
        <v>456</v>
      </c>
      <c r="P5" s="27">
        <v>2</v>
      </c>
      <c r="Q5" s="28">
        <v>1</v>
      </c>
      <c r="R5" s="28"/>
      <c r="S5" s="27">
        <v>0</v>
      </c>
      <c r="T5" s="27"/>
      <c r="U5" s="29"/>
      <c r="V5" s="190" t="s">
        <v>821</v>
      </c>
      <c r="W5" s="191"/>
      <c r="X5" s="190" t="s">
        <v>802</v>
      </c>
      <c r="Y5" s="191"/>
    </row>
    <row r="6" spans="1:25" ht="15" customHeight="1" x14ac:dyDescent="0.25">
      <c r="A6" s="6"/>
      <c r="B6" s="5" t="b">
        <v>0</v>
      </c>
      <c r="C6" s="137" t="s">
        <v>315</v>
      </c>
      <c r="D6" s="138"/>
      <c r="E6" s="11">
        <v>0</v>
      </c>
      <c r="F6" s="126"/>
      <c r="G6" s="127"/>
      <c r="H6" s="128"/>
      <c r="I6" s="132"/>
      <c r="J6" s="133"/>
      <c r="K6" s="134"/>
      <c r="L6" s="133"/>
      <c r="M6" s="133"/>
      <c r="N6" s="136"/>
      <c r="O6" s="19" t="s">
        <v>15</v>
      </c>
      <c r="P6" s="4">
        <v>2</v>
      </c>
      <c r="Q6" s="20">
        <v>0</v>
      </c>
      <c r="R6" s="20"/>
      <c r="S6" s="4">
        <v>0</v>
      </c>
      <c r="T6" s="4"/>
      <c r="U6" s="10"/>
      <c r="V6" s="190" t="s">
        <v>778</v>
      </c>
      <c r="W6" s="191"/>
      <c r="X6" s="192" t="s">
        <v>803</v>
      </c>
      <c r="Y6" s="193"/>
    </row>
    <row r="7" spans="1:25" ht="15" customHeight="1" x14ac:dyDescent="0.25">
      <c r="A7" s="6"/>
      <c r="B7" s="5" t="b">
        <v>1</v>
      </c>
      <c r="C7" s="137" t="s">
        <v>316</v>
      </c>
      <c r="D7" s="138"/>
      <c r="E7" s="11">
        <v>4</v>
      </c>
      <c r="F7" s="139"/>
      <c r="G7" s="140"/>
      <c r="H7" s="4" t="str">
        <f>IFERROR(VLOOKUP(F7,Abilities,4,FALSE),"")</f>
        <v/>
      </c>
      <c r="I7" s="141"/>
      <c r="J7" s="140"/>
      <c r="K7" s="4" t="str">
        <f>IFERROR(VLOOKUP(I7,Abilities,4,FALSE),"")</f>
        <v/>
      </c>
      <c r="L7" s="142"/>
      <c r="M7" s="140"/>
      <c r="N7" s="10" t="str">
        <f>IFERROR(VLOOKUP(L7,Abilities,4,FALSE),"")</f>
        <v/>
      </c>
      <c r="O7" s="26" t="s">
        <v>21</v>
      </c>
      <c r="P7" s="27">
        <v>2</v>
      </c>
      <c r="Q7" s="28">
        <v>0</v>
      </c>
      <c r="R7" s="28"/>
      <c r="S7" s="27">
        <v>0</v>
      </c>
      <c r="T7" s="27"/>
      <c r="U7" s="29"/>
      <c r="V7" s="192" t="s">
        <v>779</v>
      </c>
      <c r="W7" s="193"/>
      <c r="X7" s="190" t="s">
        <v>804</v>
      </c>
      <c r="Y7" s="191"/>
    </row>
    <row r="8" spans="1:25" ht="15" customHeight="1" thickBot="1" x14ac:dyDescent="0.3">
      <c r="A8" s="6"/>
      <c r="B8" s="5" t="b">
        <v>0</v>
      </c>
      <c r="C8" s="137" t="s">
        <v>317</v>
      </c>
      <c r="D8" s="143"/>
      <c r="E8" s="12" t="s">
        <v>767</v>
      </c>
      <c r="F8" s="144" t="str">
        <f>IFERROR(VLOOKUP(F7,Abilities,7,FALSE),"")</f>
        <v/>
      </c>
      <c r="G8" s="130"/>
      <c r="H8" s="131"/>
      <c r="I8" s="129" t="str">
        <f>IFERROR(VLOOKUP(I7,Abilities,7,FALSE),"")</f>
        <v/>
      </c>
      <c r="J8" s="130"/>
      <c r="K8" s="131"/>
      <c r="L8" s="130" t="str">
        <f>IFERROR(VLOOKUP(L7,Abilities,7,FALSE),"")</f>
        <v/>
      </c>
      <c r="M8" s="130"/>
      <c r="N8" s="135"/>
      <c r="O8" s="21" t="s">
        <v>457</v>
      </c>
      <c r="P8" s="4">
        <v>2</v>
      </c>
      <c r="Q8" s="20">
        <v>1</v>
      </c>
      <c r="R8" s="20"/>
      <c r="S8" s="4">
        <v>0</v>
      </c>
      <c r="T8" s="4"/>
      <c r="U8" s="10"/>
      <c r="V8" s="190" t="s">
        <v>866</v>
      </c>
      <c r="W8" s="191"/>
      <c r="X8" s="192" t="s">
        <v>805</v>
      </c>
      <c r="Y8" s="193"/>
    </row>
    <row r="9" spans="1:25" ht="15.75" thickBot="1" x14ac:dyDescent="0.3">
      <c r="A9" s="6"/>
      <c r="B9" s="5" t="b">
        <v>0</v>
      </c>
      <c r="C9" s="137" t="s">
        <v>319</v>
      </c>
      <c r="D9" s="143"/>
      <c r="E9" s="12">
        <v>1</v>
      </c>
      <c r="F9" s="145"/>
      <c r="G9" s="133"/>
      <c r="H9" s="134"/>
      <c r="I9" s="146"/>
      <c r="J9" s="147"/>
      <c r="K9" s="148"/>
      <c r="L9" s="133"/>
      <c r="M9" s="133"/>
      <c r="N9" s="136"/>
      <c r="O9" s="26" t="s">
        <v>458</v>
      </c>
      <c r="P9" s="27">
        <v>2</v>
      </c>
      <c r="Q9" s="28">
        <v>0</v>
      </c>
      <c r="R9" s="28"/>
      <c r="S9" s="27">
        <v>0</v>
      </c>
      <c r="T9" s="27"/>
      <c r="U9" s="29"/>
      <c r="V9" s="192" t="s">
        <v>781</v>
      </c>
      <c r="W9" s="193"/>
      <c r="X9" s="200" t="s">
        <v>812</v>
      </c>
      <c r="Y9" s="201"/>
    </row>
    <row r="10" spans="1:25" ht="18.75" x14ac:dyDescent="0.3">
      <c r="A10" s="6"/>
      <c r="B10" s="5" t="b">
        <v>0</v>
      </c>
      <c r="C10" s="137" t="s">
        <v>318</v>
      </c>
      <c r="D10" s="143"/>
      <c r="E10" s="12">
        <v>4</v>
      </c>
      <c r="F10" s="157" t="s">
        <v>311</v>
      </c>
      <c r="G10" s="158"/>
      <c r="H10" s="159"/>
      <c r="I10" s="160" t="s">
        <v>349</v>
      </c>
      <c r="J10" s="158"/>
      <c r="K10" s="159"/>
      <c r="L10" s="158" t="s">
        <v>312</v>
      </c>
      <c r="M10" s="158"/>
      <c r="N10" s="161"/>
      <c r="O10" s="36" t="s">
        <v>459</v>
      </c>
      <c r="P10" s="37">
        <v>2</v>
      </c>
      <c r="Q10" s="37">
        <v>0</v>
      </c>
      <c r="R10" s="37"/>
      <c r="S10" s="37">
        <v>0</v>
      </c>
      <c r="T10" s="37"/>
      <c r="U10" s="38"/>
      <c r="V10" s="190" t="s">
        <v>782</v>
      </c>
      <c r="W10" s="191"/>
      <c r="X10" s="192" t="s">
        <v>806</v>
      </c>
      <c r="Y10" s="193"/>
    </row>
    <row r="11" spans="1:25" ht="15.75" customHeight="1" thickBot="1" x14ac:dyDescent="0.3">
      <c r="A11" s="6"/>
      <c r="B11" s="5" t="b">
        <v>0</v>
      </c>
      <c r="C11" s="137" t="s">
        <v>320</v>
      </c>
      <c r="D11" s="143"/>
      <c r="E11" s="12">
        <v>4</v>
      </c>
      <c r="F11" s="162" t="s">
        <v>738</v>
      </c>
      <c r="G11" s="163"/>
      <c r="H11" s="164"/>
      <c r="I11" s="165"/>
      <c r="J11" s="163"/>
      <c r="K11" s="164"/>
      <c r="L11" s="163" t="s">
        <v>739</v>
      </c>
      <c r="M11" s="163"/>
      <c r="N11" s="166"/>
      <c r="O11" s="39" t="s">
        <v>460</v>
      </c>
      <c r="P11" s="40">
        <v>2</v>
      </c>
      <c r="Q11" s="41">
        <v>1</v>
      </c>
      <c r="R11" s="41"/>
      <c r="S11" s="40">
        <v>0</v>
      </c>
      <c r="T11" s="40"/>
      <c r="U11" s="42"/>
      <c r="V11" s="192" t="s">
        <v>824</v>
      </c>
      <c r="W11" s="193"/>
      <c r="X11" s="190" t="s">
        <v>807</v>
      </c>
      <c r="Y11" s="191"/>
    </row>
    <row r="12" spans="1:25" ht="18" customHeight="1" thickBot="1" x14ac:dyDescent="0.35">
      <c r="A12" s="6"/>
      <c r="B12" s="5" t="b">
        <v>0</v>
      </c>
      <c r="C12" s="137" t="s">
        <v>321</v>
      </c>
      <c r="D12" s="143"/>
      <c r="E12" s="12">
        <v>1</v>
      </c>
      <c r="F12" s="169" t="s">
        <v>443</v>
      </c>
      <c r="G12" s="170"/>
      <c r="H12" s="170"/>
      <c r="I12" s="170"/>
      <c r="J12" s="170"/>
      <c r="K12" s="170"/>
      <c r="L12" s="170"/>
      <c r="M12" s="170"/>
      <c r="N12" s="171"/>
      <c r="O12" s="149" t="s">
        <v>813</v>
      </c>
      <c r="P12" s="150"/>
      <c r="Q12" s="150"/>
      <c r="R12" s="150"/>
      <c r="S12" s="150"/>
      <c r="T12" s="150"/>
      <c r="U12" s="151"/>
      <c r="V12" s="192" t="s">
        <v>783</v>
      </c>
      <c r="W12" s="193"/>
      <c r="X12" s="192" t="s">
        <v>808</v>
      </c>
      <c r="Y12" s="193"/>
    </row>
    <row r="13" spans="1:25" ht="16.5" thickTop="1" thickBot="1" x14ac:dyDescent="0.3">
      <c r="A13" s="6"/>
      <c r="B13" s="5" t="b">
        <v>0</v>
      </c>
      <c r="C13" s="155" t="s">
        <v>322</v>
      </c>
      <c r="D13" s="156"/>
      <c r="E13" s="13" t="s">
        <v>323</v>
      </c>
      <c r="F13" s="119" t="s">
        <v>984</v>
      </c>
      <c r="G13" s="120"/>
      <c r="H13" s="4" t="str">
        <f>IFERROR(VLOOKUP(F13,Abilities,4,FALSE),"")</f>
        <v>LWD</v>
      </c>
      <c r="I13" s="121" t="s">
        <v>962</v>
      </c>
      <c r="J13" s="120"/>
      <c r="K13" s="35" t="str">
        <f>IFERROR(VLOOKUP(I13,Abilities,4,FALSE),"")</f>
        <v>BLANK</v>
      </c>
      <c r="L13" s="122" t="s">
        <v>307</v>
      </c>
      <c r="M13" s="120"/>
      <c r="N13" s="10" t="str">
        <f>IFERROR(VLOOKUP(L13,Abilities,4,FALSE),"")</f>
        <v>LW2</v>
      </c>
      <c r="O13" s="152"/>
      <c r="P13" s="153"/>
      <c r="Q13" s="153"/>
      <c r="R13" s="153"/>
      <c r="S13" s="153"/>
      <c r="T13" s="153"/>
      <c r="U13" s="154"/>
      <c r="V13" s="192" t="s">
        <v>818</v>
      </c>
      <c r="W13" s="193"/>
      <c r="X13" s="190" t="s">
        <v>809</v>
      </c>
      <c r="Y13" s="191"/>
    </row>
    <row r="14" spans="1:25" ht="15.75" thickBot="1" x14ac:dyDescent="0.3">
      <c r="A14" s="6"/>
      <c r="B14" s="7" t="b">
        <v>0</v>
      </c>
      <c r="F14" s="144" t="str">
        <f>IFERROR(VLOOKUP(F13,Abilities,7,FALSE),"")</f>
        <v>Using your arc thrower no longer ends your turn.</v>
      </c>
      <c r="G14" s="130"/>
      <c r="H14" s="131"/>
      <c r="I14" s="129" t="str">
        <f>IFERROR(VLOOKUP(I13,Abilities,7,FALSE),"")</f>
        <v xml:space="preserve"> </v>
      </c>
      <c r="J14" s="130"/>
      <c r="K14" s="131"/>
      <c r="L14" s="130">
        <f>IFERROR(VLOOKUP(L13,Abilities,7,FALSE),"")</f>
        <v>0</v>
      </c>
      <c r="M14" s="130"/>
      <c r="N14" s="135"/>
      <c r="O14" s="22"/>
      <c r="P14" s="23" t="s">
        <v>331</v>
      </c>
      <c r="Q14" s="24" t="s">
        <v>332</v>
      </c>
      <c r="R14" s="24" t="s">
        <v>333</v>
      </c>
      <c r="S14" s="24" t="s">
        <v>334</v>
      </c>
      <c r="T14" s="24" t="s">
        <v>336</v>
      </c>
      <c r="U14" s="25" t="s">
        <v>335</v>
      </c>
      <c r="V14" s="190" t="s">
        <v>784</v>
      </c>
      <c r="W14" s="191"/>
      <c r="X14" s="194" t="s">
        <v>814</v>
      </c>
      <c r="Y14" s="195"/>
    </row>
    <row r="15" spans="1:25" ht="15.75" thickBot="1" x14ac:dyDescent="0.3">
      <c r="A15" s="6"/>
      <c r="B15" s="7" t="b">
        <v>1</v>
      </c>
      <c r="F15" s="167"/>
      <c r="G15" s="147"/>
      <c r="H15" s="148"/>
      <c r="I15" s="146"/>
      <c r="J15" s="147"/>
      <c r="K15" s="148"/>
      <c r="L15" s="147"/>
      <c r="M15" s="147"/>
      <c r="N15" s="168"/>
      <c r="O15" s="19" t="s">
        <v>12</v>
      </c>
      <c r="P15" s="4"/>
      <c r="Q15" s="20">
        <v>5</v>
      </c>
      <c r="R15" s="20"/>
      <c r="S15" s="4"/>
      <c r="T15" s="4"/>
      <c r="U15" s="10"/>
      <c r="V15" s="190" t="s">
        <v>823</v>
      </c>
      <c r="W15" s="191"/>
    </row>
    <row r="16" spans="1:25" ht="18" thickBot="1" x14ac:dyDescent="0.35">
      <c r="A16" s="6"/>
      <c r="B16" s="7" t="b">
        <v>0</v>
      </c>
      <c r="F16" s="169" t="s">
        <v>15</v>
      </c>
      <c r="G16" s="170"/>
      <c r="H16" s="170"/>
      <c r="I16" s="170"/>
      <c r="J16" s="170"/>
      <c r="K16" s="170"/>
      <c r="L16" s="170"/>
      <c r="M16" s="170"/>
      <c r="N16" s="171"/>
      <c r="O16" s="26" t="s">
        <v>456</v>
      </c>
      <c r="P16" s="27"/>
      <c r="Q16" s="28">
        <v>5</v>
      </c>
      <c r="R16" s="28"/>
      <c r="S16" s="27"/>
      <c r="T16" s="27"/>
      <c r="U16" s="29"/>
      <c r="V16" s="190" t="s">
        <v>786</v>
      </c>
      <c r="W16" s="191"/>
    </row>
    <row r="17" spans="1:23" ht="16.5" thickTop="1" thickBot="1" x14ac:dyDescent="0.3">
      <c r="A17" s="8"/>
      <c r="B17" s="9" t="b">
        <v>0</v>
      </c>
      <c r="F17" s="121" t="s">
        <v>962</v>
      </c>
      <c r="G17" s="120"/>
      <c r="H17" s="4" t="str">
        <f>IFERROR(VLOOKUP(F17,Abilities,4,FALSE),"")</f>
        <v>BLANK</v>
      </c>
      <c r="I17" s="121" t="s">
        <v>941</v>
      </c>
      <c r="J17" s="120"/>
      <c r="K17" s="35" t="str">
        <f>IFERROR(VLOOKUP(I17,Abilities,4,FALSE),"")</f>
        <v>LWD</v>
      </c>
      <c r="L17" s="121" t="s">
        <v>962</v>
      </c>
      <c r="M17" s="120"/>
      <c r="N17" s="10" t="str">
        <f>IFERROR(VLOOKUP(L17,Abilities,4,FALSE),"")</f>
        <v>BLANK</v>
      </c>
      <c r="O17" s="19" t="s">
        <v>15</v>
      </c>
      <c r="P17" s="4"/>
      <c r="Q17" s="20"/>
      <c r="R17" s="20"/>
      <c r="S17" s="4"/>
      <c r="T17" s="4"/>
      <c r="U17" s="10"/>
      <c r="V17" s="192" t="s">
        <v>787</v>
      </c>
      <c r="W17" s="193"/>
    </row>
    <row r="18" spans="1:23" x14ac:dyDescent="0.25">
      <c r="A18" s="172" t="s">
        <v>344</v>
      </c>
      <c r="B18" s="173"/>
      <c r="F18" s="144" t="str">
        <f>IFERROR(VLOOKUP(F17,Abilities,7,FALSE),"")</f>
        <v xml:space="preserve"> </v>
      </c>
      <c r="G18" s="130"/>
      <c r="H18" s="131"/>
      <c r="I18" s="129" t="str">
        <f>IFERROR(VLOOKUP(I17,Abilities,7,FALSE),"")</f>
        <v>Make a melee attack with your arc thrower to disorient an enemy. Doesn't end your turn.</v>
      </c>
      <c r="J18" s="130"/>
      <c r="K18" s="131"/>
      <c r="L18" s="130" t="str">
        <f>IFERROR(VLOOKUP(L17,Abilities,7,FALSE),"")</f>
        <v xml:space="preserve"> </v>
      </c>
      <c r="M18" s="130"/>
      <c r="N18" s="135"/>
      <c r="O18" s="26" t="s">
        <v>21</v>
      </c>
      <c r="P18" s="27"/>
      <c r="Q18" s="28"/>
      <c r="R18" s="28"/>
      <c r="S18" s="27"/>
      <c r="T18" s="27"/>
      <c r="U18" s="29"/>
      <c r="V18" s="190" t="s">
        <v>841</v>
      </c>
      <c r="W18" s="191"/>
    </row>
    <row r="19" spans="1:23" ht="15.75" thickBot="1" x14ac:dyDescent="0.3">
      <c r="A19" s="174"/>
      <c r="B19" s="175"/>
      <c r="D19" s="3"/>
      <c r="F19" s="167"/>
      <c r="G19" s="147"/>
      <c r="H19" s="148"/>
      <c r="I19" s="146"/>
      <c r="J19" s="147"/>
      <c r="K19" s="148"/>
      <c r="L19" s="147"/>
      <c r="M19" s="147"/>
      <c r="N19" s="168"/>
      <c r="O19" s="21" t="s">
        <v>457</v>
      </c>
      <c r="P19" s="4"/>
      <c r="Q19" s="20"/>
      <c r="R19" s="20"/>
      <c r="S19" s="4"/>
      <c r="T19" s="4"/>
      <c r="U19" s="10"/>
      <c r="V19" s="192" t="s">
        <v>789</v>
      </c>
      <c r="W19" s="193"/>
    </row>
    <row r="20" spans="1:23" ht="18" thickBot="1" x14ac:dyDescent="0.35">
      <c r="A20" s="176" t="s">
        <v>911</v>
      </c>
      <c r="B20" s="177"/>
      <c r="C20" s="178"/>
      <c r="D20" s="178"/>
      <c r="E20" s="179"/>
      <c r="F20" s="169" t="s">
        <v>21</v>
      </c>
      <c r="G20" s="170"/>
      <c r="H20" s="170"/>
      <c r="I20" s="170"/>
      <c r="J20" s="170"/>
      <c r="K20" s="170"/>
      <c r="L20" s="170"/>
      <c r="M20" s="170"/>
      <c r="N20" s="171"/>
      <c r="O20" s="26" t="s">
        <v>458</v>
      </c>
      <c r="P20" s="27"/>
      <c r="Q20" s="28"/>
      <c r="R20" s="28"/>
      <c r="S20" s="27"/>
      <c r="T20" s="27"/>
      <c r="U20" s="29"/>
      <c r="V20" s="192" t="s">
        <v>790</v>
      </c>
      <c r="W20" s="193"/>
    </row>
    <row r="21" spans="1:23" ht="15.75" thickTop="1" x14ac:dyDescent="0.25">
      <c r="A21" s="176"/>
      <c r="B21" s="177"/>
      <c r="C21" s="177"/>
      <c r="D21" s="177"/>
      <c r="E21" s="180"/>
      <c r="F21" s="119" t="s">
        <v>726</v>
      </c>
      <c r="G21" s="120"/>
      <c r="H21" s="4" t="str">
        <f>IFERROR(VLOOKUP(F21,Abilities,4,FALSE),"")</f>
        <v>LW2</v>
      </c>
      <c r="I21" s="121" t="s">
        <v>962</v>
      </c>
      <c r="J21" s="120"/>
      <c r="K21" s="35" t="str">
        <f>IFERROR(VLOOKUP(I21,Abilities,4,FALSE),"")</f>
        <v>BLANK</v>
      </c>
      <c r="L21" s="122" t="s">
        <v>624</v>
      </c>
      <c r="M21" s="120"/>
      <c r="N21" s="10" t="str">
        <f>IFERROR(VLOOKUP(L21,Abilities,4,FALSE),"")</f>
        <v>SOLW</v>
      </c>
      <c r="O21" s="36" t="s">
        <v>459</v>
      </c>
      <c r="P21" s="37"/>
      <c r="Q21" s="37"/>
      <c r="R21" s="37"/>
      <c r="S21" s="37"/>
      <c r="T21" s="37"/>
      <c r="U21" s="38"/>
      <c r="V21" s="190" t="s">
        <v>791</v>
      </c>
      <c r="W21" s="191"/>
    </row>
    <row r="22" spans="1:23" ht="15.75" thickBot="1" x14ac:dyDescent="0.3">
      <c r="A22" s="181"/>
      <c r="B22" s="182"/>
      <c r="C22" s="182"/>
      <c r="D22" s="182"/>
      <c r="E22" s="183"/>
      <c r="F22" s="144" t="str">
        <f>IFERROR(VLOOKUP(F21,Abilities,7,FALSE),"")</f>
        <v>Grants 1 free flashbang item to your inventory.</v>
      </c>
      <c r="G22" s="130"/>
      <c r="H22" s="131"/>
      <c r="I22" s="129" t="str">
        <f>IFERROR(VLOOKUP(I21,Abilities,7,FALSE),"")</f>
        <v xml:space="preserve"> </v>
      </c>
      <c r="J22" s="130"/>
      <c r="K22" s="131"/>
      <c r="L22" s="130" t="str">
        <f>IFERROR(VLOOKUP(L21,Abilities,7,FALSE),"")</f>
        <v>Make a special shot with a &lt;Ability:+ToHit:ShadowOps_DisablingShot_Bonuses/&gt; Aim modifier that deals half damage and disables the target for one turn.</v>
      </c>
      <c r="M22" s="130"/>
      <c r="N22" s="135"/>
      <c r="O22" s="39" t="s">
        <v>460</v>
      </c>
      <c r="P22" s="40"/>
      <c r="Q22" s="41"/>
      <c r="R22" s="41"/>
      <c r="S22" s="40"/>
      <c r="T22" s="40"/>
      <c r="U22" s="42"/>
      <c r="V22" s="192" t="s">
        <v>792</v>
      </c>
      <c r="W22" s="193"/>
    </row>
    <row r="23" spans="1:23" ht="15.75" thickBot="1" x14ac:dyDescent="0.3">
      <c r="A23" s="184" t="s">
        <v>352</v>
      </c>
      <c r="B23" s="185"/>
      <c r="C23" s="185"/>
      <c r="D23" s="185"/>
      <c r="E23" s="186"/>
      <c r="F23" s="167"/>
      <c r="G23" s="147"/>
      <c r="H23" s="148"/>
      <c r="I23" s="146"/>
      <c r="J23" s="147"/>
      <c r="K23" s="148"/>
      <c r="L23" s="147"/>
      <c r="M23" s="147"/>
      <c r="N23" s="168"/>
      <c r="O23" s="14"/>
      <c r="P23" s="14"/>
      <c r="Q23" s="3"/>
      <c r="V23" s="190" t="s">
        <v>793</v>
      </c>
      <c r="W23" s="191"/>
    </row>
    <row r="24" spans="1:23" ht="18" thickBot="1" x14ac:dyDescent="0.35">
      <c r="A24" s="187"/>
      <c r="B24" s="188"/>
      <c r="C24" s="188"/>
      <c r="D24" s="188"/>
      <c r="E24" s="189"/>
      <c r="F24" s="169" t="s">
        <v>444</v>
      </c>
      <c r="G24" s="170"/>
      <c r="H24" s="170"/>
      <c r="I24" s="170"/>
      <c r="J24" s="170"/>
      <c r="K24" s="170"/>
      <c r="L24" s="170"/>
      <c r="M24" s="170"/>
      <c r="N24" s="171"/>
      <c r="O24" s="14"/>
      <c r="P24" s="14"/>
      <c r="Q24" s="3"/>
      <c r="V24" s="192" t="s">
        <v>794</v>
      </c>
      <c r="W24" s="193"/>
    </row>
    <row r="25" spans="1:23" ht="15.75" thickTop="1" x14ac:dyDescent="0.25">
      <c r="A25" s="50"/>
      <c r="B25" s="51"/>
      <c r="C25" s="51"/>
      <c r="D25" s="51"/>
      <c r="E25" s="52"/>
      <c r="F25" s="119" t="s">
        <v>412</v>
      </c>
      <c r="G25" s="120"/>
      <c r="H25" s="4" t="str">
        <f>IFERROR(VLOOKUP(F25,Abilities,4,FALSE),"")</f>
        <v>LW2</v>
      </c>
      <c r="I25" s="121" t="s">
        <v>962</v>
      </c>
      <c r="J25" s="120"/>
      <c r="K25" s="35" t="str">
        <f>IFERROR(VLOOKUP(I25,Abilities,4,FALSE),"")</f>
        <v>BLANK</v>
      </c>
      <c r="L25" s="122" t="s">
        <v>621</v>
      </c>
      <c r="M25" s="120"/>
      <c r="N25" s="10" t="str">
        <f>IFERROR(VLOOKUP(L25,Abilities,4,FALSE),"")</f>
        <v>SOLW</v>
      </c>
      <c r="O25" s="14"/>
      <c r="P25" s="14"/>
      <c r="Q25" s="3"/>
      <c r="V25" s="190" t="s">
        <v>795</v>
      </c>
      <c r="W25" s="191"/>
    </row>
    <row r="26" spans="1:23" x14ac:dyDescent="0.25">
      <c r="A26" s="50"/>
      <c r="B26" s="51"/>
      <c r="C26" s="51"/>
      <c r="D26" s="51"/>
      <c r="E26" s="52"/>
      <c r="F26" s="144">
        <f>IFERROR(VLOOKUP(F25,Abilities,7,FALSE),"")</f>
        <v>0</v>
      </c>
      <c r="G26" s="130"/>
      <c r="H26" s="131"/>
      <c r="I26" s="129" t="str">
        <f>IFERROR(VLOOKUP(I25,Abilities,7,FALSE),"")</f>
        <v xml:space="preserve"> </v>
      </c>
      <c r="J26" s="130"/>
      <c r="K26" s="131"/>
      <c r="L26" s="130" t="str">
        <f>IFERROR(VLOOKUP(L25,Abilities,7,FALSE),"")</f>
        <v>When you get a critical hit, your target and other enemies within 6 tiles have a chance to panic.</v>
      </c>
      <c r="M26" s="130"/>
      <c r="N26" s="135"/>
      <c r="O26" s="14"/>
      <c r="P26" s="14"/>
      <c r="Q26" s="3"/>
      <c r="V26" s="190" t="s">
        <v>867</v>
      </c>
      <c r="W26" s="191"/>
    </row>
    <row r="27" spans="1:23" ht="15.75" thickBot="1" x14ac:dyDescent="0.3">
      <c r="A27" s="50"/>
      <c r="B27" s="51"/>
      <c r="C27" s="51"/>
      <c r="D27" s="51"/>
      <c r="E27" s="52"/>
      <c r="F27" s="167"/>
      <c r="G27" s="147"/>
      <c r="H27" s="148"/>
      <c r="I27" s="146"/>
      <c r="J27" s="147"/>
      <c r="K27" s="148"/>
      <c r="L27" s="147"/>
      <c r="M27" s="147"/>
      <c r="N27" s="168"/>
      <c r="O27" s="14"/>
      <c r="P27" s="14"/>
      <c r="Q27" s="3"/>
      <c r="V27" s="192" t="s">
        <v>798</v>
      </c>
      <c r="W27" s="193"/>
    </row>
    <row r="28" spans="1:23" ht="18" thickBot="1" x14ac:dyDescent="0.35">
      <c r="A28" s="50"/>
      <c r="B28" s="51"/>
      <c r="C28" s="51"/>
      <c r="D28" s="51"/>
      <c r="E28" s="52"/>
      <c r="F28" s="169" t="s">
        <v>445</v>
      </c>
      <c r="G28" s="170"/>
      <c r="H28" s="170"/>
      <c r="I28" s="170"/>
      <c r="J28" s="170"/>
      <c r="K28" s="170"/>
      <c r="L28" s="170"/>
      <c r="M28" s="170"/>
      <c r="N28" s="171"/>
      <c r="O28" s="14"/>
      <c r="P28" s="14"/>
      <c r="Q28" s="3"/>
      <c r="V28" s="190" t="s">
        <v>799</v>
      </c>
      <c r="W28" s="191"/>
    </row>
    <row r="29" spans="1:23" ht="15.75" thickTop="1" x14ac:dyDescent="0.25">
      <c r="A29" s="50"/>
      <c r="B29" s="51"/>
      <c r="C29" s="51"/>
      <c r="D29" s="51"/>
      <c r="E29" s="52"/>
      <c r="F29" s="119" t="s">
        <v>298</v>
      </c>
      <c r="G29" s="120"/>
      <c r="H29" s="4" t="str">
        <f>IFERROR(VLOOKUP(F29,Abilities,4,FALSE),"")</f>
        <v>LW2</v>
      </c>
      <c r="I29" s="121" t="s">
        <v>962</v>
      </c>
      <c r="J29" s="120"/>
      <c r="K29" s="35" t="str">
        <f>IFERROR(VLOOKUP(I29,Abilities,4,FALSE),"")</f>
        <v>BLANK</v>
      </c>
      <c r="L29" s="122" t="s">
        <v>291</v>
      </c>
      <c r="M29" s="120"/>
      <c r="N29" s="10" t="str">
        <f>IFERROR(VLOOKUP(L29,Abilities,4,FALSE),"")</f>
        <v>LW2</v>
      </c>
      <c r="O29" s="14"/>
      <c r="P29" s="14"/>
      <c r="Q29" s="3"/>
      <c r="V29" s="190" t="s">
        <v>825</v>
      </c>
      <c r="W29" s="191"/>
    </row>
    <row r="30" spans="1:23" x14ac:dyDescent="0.25">
      <c r="A30" s="50"/>
      <c r="B30" s="51"/>
      <c r="C30" s="51"/>
      <c r="D30" s="51"/>
      <c r="E30" s="52"/>
      <c r="F30" s="144">
        <f>IFERROR(VLOOKUP(F29,Abilities,7,FALSE),"")</f>
        <v>0</v>
      </c>
      <c r="G30" s="130"/>
      <c r="H30" s="131"/>
      <c r="I30" s="129" t="str">
        <f>IFERROR(VLOOKUP(I29,Abilities,7,FALSE),"")</f>
        <v xml:space="preserve"> </v>
      </c>
      <c r="J30" s="130"/>
      <c r="K30" s="131"/>
      <c r="L30" s="130">
        <f>IFERROR(VLOOKUP(L29,Abilities,7,FALSE),"")</f>
        <v>0</v>
      </c>
      <c r="M30" s="130"/>
      <c r="N30" s="135"/>
      <c r="O30" s="14"/>
      <c r="P30" s="14"/>
      <c r="Q30" s="3"/>
      <c r="V30" s="190" t="s">
        <v>819</v>
      </c>
      <c r="W30" s="191"/>
    </row>
    <row r="31" spans="1:23" ht="15.75" thickBot="1" x14ac:dyDescent="0.3">
      <c r="A31" s="50"/>
      <c r="B31" s="51"/>
      <c r="C31" s="51"/>
      <c r="D31" s="51"/>
      <c r="E31" s="52"/>
      <c r="F31" s="167"/>
      <c r="G31" s="147"/>
      <c r="H31" s="148"/>
      <c r="I31" s="146"/>
      <c r="J31" s="147"/>
      <c r="K31" s="148"/>
      <c r="L31" s="147"/>
      <c r="M31" s="147"/>
      <c r="N31" s="168"/>
      <c r="O31" s="14"/>
      <c r="P31" s="14"/>
      <c r="Q31" s="3"/>
      <c r="V31" s="192" t="s">
        <v>820</v>
      </c>
      <c r="W31" s="193"/>
    </row>
    <row r="32" spans="1:23" ht="18" thickBot="1" x14ac:dyDescent="0.35">
      <c r="A32" s="50"/>
      <c r="B32" s="51"/>
      <c r="C32" s="51"/>
      <c r="D32" s="51"/>
      <c r="E32" s="52"/>
      <c r="F32" s="169" t="s">
        <v>446</v>
      </c>
      <c r="G32" s="170"/>
      <c r="H32" s="170"/>
      <c r="I32" s="170"/>
      <c r="J32" s="170"/>
      <c r="K32" s="170"/>
      <c r="L32" s="170"/>
      <c r="M32" s="170"/>
      <c r="N32" s="171"/>
      <c r="O32" s="14"/>
      <c r="P32" s="14"/>
      <c r="Q32" s="3"/>
      <c r="V32" s="192" t="s">
        <v>815</v>
      </c>
      <c r="W32" s="193"/>
    </row>
    <row r="33" spans="1:23" ht="15.75" thickTop="1" x14ac:dyDescent="0.25">
      <c r="A33" s="50"/>
      <c r="B33" s="51"/>
      <c r="C33" s="51"/>
      <c r="D33" s="51"/>
      <c r="E33" s="52"/>
      <c r="F33" s="121" t="s">
        <v>962</v>
      </c>
      <c r="G33" s="120"/>
      <c r="H33" s="4" t="str">
        <f>IFERROR(VLOOKUP(F33,Abilities,4,FALSE),"")</f>
        <v>BLANK</v>
      </c>
      <c r="I33" s="121" t="s">
        <v>229</v>
      </c>
      <c r="J33" s="120"/>
      <c r="K33" s="35" t="str">
        <f>IFERROR(VLOOKUP(I33,Abilities,4,FALSE),"")</f>
        <v>LW2</v>
      </c>
      <c r="L33" s="121" t="s">
        <v>962</v>
      </c>
      <c r="M33" s="120"/>
      <c r="N33" s="10" t="str">
        <f>IFERROR(VLOOKUP(L33,Abilities,4,FALSE),"")</f>
        <v>BLANK</v>
      </c>
      <c r="O33" s="14"/>
      <c r="P33" s="14"/>
      <c r="Q33" s="3"/>
      <c r="V33" s="192" t="s">
        <v>822</v>
      </c>
      <c r="W33" s="193"/>
    </row>
    <row r="34" spans="1:23" x14ac:dyDescent="0.25">
      <c r="A34" s="50"/>
      <c r="B34" s="51"/>
      <c r="C34" s="51"/>
      <c r="D34" s="51"/>
      <c r="E34" s="52"/>
      <c r="F34" s="144" t="str">
        <f>IFERROR(VLOOKUP(F33,Abilities,7,FALSE),"")</f>
        <v xml:space="preserve"> </v>
      </c>
      <c r="G34" s="130"/>
      <c r="H34" s="131"/>
      <c r="I34" s="129">
        <f>IFERROR(VLOOKUP(I33,Abilities,7,FALSE),"")</f>
        <v>0</v>
      </c>
      <c r="J34" s="130"/>
      <c r="K34" s="131"/>
      <c r="L34" s="130" t="str">
        <f>IFERROR(VLOOKUP(L33,Abilities,7,FALSE),"")</f>
        <v xml:space="preserve"> </v>
      </c>
      <c r="M34" s="130"/>
      <c r="N34" s="135"/>
      <c r="O34" s="14"/>
      <c r="P34" s="14"/>
      <c r="Q34" s="3"/>
      <c r="V34" s="190" t="s">
        <v>816</v>
      </c>
      <c r="W34" s="191"/>
    </row>
    <row r="35" spans="1:23" ht="15.75" thickBot="1" x14ac:dyDescent="0.3">
      <c r="A35" s="50"/>
      <c r="B35" s="51"/>
      <c r="C35" s="51"/>
      <c r="D35" s="51"/>
      <c r="E35" s="52"/>
      <c r="F35" s="167"/>
      <c r="G35" s="147"/>
      <c r="H35" s="148"/>
      <c r="I35" s="146"/>
      <c r="J35" s="147"/>
      <c r="K35" s="148"/>
      <c r="L35" s="147"/>
      <c r="M35" s="147"/>
      <c r="N35" s="168"/>
      <c r="O35" s="14"/>
      <c r="P35" s="14"/>
      <c r="Q35" s="3"/>
      <c r="V35" s="194" t="s">
        <v>826</v>
      </c>
      <c r="W35" s="195"/>
    </row>
    <row r="36" spans="1:23" ht="18" thickBot="1" x14ac:dyDescent="0.35">
      <c r="A36" s="50"/>
      <c r="B36" s="51"/>
      <c r="C36" s="51"/>
      <c r="D36" s="51"/>
      <c r="E36" s="52"/>
      <c r="F36" s="169" t="s">
        <v>447</v>
      </c>
      <c r="G36" s="170"/>
      <c r="H36" s="170"/>
      <c r="I36" s="170"/>
      <c r="J36" s="170"/>
      <c r="K36" s="170"/>
      <c r="L36" s="170"/>
      <c r="M36" s="170"/>
      <c r="N36" s="171"/>
    </row>
    <row r="37" spans="1:23" ht="15.75" thickTop="1" x14ac:dyDescent="0.25">
      <c r="A37" s="50"/>
      <c r="B37" s="51"/>
      <c r="C37" s="51"/>
      <c r="D37" s="51"/>
      <c r="E37" s="52"/>
      <c r="F37" s="119" t="s">
        <v>415</v>
      </c>
      <c r="G37" s="120"/>
      <c r="H37" s="4" t="str">
        <f>IFERROR(VLOOKUP(F37,Abilities,4,FALSE),"")</f>
        <v>LW2</v>
      </c>
      <c r="I37" s="121" t="s">
        <v>962</v>
      </c>
      <c r="J37" s="120"/>
      <c r="K37" s="35" t="str">
        <f>IFERROR(VLOOKUP(I37,Abilities,4,FALSE),"")</f>
        <v>BLANK</v>
      </c>
      <c r="L37" s="122" t="s">
        <v>121</v>
      </c>
      <c r="M37" s="120"/>
      <c r="N37" s="10" t="str">
        <f>IFERROR(VLOOKUP(L37,Abilities,4,FALSE),"")</f>
        <v>XCOM2</v>
      </c>
    </row>
    <row r="38" spans="1:23" x14ac:dyDescent="0.25">
      <c r="A38" s="50"/>
      <c r="B38" s="51"/>
      <c r="C38" s="51"/>
      <c r="D38" s="51"/>
      <c r="E38" s="52"/>
      <c r="F38" s="144">
        <f>IFERROR(VLOOKUP(F37,Abilities,7,FALSE),"")</f>
        <v>0</v>
      </c>
      <c r="G38" s="130"/>
      <c r="H38" s="131"/>
      <c r="I38" s="129" t="str">
        <f>IFERROR(VLOOKUP(I37,Abilities,7,FALSE),"")</f>
        <v xml:space="preserve"> </v>
      </c>
      <c r="J38" s="130"/>
      <c r="K38" s="131"/>
      <c r="L38" s="130" t="str">
        <f>IFERROR(VLOOKUP(L37,Abilities,7,FALSE),"")</f>
        <v>Fires a shot that deals critical damage. The target, if hit, will also take 3 additional damage from all sources. Uses 3 ammo. 3-turn cooldown.</v>
      </c>
      <c r="M38" s="130"/>
      <c r="N38" s="135"/>
    </row>
    <row r="39" spans="1:23" ht="15.75" thickBot="1" x14ac:dyDescent="0.3">
      <c r="A39" s="53"/>
      <c r="B39" s="54"/>
      <c r="C39" s="54"/>
      <c r="D39" s="54"/>
      <c r="E39" s="55"/>
      <c r="F39" s="167"/>
      <c r="G39" s="147"/>
      <c r="H39" s="148"/>
      <c r="I39" s="146"/>
      <c r="J39" s="147"/>
      <c r="K39" s="148"/>
      <c r="L39" s="147"/>
      <c r="M39" s="147"/>
      <c r="N39" s="168"/>
    </row>
    <row r="40" spans="1:23" ht="15" customHeight="1" x14ac:dyDescent="0.25">
      <c r="A40" s="86" t="s">
        <v>1200</v>
      </c>
      <c r="B40" s="86"/>
      <c r="C40" s="88" t="str">
        <f>SUBSTITUTE(C1," ","")</f>
        <v>Partisan</v>
      </c>
      <c r="D40" s="88"/>
      <c r="E40" s="88"/>
      <c r="F40" s="238"/>
      <c r="G40" s="238"/>
      <c r="H40" s="237"/>
      <c r="I40" s="237"/>
      <c r="J40" s="237"/>
    </row>
    <row r="41" spans="1:23" ht="15" customHeight="1" thickBot="1" x14ac:dyDescent="0.3">
      <c r="A41" s="87"/>
      <c r="B41" s="87"/>
      <c r="C41" s="89"/>
      <c r="D41" s="89"/>
      <c r="E41" s="89"/>
      <c r="F41" s="239"/>
      <c r="G41" s="239"/>
      <c r="H41" s="237"/>
      <c r="I41" s="237"/>
      <c r="J41" s="237"/>
    </row>
    <row r="42" spans="1:23" ht="16.5" thickBot="1" x14ac:dyDescent="0.3">
      <c r="A42" s="242" t="s">
        <v>339</v>
      </c>
      <c r="B42" s="244"/>
      <c r="C42" s="253" t="s">
        <v>342</v>
      </c>
      <c r="D42" s="247"/>
      <c r="E42" s="251" t="s">
        <v>343</v>
      </c>
      <c r="F42" s="250"/>
      <c r="G42" s="234"/>
      <c r="H42" s="235"/>
      <c r="I42" s="235"/>
      <c r="J42" s="235"/>
    </row>
    <row r="43" spans="1:23" x14ac:dyDescent="0.25">
      <c r="A43" s="243" t="str">
        <f ca="1">"; "&amp;INDIRECT("C1")&amp;" class data"</f>
        <v>; Partisan class data</v>
      </c>
      <c r="B43" s="234" t="s">
        <v>340</v>
      </c>
      <c r="C43" s="254" t="str">
        <f ca="1">"; "&amp;INDIRECT("C1")&amp;" class loadout"</f>
        <v>; Partisan class loadout</v>
      </c>
      <c r="D43" s="234" t="s">
        <v>340</v>
      </c>
      <c r="E43" s="252" t="str">
        <f ca="1">"["&amp;INDIRECT("C3")&amp;" X2SoldierClassTemplate]"</f>
        <v>[LWD_Partisan X2SoldierClassTemplate]</v>
      </c>
      <c r="F43" s="234" t="s">
        <v>340</v>
      </c>
      <c r="G43" s="234"/>
      <c r="H43" s="235"/>
      <c r="I43" s="235"/>
      <c r="J43" s="235"/>
    </row>
    <row r="44" spans="1:23" x14ac:dyDescent="0.25">
      <c r="A44" s="240"/>
      <c r="B44" s="234"/>
      <c r="C44" s="245"/>
      <c r="D44" s="234" t="s">
        <v>340</v>
      </c>
      <c r="E44" s="248" t="str">
        <f ca="1">"+DisplayName="""&amp;INDIRECT("C1")&amp;""""</f>
        <v>+DisplayName="Partisan"</v>
      </c>
      <c r="F44" s="234" t="s">
        <v>340</v>
      </c>
      <c r="G44" s="234"/>
      <c r="H44" s="235"/>
      <c r="I44" s="235"/>
      <c r="J44" s="235"/>
    </row>
    <row r="45" spans="1:23" x14ac:dyDescent="0.25">
      <c r="A45" s="240" t="str">
        <f>"[XComGame.X2SoldierClass_DefaultClasses]"</f>
        <v>[XComGame.X2SoldierClass_DefaultClasses]</v>
      </c>
      <c r="B45" s="234" t="s">
        <v>340</v>
      </c>
      <c r="C45" s="245" t="s">
        <v>341</v>
      </c>
      <c r="D45" s="234" t="s">
        <v>340</v>
      </c>
      <c r="E45" s="248" t="str">
        <f ca="1">"+ClassSummary="""&amp;INDIRECT("A20")&amp;""""</f>
        <v>+ClassSummary="The Partisan makes sure the enemy is never operating at 100%, through their arc thrower, stun grenades, and oppressive fire."</v>
      </c>
      <c r="F45" s="234" t="s">
        <v>340</v>
      </c>
      <c r="G45" s="234"/>
      <c r="H45" s="235"/>
      <c r="I45" s="235"/>
      <c r="J45" s="235"/>
    </row>
    <row r="46" spans="1:23" x14ac:dyDescent="0.25">
      <c r="A46" s="240" t="str">
        <f ca="1">"+SoldierClasses="&amp;INDIRECT("C3")</f>
        <v>+SoldierClasses=LWD_Partisan</v>
      </c>
      <c r="B46" s="234" t="s">
        <v>340</v>
      </c>
      <c r="C46" s="245"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+Loadouts=(LoadoutName="SquaddieLWD_Partisan", Items[0]=(Item="Shotgun_CV"), Items[1]=(Item="Arcthrower_CV"))</v>
      </c>
      <c r="D46" s="234" t="s">
        <v>340</v>
      </c>
      <c r="E46" s="248" t="str">
        <f ca="1">"+LeftAbilityTreeTitle="""&amp;INDIRECT("F11")&amp;""""</f>
        <v>+LeftAbilityTreeTitle="Electrocutioner"</v>
      </c>
      <c r="F46" s="234" t="s">
        <v>340</v>
      </c>
      <c r="G46" s="234"/>
      <c r="H46" s="235"/>
      <c r="I46" s="234"/>
      <c r="J46" s="234"/>
    </row>
    <row r="47" spans="1:23" x14ac:dyDescent="0.25">
      <c r="A47" s="240"/>
      <c r="B47" s="234" t="s">
        <v>340</v>
      </c>
      <c r="C47" s="245"/>
      <c r="D47" s="234" t="s">
        <v>340</v>
      </c>
      <c r="E47" s="248" t="str">
        <f ca="1">"+RightAbilityTreeTitle="""&amp;INDIRECT("L11")&amp;""""</f>
        <v>+RightAbilityTreeTitle="Harrasser"</v>
      </c>
      <c r="F47" s="234" t="s">
        <v>340</v>
      </c>
      <c r="G47" s="234"/>
      <c r="H47" s="235"/>
      <c r="I47" s="234"/>
      <c r="J47" s="234"/>
    </row>
    <row r="48" spans="1:23" x14ac:dyDescent="0.25">
      <c r="A48" s="240" t="str">
        <f ca="1">"["&amp;INDIRECT("C3")&amp;" X2SoldierClassTemplate]"</f>
        <v>[LWD_Partisan X2SoldierClassTemplate]</v>
      </c>
      <c r="B48" s="234" t="s">
        <v>340</v>
      </c>
      <c r="C48" s="245" t="s">
        <v>351</v>
      </c>
      <c r="D48" s="234" t="s">
        <v>340</v>
      </c>
      <c r="E48" s="248" t="str">
        <f>"; Nicknames"</f>
        <v>; Nicknames</v>
      </c>
      <c r="F48" s="234" t="s">
        <v>340</v>
      </c>
      <c r="G48" s="234"/>
      <c r="H48" s="234"/>
      <c r="I48" s="234"/>
      <c r="J48" s="234"/>
    </row>
    <row r="49" spans="1:10" ht="15.75" thickBot="1" x14ac:dyDescent="0.3">
      <c r="A49" s="240" t="str">
        <f ca="1">"+bMultiplayerOnly="&amp;INDIRECT("E6")</f>
        <v>+bMultiplayerOnly=0</v>
      </c>
      <c r="B49" s="234" t="s">
        <v>340</v>
      </c>
      <c r="C49" s="246" t="str">
        <f ca="1">"+DEBUG_StartingSoldierClasses="""&amp;INDIRECT("C3")&amp;""""</f>
        <v>+DEBUG_StartingSoldierClasses="LWD_Partisan"</v>
      </c>
      <c r="D49" s="234" t="s">
        <v>340</v>
      </c>
      <c r="E49" s="248" t="str">
        <f ca="1">IF(INDIRECT("V4")&lt;&gt;"","RandomNickNames[0]="""&amp;INDIRECT("V4")&amp;"""","")</f>
        <v>RandomNickNames[0]="Angel"</v>
      </c>
      <c r="F49" s="234" t="s">
        <v>340</v>
      </c>
      <c r="G49" s="234"/>
      <c r="H49" s="234"/>
      <c r="I49" s="234"/>
      <c r="J49" s="234"/>
    </row>
    <row r="50" spans="1:10" x14ac:dyDescent="0.25">
      <c r="A50" s="240" t="str">
        <f ca="1">"+ClassPoints="&amp;INDIRECT("E7")</f>
        <v>+ClassPoints=4</v>
      </c>
      <c r="B50" s="234" t="s">
        <v>340</v>
      </c>
      <c r="C50" s="234"/>
      <c r="D50" s="234"/>
      <c r="E50" s="248" t="str">
        <f ca="1">IF(INDIRECT("V5")&lt;&gt;"","RandomNickNames[1]="""&amp;INDIRECT("V5")&amp;"""","")</f>
        <v>RandomNickNames[1]="Bargain"</v>
      </c>
      <c r="F50" s="234" t="s">
        <v>340</v>
      </c>
      <c r="G50" s="234"/>
      <c r="H50" s="234"/>
      <c r="I50" s="234"/>
      <c r="J50" s="234"/>
    </row>
    <row r="51" spans="1:10" x14ac:dyDescent="0.25">
      <c r="A51" s="240" t="str">
        <f ca="1">"+IconImage="&amp;""""&amp;INDIRECT("E8")&amp;""""</f>
        <v>+IconImage="img:///UILibrary_LWD.class_partisan"</v>
      </c>
      <c r="B51" s="234" t="s">
        <v>340</v>
      </c>
      <c r="C51" s="234"/>
      <c r="D51" s="234"/>
      <c r="E51" s="248" t="str">
        <f ca="1">IF(INDIRECT("V6")&lt;&gt;"","RandomNickNames[2]="""&amp;INDIRECT("V6")&amp;"""","")</f>
        <v>RandomNickNames[2]="Beta"</v>
      </c>
      <c r="F51" s="234" t="s">
        <v>340</v>
      </c>
      <c r="G51" s="234"/>
      <c r="H51" s="234"/>
      <c r="I51" s="234"/>
      <c r="J51" s="234"/>
    </row>
    <row r="52" spans="1:10" x14ac:dyDescent="0.25">
      <c r="A52" s="240" t="str">
        <f ca="1">"+NumInForcedDeck="&amp;INDIRECT("E9")</f>
        <v>+NumInForcedDeck=1</v>
      </c>
      <c r="B52" s="234" t="s">
        <v>340</v>
      </c>
      <c r="C52" s="234"/>
      <c r="D52" s="234"/>
      <c r="E52" s="248" t="str">
        <f ca="1">IF(INDIRECT("V7")&lt;&gt;"","RandomNickNames[3]="""&amp;INDIRECT("V7")&amp;"""","")</f>
        <v>RandomNickNames[3]="Bishop"</v>
      </c>
      <c r="F52" s="234" t="s">
        <v>340</v>
      </c>
      <c r="G52" s="234"/>
      <c r="H52" s="234"/>
      <c r="I52" s="234"/>
      <c r="J52" s="234"/>
    </row>
    <row r="53" spans="1:10" x14ac:dyDescent="0.25">
      <c r="A53" s="240" t="str">
        <f ca="1">"+NumInDeck="&amp;INDIRECT("E10")</f>
        <v>+NumInDeck=4</v>
      </c>
      <c r="B53" s="234" t="s">
        <v>340</v>
      </c>
      <c r="C53" s="234"/>
      <c r="D53" s="234"/>
      <c r="E53" s="248" t="str">
        <f ca="1">IF(INDIRECT("V8")&lt;&gt;"","RandomNickNames[4]="""&amp;INDIRECT("V8")&amp;"""","")</f>
        <v>RandomNickNames[4]="Pikachu"</v>
      </c>
      <c r="F53" s="234" t="s">
        <v>340</v>
      </c>
      <c r="G53" s="234"/>
      <c r="H53" s="234"/>
      <c r="I53" s="234"/>
      <c r="J53" s="234"/>
    </row>
    <row r="54" spans="1:10" x14ac:dyDescent="0.25">
      <c r="A54" s="240" t="str">
        <f ca="1">"+KillAssistsPerKill="&amp;INDIRECT("E11")</f>
        <v>+KillAssistsPerKill=4</v>
      </c>
      <c r="B54" s="234" t="s">
        <v>340</v>
      </c>
      <c r="C54" s="234"/>
      <c r="D54" s="234"/>
      <c r="E54" s="248" t="str">
        <f ca="1">IF(INDIRECT("V9")&lt;&gt;"","RandomNickNames[5]="""&amp;INDIRECT("V9")&amp;"""","")</f>
        <v>RandomNickNames[5]="Breaker"</v>
      </c>
      <c r="F54" s="234" t="s">
        <v>340</v>
      </c>
      <c r="G54" s="234"/>
      <c r="H54" s="234"/>
      <c r="I54" s="234"/>
      <c r="J54" s="234"/>
    </row>
    <row r="55" spans="1:10" x14ac:dyDescent="0.25">
      <c r="A55" s="240" t="str">
        <f ca="1">"+SquaddieLoadout=Squaddie"&amp;INDIRECT("C3")</f>
        <v>+SquaddieLoadout=SquaddieLWD_Partisan</v>
      </c>
      <c r="B55" s="234" t="s">
        <v>340</v>
      </c>
      <c r="C55" s="234"/>
      <c r="D55" s="234"/>
      <c r="E55" s="248" t="str">
        <f ca="1">IF(INDIRECT("V10")&lt;&gt;"","RandomNickNames[6]="""&amp;INDIRECT("V10")&amp;"""","")</f>
        <v>RandomNickNames[6]="Broker"</v>
      </c>
      <c r="F55" s="234" t="s">
        <v>340</v>
      </c>
      <c r="G55" s="234"/>
      <c r="H55" s="234"/>
      <c r="I55" s="234"/>
      <c r="J55" s="234"/>
    </row>
    <row r="56" spans="1:10" x14ac:dyDescent="0.25">
      <c r="A56" s="240" t="str">
        <f ca="1">";+bAllowAWCAbilities="&amp;INDIRECT("E12")&amp;" ; Not a thing in LW2"</f>
        <v>;+bAllowAWCAbilities=1 ; Not a thing in LW2</v>
      </c>
      <c r="B56" s="234" t="s">
        <v>340</v>
      </c>
      <c r="C56" s="234"/>
      <c r="D56" s="234"/>
      <c r="E56" s="248" t="str">
        <f ca="1">IF(INDIRECT("V11")&lt;&gt;"","RandomNickNames[7]="""&amp;INDIRECT("V11")&amp;"""","")</f>
        <v>RandomNickNames[7]="Conquest"</v>
      </c>
      <c r="F56" s="234" t="s">
        <v>340</v>
      </c>
      <c r="G56" s="234"/>
      <c r="H56" s="234"/>
      <c r="I56" s="234"/>
      <c r="J56" s="234"/>
    </row>
    <row r="57" spans="1:10" x14ac:dyDescent="0.25">
      <c r="A57" s="240" t="str">
        <f ca="1">IF(INDIRECT("B5")=FALSE,";","")&amp;"+AllowedWeapons=(SlotType=eInvSlot_PrimaryWeapon, WeaponType=""rifle"")"</f>
        <v>+AllowedWeapons=(SlotType=eInvSlot_PrimaryWeapon, WeaponType="rifle")</v>
      </c>
      <c r="B57" s="234" t="s">
        <v>340</v>
      </c>
      <c r="C57" s="234"/>
      <c r="D57" s="234"/>
      <c r="E57" s="248" t="str">
        <f ca="1">IF(INDIRECT("V12")&lt;&gt;"","RandomNickNames[8]="""&amp;INDIRECT("V12")&amp;"""","")</f>
        <v>RandomNickNames[8]="Deacon"</v>
      </c>
      <c r="F57" s="234" t="s">
        <v>340</v>
      </c>
      <c r="G57" s="234"/>
      <c r="H57" s="234"/>
      <c r="I57" s="234"/>
      <c r="J57" s="234"/>
    </row>
    <row r="58" spans="1:10" x14ac:dyDescent="0.25">
      <c r="A58" s="240" t="str">
        <f ca="1">IF(INDIRECT("B6")=FALSE,";","")&amp;"+AllowedWeapons=(SlotType=eInvSlot_PrimaryWeapon, WeaponType=""cannon"")"</f>
        <v>;+AllowedWeapons=(SlotType=eInvSlot_PrimaryWeapon, WeaponType="cannon")</v>
      </c>
      <c r="B58" s="234" t="s">
        <v>340</v>
      </c>
      <c r="C58" s="234"/>
      <c r="D58" s="234"/>
      <c r="E58" s="248" t="str">
        <f ca="1">IF(INDIRECT("V13")&lt;&gt;"","RandomNickNames[9]="""&amp;INDIRECT("V13")&amp;"""","")</f>
        <v>RandomNickNames[9]="Doomtrain"</v>
      </c>
      <c r="F58" s="234" t="s">
        <v>340</v>
      </c>
      <c r="G58" s="234"/>
      <c r="H58" s="234"/>
      <c r="I58" s="234"/>
      <c r="J58" s="234"/>
    </row>
    <row r="59" spans="1:10" x14ac:dyDescent="0.25">
      <c r="A59" s="240" t="str">
        <f ca="1">IF(INDIRECT("B7")=FALSE,";","")&amp;"+AllowedWeapons=(SlotType=eInvSlot_PrimaryWeapon, WeaponType=""shotgun"")"</f>
        <v>+AllowedWeapons=(SlotType=eInvSlot_PrimaryWeapon, WeaponType="shotgun")</v>
      </c>
      <c r="B59" s="234" t="s">
        <v>340</v>
      </c>
      <c r="C59" s="234"/>
      <c r="D59" s="234"/>
      <c r="E59" s="248" t="str">
        <f ca="1">IF(INDIRECT("V14")&lt;&gt;"","RandomNickNames[10]="""&amp;INDIRECT("V14")&amp;"""","")</f>
        <v>RandomNickNames[10]="Dr. Feelgood"</v>
      </c>
      <c r="F59" s="234" t="s">
        <v>340</v>
      </c>
      <c r="G59" s="234"/>
      <c r="H59" s="234"/>
      <c r="I59" s="234"/>
      <c r="J59" s="234"/>
    </row>
    <row r="60" spans="1:10" x14ac:dyDescent="0.25">
      <c r="A60" s="240" t="str">
        <f ca="1">IF(INDIRECT("B8")=FALSE,";","")&amp;"+AllowedWeapons=(SlotType=eInvSlot_PrimaryWeapon, WeaponType=""sniper_rifle"")"</f>
        <v>;+AllowedWeapons=(SlotType=eInvSlot_PrimaryWeapon, WeaponType="sniper_rifle")</v>
      </c>
      <c r="B60" s="234" t="s">
        <v>340</v>
      </c>
      <c r="C60" s="234"/>
      <c r="D60" s="234"/>
      <c r="E60" s="248" t="str">
        <f ca="1">IF(INDIRECT("V15")&lt;&gt;"","RandomNickNames[11]="""&amp;INDIRECT("V15")&amp;"""","")</f>
        <v>RandomNickNames[11]="Famine"</v>
      </c>
      <c r="F60" s="234" t="s">
        <v>340</v>
      </c>
      <c r="G60" s="234"/>
      <c r="H60" s="234"/>
      <c r="I60" s="234"/>
      <c r="J60" s="234"/>
    </row>
    <row r="61" spans="1:10" x14ac:dyDescent="0.25">
      <c r="A61" s="240" t="str">
        <f ca="1">IF(INDIRECT("B9")=FALSE,";","")&amp;"+AllowedWeapons=(SlotType=eInvSlot_SecondaryWeapon, WeaponType=""gauntlet"")"</f>
        <v>;+AllowedWeapons=(SlotType=eInvSlot_SecondaryWeapon, WeaponType="gauntlet")</v>
      </c>
      <c r="B61" s="234" t="s">
        <v>340</v>
      </c>
      <c r="C61" s="234"/>
      <c r="D61" s="234"/>
      <c r="E61" s="248" t="str">
        <f ca="1">IF(INDIRECT("V16")&lt;&gt;"","RandomNickNames[12]="""&amp;INDIRECT("V16")&amp;"""","")</f>
        <v>RandomNickNames[12]="Feedback"</v>
      </c>
      <c r="F61" s="234" t="s">
        <v>340</v>
      </c>
      <c r="G61" s="234"/>
      <c r="H61" s="234"/>
      <c r="I61" s="234"/>
      <c r="J61" s="234"/>
    </row>
    <row r="62" spans="1:10" x14ac:dyDescent="0.25">
      <c r="A62" s="240" t="str">
        <f ca="1">IF(INDIRECT("B10")=FALSE,";","")&amp;"+AllowedWeapons=(SlotType=eInvSlot_SecondaryWeapon, WeaponType=""combatknife"")"</f>
        <v>;+AllowedWeapons=(SlotType=eInvSlot_SecondaryWeapon, WeaponType="combatknife")</v>
      </c>
      <c r="B62" s="234" t="s">
        <v>340</v>
      </c>
      <c r="C62" s="234"/>
      <c r="D62" s="234"/>
      <c r="E62" s="248" t="str">
        <f ca="1">IF(INDIRECT("V17")&lt;&gt;"","RandomNickNames[13]="""&amp;INDIRECT("V17")&amp;"""","")</f>
        <v>RandomNickNames[13]="Firewall"</v>
      </c>
      <c r="F62" s="234" t="s">
        <v>340</v>
      </c>
      <c r="G62" s="234"/>
      <c r="H62" s="234"/>
      <c r="I62" s="234"/>
      <c r="J62" s="234"/>
    </row>
    <row r="63" spans="1:10" x14ac:dyDescent="0.25">
      <c r="A63" s="240" t="str">
        <f ca="1">IF(INDIRECT("B11")=FALSE,";","")&amp;"+AllowedWeapons=(SlotType=eInvSlot_SecondaryWeapon, WeaponType=""grenade_launcher"")"</f>
        <v>;+AllowedWeapons=(SlotType=eInvSlot_SecondaryWeapon, WeaponType="grenade_launcher")</v>
      </c>
      <c r="B63" s="234" t="s">
        <v>340</v>
      </c>
      <c r="C63" s="234"/>
      <c r="D63" s="234"/>
      <c r="E63" s="248" t="str">
        <f ca="1">IF(INDIRECT("V18")&lt;&gt;"","RandomNickNames[14]="""&amp;INDIRECT("V18")&amp;"""","")</f>
        <v>RandomNickNames[14]="Grey Ghost"</v>
      </c>
      <c r="F63" s="234" t="s">
        <v>340</v>
      </c>
      <c r="G63" s="234"/>
      <c r="H63" s="234"/>
      <c r="I63" s="234"/>
      <c r="J63" s="234"/>
    </row>
    <row r="64" spans="1:10" x14ac:dyDescent="0.25">
      <c r="A64" s="240" t="str">
        <f ca="1">IF(INDIRECT("B12")=FALSE,";","")&amp;"+AllowedWeapons=(SlotType=eInvSlot_SecondaryWeapon, WeaponType=""gremlin"")"</f>
        <v>;+AllowedWeapons=(SlotType=eInvSlot_SecondaryWeapon, WeaponType="gremlin")</v>
      </c>
      <c r="B64" s="234" t="s">
        <v>340</v>
      </c>
      <c r="C64" s="234"/>
      <c r="D64" s="234"/>
      <c r="E64" s="248" t="str">
        <f ca="1">IF(INDIRECT("V19")&lt;&gt;"","RandomNickNames[15]="""&amp;INDIRECT("V19")&amp;"""","")</f>
        <v>RandomNickNames[15]="Gizmo"</v>
      </c>
      <c r="F64" s="234" t="s">
        <v>340</v>
      </c>
      <c r="G64" s="234"/>
      <c r="H64" s="234"/>
      <c r="I64" s="234"/>
      <c r="J64" s="234"/>
    </row>
    <row r="65" spans="1:10" x14ac:dyDescent="0.25">
      <c r="A65" s="240" t="str">
        <f ca="1">IF(INDIRECT("B13")=FALSE,";","")&amp;"+AllowedWeapons=(SlotType=eInvSlot_SecondaryWeapon, WeaponType=""sword"")"</f>
        <v>;+AllowedWeapons=(SlotType=eInvSlot_SecondaryWeapon, WeaponType="sword")</v>
      </c>
      <c r="B65" s="234" t="s">
        <v>340</v>
      </c>
      <c r="C65" s="234"/>
      <c r="D65" s="234"/>
      <c r="E65" s="248" t="str">
        <f ca="1">IF(INDIRECT("V20")&lt;&gt;"","RandomNickNames[16]="""&amp;INDIRECT("V20")&amp;"""","")</f>
        <v>RandomNickNames[16]="Jester"</v>
      </c>
      <c r="F65" s="234" t="s">
        <v>340</v>
      </c>
      <c r="G65" s="234"/>
      <c r="H65" s="234"/>
      <c r="I65" s="234"/>
      <c r="J65" s="234"/>
    </row>
    <row r="66" spans="1:10" x14ac:dyDescent="0.25">
      <c r="A66" s="240" t="str">
        <f ca="1">IF(INDIRECT("B14")=FALSE,";","")&amp;"+AllowedWeapons=(SlotType=eInvSlot_SecondaryWeapon, WeaponType=""sawedoffshotgun"")"</f>
        <v>;+AllowedWeapons=(SlotType=eInvSlot_SecondaryWeapon, WeaponType="sawedoffshotgun")</v>
      </c>
      <c r="B66" s="234" t="s">
        <v>340</v>
      </c>
      <c r="C66" s="234"/>
      <c r="D66" s="234"/>
      <c r="E66" s="248" t="str">
        <f ca="1">IF(INDIRECT("V21")&lt;&gt;"","RandomNickNames[17]="""&amp;INDIRECT("V21")&amp;"""","")</f>
        <v>RandomNickNames[17]="Jolt"</v>
      </c>
      <c r="F66" s="234" t="s">
        <v>340</v>
      </c>
      <c r="G66" s="234"/>
      <c r="H66" s="234"/>
      <c r="I66" s="234"/>
      <c r="J66" s="234"/>
    </row>
    <row r="67" spans="1:10" x14ac:dyDescent="0.25">
      <c r="A67" s="240" t="str">
        <f ca="1">IF(INDIRECT("B15")=FALSE,";","")&amp;"+AllowedWeapons=(SlotType=eInvSlot_SecondaryWeapon, WeaponType=""arcthrower"")"</f>
        <v>+AllowedWeapons=(SlotType=eInvSlot_SecondaryWeapon, WeaponType="arcthrower")</v>
      </c>
      <c r="B67" s="234" t="s">
        <v>340</v>
      </c>
      <c r="C67" s="234"/>
      <c r="D67" s="234"/>
      <c r="E67" s="248" t="str">
        <f ca="1">IF(INDIRECT("V22")&lt;&gt;"","RandomNickNames[18]="""&amp;INDIRECT("V22")&amp;"""","")</f>
        <v>RandomNickNames[18]="Lightning"</v>
      </c>
      <c r="F67" s="234" t="s">
        <v>340</v>
      </c>
      <c r="G67" s="234"/>
      <c r="H67" s="234"/>
      <c r="I67" s="234"/>
      <c r="J67" s="234"/>
    </row>
    <row r="68" spans="1:10" x14ac:dyDescent="0.25">
      <c r="A68" s="240" t="str">
        <f ca="1">IF(INDIRECT("B16")=FALSE,";","")&amp;"+AllowedWeapons=(SlotType=eInvSlot_SecondaryWeapon, WeaponType=""holotargeter"")"</f>
        <v>;+AllowedWeapons=(SlotType=eInvSlot_SecondaryWeapon, WeaponType="holotargeter")</v>
      </c>
      <c r="B68" s="234" t="s">
        <v>340</v>
      </c>
      <c r="C68" s="234"/>
      <c r="D68" s="234"/>
      <c r="E68" s="248" t="str">
        <f ca="1">IF(INDIRECT("V23")&lt;&gt;"","RandomNickNames[19]="""&amp;INDIRECT("V23")&amp;"""","")</f>
        <v>RandomNickNames[19]="Mayday"</v>
      </c>
      <c r="F68" s="234" t="s">
        <v>340</v>
      </c>
      <c r="G68" s="234"/>
      <c r="H68" s="234"/>
      <c r="I68" s="234"/>
      <c r="J68" s="234"/>
    </row>
    <row r="69" spans="1:10" x14ac:dyDescent="0.25">
      <c r="A69" s="240" t="str">
        <f ca="1">IF(INDIRECT("B17")=FALSE,";","")&amp;"+AllowedWeapons=(SlotType=eInvSlot_SecondaryWeapon, WeaponType=""psiamp"")"</f>
        <v>;+AllowedWeapons=(SlotType=eInvSlot_SecondaryWeapon, WeaponType="psiamp")</v>
      </c>
      <c r="B69" s="234" t="s">
        <v>340</v>
      </c>
      <c r="C69" s="234"/>
      <c r="D69" s="234"/>
      <c r="E69" s="248" t="str">
        <f ca="1">IF(INDIRECT("V24")&lt;&gt;"","RandomNickNames[20]="""&amp;INDIRECT("V24")&amp;"""","")</f>
        <v>RandomNickNames[20]="Mega"</v>
      </c>
      <c r="F69" s="234" t="s">
        <v>340</v>
      </c>
      <c r="G69" s="234"/>
      <c r="H69" s="234"/>
      <c r="I69" s="234"/>
      <c r="J69" s="234"/>
    </row>
    <row r="70" spans="1:10" x14ac:dyDescent="0.25">
      <c r="A70" s="240" t="str">
        <f ca="1">IF(INDIRECT("B9")=FALSE,";","")&amp;"+AllowedWeapons=(SlotType=eInvSlot_HeavyWeapon, WeaponType=""heavyammo"")"</f>
        <v>;+AllowedWeapons=(SlotType=eInvSlot_HeavyWeapon, WeaponType="heavyammo")</v>
      </c>
      <c r="B70" s="234" t="s">
        <v>340</v>
      </c>
      <c r="C70" s="234"/>
      <c r="D70" s="234"/>
      <c r="E70" s="248" t="str">
        <f ca="1">IF(INDIRECT("V25")&lt;&gt;"","RandomNickNames[21]="""&amp;INDIRECT("V25")&amp;"""","")</f>
        <v>RandomNickNames[21]="Newton"</v>
      </c>
      <c r="F70" s="234" t="s">
        <v>340</v>
      </c>
      <c r="G70" s="234"/>
      <c r="H70" s="234"/>
      <c r="I70" s="234"/>
      <c r="J70" s="234"/>
    </row>
    <row r="71" spans="1:10" x14ac:dyDescent="0.25">
      <c r="A71" s="240" t="str">
        <f ca="1">IF(INDIRECT("B9")=TRUE,";","")&amp;"+AllowedWeapons=(SlotType=eInvSlot_HeavyWeapon, WeaponType=""heavy"")"</f>
        <v>+AllowedWeapons=(SlotType=eInvSlot_HeavyWeapon, WeaponType="heavy")</v>
      </c>
      <c r="B71" s="234" t="s">
        <v>340</v>
      </c>
      <c r="C71" s="234"/>
      <c r="D71" s="234"/>
      <c r="E71" s="248" t="str">
        <f ca="1">IF(INDIRECT("V26")&lt;&gt;"","RandomNickNames[22]="""&amp;INDIRECT("V26")&amp;"""","")</f>
        <v>RandomNickNames[22]="The Wall"</v>
      </c>
      <c r="F71" s="234" t="s">
        <v>340</v>
      </c>
      <c r="G71" s="234"/>
      <c r="H71" s="234"/>
      <c r="I71" s="234"/>
      <c r="J71" s="234"/>
    </row>
    <row r="72" spans="1:10" x14ac:dyDescent="0.25">
      <c r="A72" s="240" t="str">
        <f ca="1">"+AllowedArmors="&amp;INDIRECT("E13")</f>
        <v>+AllowedArmors=soldier</v>
      </c>
      <c r="B72" s="234" t="s">
        <v>340</v>
      </c>
      <c r="C72" s="234"/>
      <c r="D72" s="234"/>
      <c r="E72" s="248" t="str">
        <f ca="1">IF(INDIRECT("V27")&lt;&gt;"","RandomNickNames[23]="""&amp;INDIRECT("V27")&amp;"""","")</f>
        <v>RandomNickNames[23]="Rascal"</v>
      </c>
      <c r="F72" s="234" t="s">
        <v>340</v>
      </c>
      <c r="G72" s="234"/>
      <c r="H72" s="234"/>
      <c r="I72" s="234"/>
      <c r="J72" s="234"/>
    </row>
    <row r="73" spans="1:10" x14ac:dyDescent="0.25">
      <c r="A73" s="240" t="str">
        <f>"; squaddie"</f>
        <v>; squaddie</v>
      </c>
      <c r="B73" s="234" t="s">
        <v>340</v>
      </c>
      <c r="C73" s="234"/>
      <c r="D73" s="234"/>
      <c r="E73" s="248" t="str">
        <f ca="1">IF(INDIRECT("V28")&lt;&gt;"","RandomNickNames[24]="""&amp;INDIRECT("V28")&amp;"""","")</f>
        <v>RandomNickNames[24]="Rattler"</v>
      </c>
      <c r="F73" s="234" t="s">
        <v>340</v>
      </c>
      <c r="G73" s="234"/>
      <c r="H73" s="234"/>
      <c r="I73" s="234"/>
      <c r="J73" s="234"/>
    </row>
    <row r="74" spans="1:10" x14ac:dyDescent="0.25">
      <c r="A74" s="240" t="str">
        <f ca="1">"+SoldierRanks=(  aAbilityTree=( (AbilityName="""&amp;VLOOKUP(INDIRECT("F4"),Abilities,2,FALSE)&amp;""""&amp;IF(VLOOKUP(INDIRECT("F4"),Abilities,3,FALSE)="","",", ApplyToWeaponSlot=eInvSlot_"&amp;VLOOKUP(INDIRECT("F4"),Abilities,3,FALSE))&amp;"), \\"</f>
        <v>+SoldierRanks=(  aAbilityTree=( (AbilityName="ArcthrowerStun", ApplyToWeaponSlot=eInvSlot_SecondaryWeapon), \\</v>
      </c>
      <c r="B74" s="234" t="s">
        <v>340</v>
      </c>
      <c r="C74" s="234"/>
      <c r="D74" s="234"/>
      <c r="E74" s="248" t="str">
        <f ca="1">IF(INDIRECT("V29")&lt;&gt;"","RandomNickNames[25]="""&amp;INDIRECT("V29")&amp;"""","")</f>
        <v>RandomNickNames[25]="Revelation"</v>
      </c>
      <c r="F74" s="234" t="s">
        <v>340</v>
      </c>
      <c r="G74" s="234"/>
      <c r="H74" s="234"/>
      <c r="I74" s="234"/>
      <c r="J74" s="234"/>
    </row>
    <row r="75" spans="1:10" x14ac:dyDescent="0.25">
      <c r="A75" s="240" t="str">
        <f ca="1">IF(INDIRECT("I4")="","\\","(AbilityName="""&amp;VLOOKUP(INDIRECT("I4"),Abilities,2,FALSE)&amp;""""&amp;IF(VLOOKUP(INDIRECT("I4"),Abilities,3,FALSE)="","",", ApplyToWeaponSlot=eInvSlot_"&amp;VLOOKUP(INDIRECT("I4"),Abilities,3,FALSE))&amp;"), \\")</f>
        <v>(AbilityName="LightningReflexes_LW", ApplyToWeaponSlot=eInvSlot_Unknown), \\</v>
      </c>
      <c r="B75" s="234" t="s">
        <v>340</v>
      </c>
      <c r="C75" s="234"/>
      <c r="D75" s="234"/>
      <c r="E75" s="248" t="str">
        <f ca="1">IF(INDIRECT("V30")&lt;&gt;"","RandomNickNames[26]="""&amp;INDIRECT("V30")&amp;"""","")</f>
        <v>RandomNickNames[26]="Skipper"</v>
      </c>
      <c r="F75" s="234" t="s">
        <v>340</v>
      </c>
      <c r="G75" s="234"/>
      <c r="H75" s="234"/>
      <c r="I75" s="234"/>
      <c r="J75" s="234"/>
    </row>
    <row r="76" spans="1:10" x14ac:dyDescent="0.25">
      <c r="A76" s="240" t="str">
        <f ca="1">IF(INDIRECT("L4")="","\\","(AbilityName="""&amp;VLOOKUP(INDIRECT("L4"),Abilities,2,FALSE)&amp;""""&amp;IF(VLOOKUP(INDIRECT("L4"),Abilities,3,FALSE)="","",", ApplyToWeaponSlot=eInvSlot_"&amp;VLOOKUP(INDIRECT("L4"),Abilities,3,FALSE))&amp;"), \\")</f>
        <v>\\</v>
      </c>
      <c r="B76" s="234" t="s">
        <v>340</v>
      </c>
      <c r="C76" s="234"/>
      <c r="D76" s="234"/>
      <c r="E76" s="248" t="str">
        <f ca="1">IF(INDIRECT("V31")&lt;&gt;"","RandomNickNames[27]="""&amp;INDIRECT("V31")&amp;"""","")</f>
        <v>RandomNickNames[27]="Thunder"</v>
      </c>
      <c r="F76" s="234" t="s">
        <v>340</v>
      </c>
      <c r="G76" s="234"/>
      <c r="H76" s="234"/>
      <c r="I76" s="234"/>
      <c r="J76" s="234"/>
    </row>
    <row r="77" spans="1:10" x14ac:dyDescent="0.25">
      <c r="A77" s="240" t="str">
        <f ca="1">IF(INDIRECT("F7")="","\\","(AbilityName="""&amp;VLOOKUP(INDIRECT("F7"),Abilities,2,FALSE)&amp;""""&amp;IF(VLOOKUP(INDIRECT("F7"),Abilities,3,FALSE)="","",", ApplyToWeaponSlot=eInvSlot_"&amp;VLOOKUP(INDIRECT("F7"),Abilities,3,FALSE))&amp;"), \\")</f>
        <v>\\</v>
      </c>
      <c r="B77" s="234" t="s">
        <v>340</v>
      </c>
      <c r="C77" s="234"/>
      <c r="D77" s="234"/>
      <c r="E77" s="248" t="str">
        <f ca="1">IF(INDIRECT("V32")&lt;&gt;"","RandomNickNames[28]="""&amp;INDIRECT("V32")&amp;"""","")</f>
        <v>RandomNickNames[28]="Undertaker"</v>
      </c>
      <c r="F77" s="234" t="s">
        <v>340</v>
      </c>
      <c r="G77" s="234"/>
      <c r="H77" s="234"/>
      <c r="I77" s="234"/>
      <c r="J77" s="234"/>
    </row>
    <row r="78" spans="1:10" x14ac:dyDescent="0.25">
      <c r="A78" s="240" t="str">
        <f ca="1">IF(INDIRECT("I7")="","\\","(AbilityName="""&amp;VLOOKUP(INDIRECT("I7"),Abilities,2,FALSE)&amp;""""&amp;IF(VLOOKUP(INDIRECT("I7"),Abilities,3,FALSE)="","",", ApplyToWeaponSlot=eInvSlot_"&amp;VLOOKUP(INDIRECT("I7"),Abilities,3,FALSE))&amp;"), \\")</f>
        <v>\\</v>
      </c>
      <c r="B78" s="234" t="s">
        <v>340</v>
      </c>
      <c r="C78" s="234"/>
      <c r="D78" s="234"/>
      <c r="E78" s="248" t="str">
        <f ca="1">IF(INDIRECT("V33")&lt;&gt;"","RandomNickNames[29]="""&amp;INDIRECT("V33")&amp;"""","")</f>
        <v>RandomNickNames[29]="War"</v>
      </c>
      <c r="F78" s="234" t="s">
        <v>340</v>
      </c>
      <c r="G78" s="234"/>
      <c r="H78" s="234"/>
      <c r="I78" s="234"/>
      <c r="J78" s="234"/>
    </row>
    <row r="79" spans="1:10" x14ac:dyDescent="0.25">
      <c r="A79" s="240" t="str">
        <f ca="1">IF(INDIRECT("L7")="","\\","(AbilityName="""&amp;VLOOKUP(INDIRECT("L7"),Abilities,2,FALSE)&amp;""""&amp;IF(VLOOKUP(INDIRECT("L7"),Abilities,3,FALSE)="","",", ApplyToWeaponSlot=eInvSlot_"&amp;VLOOKUP(INDIRECT("L7"),Abilities,3,FALSE))&amp;"), \\")</f>
        <v>\\</v>
      </c>
      <c r="B79" s="234" t="s">
        <v>340</v>
      </c>
      <c r="C79" s="234"/>
      <c r="D79" s="234"/>
      <c r="E79" s="248" t="str">
        <f ca="1">IF(INDIRECT("V34")&lt;&gt;"","RandomNickNames[30]="""&amp;INDIRECT("V34")&amp;"""","")</f>
        <v>RandomNickNames[30]="Whoopsie"</v>
      </c>
      <c r="F79" s="234" t="s">
        <v>340</v>
      </c>
      <c r="G79" s="234"/>
      <c r="H79" s="234"/>
      <c r="I79" s="234"/>
      <c r="J79" s="234"/>
    </row>
    <row r="80" spans="1:10" x14ac:dyDescent="0.25">
      <c r="A80" s="240" t="s">
        <v>337</v>
      </c>
      <c r="B80" s="234" t="s">
        <v>340</v>
      </c>
      <c r="C80" s="234"/>
      <c r="D80" s="234"/>
      <c r="E80" s="248" t="str">
        <f ca="1">IF(INDIRECT("V35")&lt;&gt;"","RandomNickNames[31]="""&amp;INDIRECT("V35")&amp;"""","")</f>
        <v>RandomNickNames[31]="Zap"</v>
      </c>
      <c r="F80" s="234" t="s">
        <v>340</v>
      </c>
      <c r="G80" s="234"/>
      <c r="H80" s="234"/>
      <c r="I80" s="234"/>
      <c r="J80" s="234"/>
    </row>
    <row r="81" spans="1:10" x14ac:dyDescent="0.25">
      <c r="A81" s="240"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(StatType=eStat_Will,StatAmount=5)),\\</v>
      </c>
      <c r="B81" s="234" t="s">
        <v>340</v>
      </c>
      <c r="C81" s="234"/>
      <c r="D81" s="234"/>
      <c r="E81" s="248" t="str">
        <f>"; Male Nicknames"</f>
        <v>; Male Nicknames</v>
      </c>
      <c r="F81" s="234" t="s">
        <v>340</v>
      </c>
      <c r="G81" s="234"/>
      <c r="H81" s="234"/>
      <c r="I81" s="234"/>
      <c r="J81" s="234"/>
    </row>
    <row r="82" spans="1:10" x14ac:dyDescent="0.25">
      <c r="A82" s="240" t="s">
        <v>338</v>
      </c>
      <c r="B82" s="234" t="s">
        <v>340</v>
      </c>
      <c r="C82" s="234"/>
      <c r="D82" s="234"/>
      <c r="E82" s="248" t="str">
        <f ca="1">IF(INDIRECT("X4")&lt;&gt;"","RandomNickNames_Male[0]="""&amp;INDIRECT("X4")&amp;"""","")</f>
        <v>RandomNickNames_Male[0]="Candyman"</v>
      </c>
      <c r="F82" s="234" t="s">
        <v>340</v>
      </c>
      <c r="G82" s="234"/>
      <c r="H82" s="234"/>
      <c r="I82" s="234"/>
      <c r="J82" s="234"/>
    </row>
    <row r="83" spans="1:10" x14ac:dyDescent="0.25">
      <c r="A83" s="240" t="str">
        <f>"; lance corporal"</f>
        <v>; lance corporal</v>
      </c>
      <c r="B83" s="234" t="s">
        <v>340</v>
      </c>
      <c r="C83" s="234"/>
      <c r="D83" s="234"/>
      <c r="E83" s="248" t="str">
        <f ca="1">IF(INDIRECT("X5")&lt;&gt;"","RandomNickNames_Male[1]="""&amp;INDIRECT("X5")&amp;"""","")</f>
        <v>RandomNickNames_Male[1]="Magic Man"</v>
      </c>
      <c r="F83" s="234" t="s">
        <v>340</v>
      </c>
      <c r="G83" s="234"/>
      <c r="H83" s="234"/>
      <c r="I83" s="234"/>
      <c r="J83" s="234"/>
    </row>
    <row r="84" spans="1:10" x14ac:dyDescent="0.25">
      <c r="A84" s="240" t="str">
        <f ca="1">"+SoldierRanks=(  aAbilityTree=( (AbilityName="""&amp;VLOOKUP(INDIRECT("F13"),Abilities,2,FALSE)&amp;""""&amp;IF(VLOOKUP(INDIRECT("F13"),Abilities,3,FALSE)="","",", ApplyToWeaponSlot=eInvSlot_"&amp;VLOOKUP(INDIRECT("F13"),Abilities,3,FALSE))&amp;"), \\"</f>
        <v>+SoldierRanks=(  aAbilityTree=( (AbilityName="LWD_GreasedLightning", ApplyToWeaponSlot=eInvSlot_SecondaryWeapon), \\</v>
      </c>
      <c r="B84" s="234" t="s">
        <v>340</v>
      </c>
      <c r="C84" s="234"/>
      <c r="D84" s="234"/>
      <c r="E84" s="248" t="str">
        <f ca="1">IF(INDIRECT("X6")&lt;&gt;"","RandomNickNames_Male[2]="""&amp;INDIRECT("X6")&amp;"""","")</f>
        <v>RandomNickNames_Male[2]="Priest"</v>
      </c>
      <c r="F84" s="234" t="s">
        <v>340</v>
      </c>
      <c r="G84" s="234"/>
      <c r="H84" s="234"/>
      <c r="I84" s="234"/>
      <c r="J84" s="234"/>
    </row>
    <row r="85" spans="1:10" x14ac:dyDescent="0.25">
      <c r="A85" s="240" t="str">
        <f ca="1">IF(INDIRECT("I13")="","\\","(AbilityName="""&amp;VLOOKUP(INDIRECT("I13"),Abilities,2,FALSE)&amp;""""&amp;IF(VLOOKUP(INDIRECT("I13"),Abilities,3,FALSE)="","",", ApplyToWeaponSlot=eInvSlot_"&amp;VLOOKUP(INDIRECT("I13"),Abilities,3,FALSE))&amp;"), \\")</f>
        <v>(AbilityName=" "), \\</v>
      </c>
      <c r="B85" s="234" t="s">
        <v>340</v>
      </c>
      <c r="C85" s="234"/>
      <c r="D85" s="234"/>
      <c r="E85" s="248" t="str">
        <f ca="1">IF(INDIRECT("X7")&lt;&gt;"","RandomNickNames_Male[3]="""&amp;INDIRECT("X7")&amp;"""","")</f>
        <v>RandomNickNames_Male[3]="Rainman"</v>
      </c>
      <c r="F85" s="234" t="s">
        <v>340</v>
      </c>
      <c r="G85" s="234"/>
      <c r="H85" s="234"/>
      <c r="I85" s="234"/>
      <c r="J85" s="234"/>
    </row>
    <row r="86" spans="1:10" x14ac:dyDescent="0.25">
      <c r="A86" s="240" t="str">
        <f ca="1">IF(INDIRECT("L13")="","\\","(AbilityName="""&amp;VLOOKUP(INDIRECT("L13"),Abilities,2,FALSE)&amp;""""&amp;IF(VLOOKUP(INDIRECT("L13"),Abilities,3,FALSE)="","",", ApplyToWeaponSlot=eInvSlot_"&amp;VLOOKUP(INDIRECT("L13"),Abilities,3,FALSE))&amp;"), \\")</f>
        <v>(AbilityName="Flush", ApplyToWeaponSlot=eInvSlot_PrimaryWeapon), \\</v>
      </c>
      <c r="B86" s="234" t="s">
        <v>340</v>
      </c>
      <c r="C86" s="234"/>
      <c r="D86" s="234"/>
      <c r="E86" s="248" t="str">
        <f ca="1">IF(INDIRECT("X8")&lt;&gt;"","RandomNickNames_Male[4]="""&amp;INDIRECT("X8")&amp;"""","")</f>
        <v>RandomNickNames_Male[4]="Rooster"</v>
      </c>
      <c r="F86" s="234" t="s">
        <v>340</v>
      </c>
      <c r="G86" s="234"/>
      <c r="H86" s="234"/>
      <c r="I86" s="234"/>
      <c r="J86" s="234"/>
    </row>
    <row r="87" spans="1:10" x14ac:dyDescent="0.25">
      <c r="A87" s="240" t="s">
        <v>337</v>
      </c>
      <c r="B87" s="234" t="s">
        <v>340</v>
      </c>
      <c r="C87" s="234"/>
      <c r="D87" s="234"/>
      <c r="E87" s="248" t="str">
        <f>"; Female Nicknames"</f>
        <v>; Female Nicknames</v>
      </c>
      <c r="F87" s="234" t="s">
        <v>340</v>
      </c>
      <c r="G87" s="234"/>
      <c r="H87" s="234"/>
      <c r="I87" s="234"/>
      <c r="J87" s="234"/>
    </row>
    <row r="88" spans="1:10" x14ac:dyDescent="0.25">
      <c r="A88" s="240"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(StatType=eStat_Will,StatAmount=5)),\\</v>
      </c>
      <c r="B88" s="234" t="s">
        <v>340</v>
      </c>
      <c r="C88" s="234"/>
      <c r="D88" s="234"/>
      <c r="E88" s="248" t="str">
        <f ca="1">IF(INDIRECT("X10")&lt;&gt;"","RandomNickNames_Female[0]="""&amp;INDIRECT("X10")&amp;"""","")</f>
        <v>RandomNickNames_Female[0]="Priestess"</v>
      </c>
      <c r="F88" s="234" t="s">
        <v>340</v>
      </c>
      <c r="G88" s="234"/>
      <c r="H88" s="234"/>
      <c r="I88" s="234"/>
      <c r="J88" s="234"/>
    </row>
    <row r="89" spans="1:10" x14ac:dyDescent="0.25">
      <c r="A89" s="240" t="s">
        <v>338</v>
      </c>
      <c r="B89" s="234" t="s">
        <v>340</v>
      </c>
      <c r="C89" s="234"/>
      <c r="D89" s="234"/>
      <c r="E89" s="248" t="str">
        <f ca="1">IF(INDIRECT("X11")&lt;&gt;"","RandomNickNames_Female[1]="""&amp;INDIRECT("X11")&amp;"""","")</f>
        <v>RandomNickNames_Female[1]="Wolfmother"</v>
      </c>
      <c r="F89" s="234" t="s">
        <v>340</v>
      </c>
      <c r="G89" s="234"/>
      <c r="H89" s="234"/>
      <c r="I89" s="234"/>
      <c r="J89" s="234"/>
    </row>
    <row r="90" spans="1:10" x14ac:dyDescent="0.25">
      <c r="A90" s="240" t="str">
        <f>"; corporal"</f>
        <v>; corporal</v>
      </c>
      <c r="B90" s="234" t="s">
        <v>340</v>
      </c>
      <c r="C90" s="234"/>
      <c r="D90" s="234"/>
      <c r="E90" s="248" t="str">
        <f ca="1">IF(INDIRECT("X12")&lt;&gt;"","RandomNickNames_Female[2]="""&amp;INDIRECT("X12")&amp;"""","")</f>
        <v>RandomNickNames_Female[2]="Black Widow"</v>
      </c>
      <c r="F90" s="234" t="s">
        <v>340</v>
      </c>
      <c r="G90" s="234"/>
      <c r="H90" s="234"/>
      <c r="I90" s="234"/>
      <c r="J90" s="234"/>
    </row>
    <row r="91" spans="1:10" x14ac:dyDescent="0.25">
      <c r="A91" s="240" t="str">
        <f ca="1">"+SoldierRanks=(  aAbilityTree=( (AbilityName="""&amp;VLOOKUP(INDIRECT("F17"),Abilities,2,FALSE)&amp;""""&amp;IF(VLOOKUP(INDIRECT("F17"),Abilities,3,FALSE)="","",", ApplyToWeaponSlot=eInvSlot_"&amp;VLOOKUP(INDIRECT("F17"),Abilities,3,FALSE))&amp;"), \\"</f>
        <v>+SoldierRanks=(  aAbilityTree=( (AbilityName=" "), \\</v>
      </c>
      <c r="B91" s="234" t="s">
        <v>340</v>
      </c>
      <c r="C91" s="234"/>
      <c r="D91" s="234"/>
      <c r="E91" s="248" t="str">
        <f ca="1">IF(INDIRECT("X13")&lt;&gt;"","RandomNickNames_Female[3]="""&amp;INDIRECT("X13")&amp;"""","")</f>
        <v>RandomNickNames_Female[3]="Duchess"</v>
      </c>
      <c r="F91" s="234" t="s">
        <v>340</v>
      </c>
      <c r="G91" s="234"/>
      <c r="H91" s="234"/>
      <c r="I91" s="234"/>
      <c r="J91" s="234"/>
    </row>
    <row r="92" spans="1:10" ht="15.75" thickBot="1" x14ac:dyDescent="0.3">
      <c r="A92" s="240" t="str">
        <f ca="1">IF(INDIRECT("I17")="","\\","(AbilityName="""&amp;VLOOKUP(INDIRECT("I17"),Abilities,2,FALSE)&amp;""""&amp;IF(VLOOKUP(INDIRECT("I17"),Abilities,3,FALSE)="","",", ApplyToWeaponSlot=eInvSlot_"&amp;VLOOKUP(INDIRECT("I17"),Abilities,3,FALSE))&amp;"), \\")</f>
        <v>(AbilityName="LWD_CattleProd", ApplyToWeaponSlot=eInvSlot_SecondaryWeapon), \\</v>
      </c>
      <c r="B92" s="234" t="s">
        <v>340</v>
      </c>
      <c r="C92" s="234"/>
      <c r="D92" s="234"/>
      <c r="E92" s="249" t="str">
        <f ca="1">IF(INDIRECT("X14")&lt;&gt;"","RandomNickNames_Female[4]="""&amp;INDIRECT("X14")&amp;"""","")</f>
        <v>RandomNickNames_Female[4]="Queen"</v>
      </c>
      <c r="F92" s="234" t="s">
        <v>340</v>
      </c>
      <c r="G92" s="234"/>
      <c r="H92" s="234"/>
      <c r="I92" s="234"/>
      <c r="J92" s="234"/>
    </row>
    <row r="93" spans="1:10" x14ac:dyDescent="0.25">
      <c r="A93" s="240" t="str">
        <f ca="1">IF(INDIRECT("L17")="","\\","(AbilityName="""&amp;VLOOKUP(INDIRECT("L17"),Abilities,2,FALSE)&amp;""""&amp;IF(VLOOKUP(INDIRECT("L17"),Abilities,3,FALSE)="","",", ApplyToWeaponSlot=eInvSlot_"&amp;VLOOKUP(INDIRECT("L17"),Abilities,3,FALSE))&amp;"), \\")</f>
        <v>(AbilityName=" "), \\</v>
      </c>
      <c r="B93" s="234" t="s">
        <v>340</v>
      </c>
      <c r="C93" s="234"/>
      <c r="D93" s="234"/>
      <c r="E93" s="234"/>
      <c r="F93" s="234"/>
      <c r="G93" s="234"/>
      <c r="H93" s="234"/>
      <c r="I93" s="234"/>
      <c r="J93" s="234"/>
    </row>
    <row r="94" spans="1:10" x14ac:dyDescent="0.25">
      <c r="A94" s="240" t="s">
        <v>337</v>
      </c>
      <c r="B94" s="234" t="s">
        <v>340</v>
      </c>
      <c r="C94" s="234"/>
      <c r="D94" s="234"/>
      <c r="E94" s="234"/>
      <c r="F94" s="234"/>
      <c r="G94" s="234"/>
      <c r="H94" s="234"/>
      <c r="I94" s="234"/>
      <c r="J94" s="234"/>
    </row>
    <row r="95" spans="1:10" x14ac:dyDescent="0.25">
      <c r="A95" s="240"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234" t="s">
        <v>340</v>
      </c>
      <c r="C95" s="234"/>
      <c r="D95" s="234"/>
      <c r="E95" s="234"/>
      <c r="F95" s="234"/>
      <c r="G95" s="234"/>
      <c r="H95" s="234"/>
      <c r="I95" s="234"/>
      <c r="J95" s="234"/>
    </row>
    <row r="96" spans="1:10" x14ac:dyDescent="0.25">
      <c r="A96" s="240" t="s">
        <v>338</v>
      </c>
      <c r="B96" s="234" t="s">
        <v>340</v>
      </c>
      <c r="C96" s="234"/>
      <c r="D96" s="234"/>
      <c r="E96" s="234"/>
      <c r="F96" s="234"/>
      <c r="G96" s="234"/>
      <c r="H96" s="234"/>
      <c r="I96" s="234"/>
      <c r="J96" s="234"/>
    </row>
    <row r="97" spans="1:10" x14ac:dyDescent="0.25">
      <c r="A97" s="240" t="str">
        <f>"; sergeant"</f>
        <v>; sergeant</v>
      </c>
      <c r="B97" s="234" t="s">
        <v>340</v>
      </c>
      <c r="C97" s="234"/>
      <c r="D97" s="234"/>
      <c r="E97" s="234"/>
      <c r="F97" s="234"/>
      <c r="G97" s="234"/>
      <c r="H97" s="234"/>
      <c r="I97" s="234"/>
      <c r="J97" s="234"/>
    </row>
    <row r="98" spans="1:10" x14ac:dyDescent="0.25">
      <c r="A98" s="240" t="str">
        <f ca="1">"+SoldierRanks=(  aAbilityTree=( (AbilityName="""&amp;VLOOKUP(INDIRECT("F21"),Abilities,2,FALSE)&amp;""""&amp;IF(VLOOKUP(INDIRECT("F21"),Abilities,3,FALSE)="","",", ApplyToWeaponSlot=eInvSlot_"&amp;VLOOKUP(INDIRECT("F21"),Abilities,3,FALSE))&amp;"), \\"</f>
        <v>+SoldierRanks=(  aAbilityTree=( (AbilityName="Flashbanger"), \\</v>
      </c>
      <c r="B98" s="234" t="s">
        <v>340</v>
      </c>
      <c r="C98" s="234"/>
      <c r="D98" s="234"/>
      <c r="E98" s="234"/>
      <c r="F98" s="234"/>
      <c r="G98" s="234"/>
      <c r="H98" s="234"/>
      <c r="I98" s="234"/>
      <c r="J98" s="234"/>
    </row>
    <row r="99" spans="1:10" x14ac:dyDescent="0.25">
      <c r="A99" s="240" t="str">
        <f ca="1">IF(INDIRECT("I21")="","\\","(AbilityName="""&amp;VLOOKUP(INDIRECT("I21"),Abilities,2,FALSE)&amp;""""&amp;IF(VLOOKUP(INDIRECT("I21"),Abilities,3,FALSE)="","",", ApplyToWeaponSlot=eInvSlot_"&amp;VLOOKUP(INDIRECT("I21"),Abilities,3,FALSE))&amp;"), \\")</f>
        <v>(AbilityName=" "), \\</v>
      </c>
      <c r="B99" s="234" t="s">
        <v>340</v>
      </c>
      <c r="C99" s="234"/>
      <c r="D99" s="234"/>
      <c r="E99" s="234"/>
      <c r="F99" s="234"/>
      <c r="G99" s="234"/>
      <c r="H99" s="234"/>
      <c r="I99" s="234"/>
      <c r="J99" s="234"/>
    </row>
    <row r="100" spans="1:10" x14ac:dyDescent="0.25">
      <c r="A100" s="240" t="str">
        <f ca="1">IF(INDIRECT("L21")="","\\","(AbilityName="""&amp;VLOOKUP(INDIRECT("L21"),Abilities,2,FALSE)&amp;""""&amp;IF(VLOOKUP(INDIRECT("L21"),Abilities,3,FALSE)="","",", ApplyToWeaponSlot=eInvSlot_"&amp;VLOOKUP(INDIRECT("L21"),Abilities,3,FALSE))&amp;"), \\")</f>
        <v>(AbilityName="ShadowOps_DisablingShot", ApplyToWeaponSlot=eInvSlot_PrimaryWeapon), \\</v>
      </c>
      <c r="B100" s="234" t="s">
        <v>340</v>
      </c>
      <c r="C100" s="234"/>
      <c r="D100" s="234"/>
      <c r="E100" s="234"/>
      <c r="F100" s="234"/>
      <c r="G100" s="234"/>
      <c r="H100" s="234"/>
      <c r="I100" s="234"/>
      <c r="J100" s="234"/>
    </row>
    <row r="101" spans="1:10" x14ac:dyDescent="0.25">
      <c r="A101" s="240" t="s">
        <v>337</v>
      </c>
      <c r="B101" s="234" t="s">
        <v>340</v>
      </c>
      <c r="C101" s="234"/>
      <c r="D101" s="234"/>
      <c r="E101" s="234"/>
      <c r="F101" s="234"/>
      <c r="G101" s="234"/>
      <c r="H101" s="234"/>
      <c r="I101" s="234"/>
      <c r="J101" s="234"/>
    </row>
    <row r="102" spans="1:10" x14ac:dyDescent="0.25">
      <c r="A102" s="240"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234" t="s">
        <v>340</v>
      </c>
      <c r="C102" s="234"/>
      <c r="D102" s="234"/>
      <c r="E102" s="234"/>
      <c r="F102" s="234"/>
      <c r="G102" s="234"/>
      <c r="H102" s="234"/>
      <c r="I102" s="234"/>
      <c r="J102" s="234"/>
    </row>
    <row r="103" spans="1:10" x14ac:dyDescent="0.25">
      <c r="A103" s="240" t="s">
        <v>338</v>
      </c>
      <c r="B103" s="234" t="s">
        <v>340</v>
      </c>
      <c r="C103" s="234"/>
      <c r="D103" s="234"/>
      <c r="E103" s="234"/>
      <c r="F103" s="234"/>
      <c r="G103" s="234"/>
      <c r="H103" s="234"/>
      <c r="I103" s="234"/>
      <c r="J103" s="234"/>
    </row>
    <row r="104" spans="1:10" x14ac:dyDescent="0.25">
      <c r="A104" s="240" t="str">
        <f>"; staff sergeant"</f>
        <v>; staff sergeant</v>
      </c>
      <c r="B104" s="234" t="s">
        <v>340</v>
      </c>
      <c r="C104" s="234"/>
      <c r="D104" s="234"/>
      <c r="E104" s="234"/>
      <c r="F104" s="234"/>
      <c r="G104" s="234"/>
      <c r="H104" s="234"/>
      <c r="I104" s="234"/>
      <c r="J104" s="234"/>
    </row>
    <row r="105" spans="1:10" x14ac:dyDescent="0.25">
      <c r="A105" s="240" t="str">
        <f ca="1">"+SoldierRanks=(  aAbilityTree=( (AbilityName="""&amp;VLOOKUP(INDIRECT("F25"),Abilities,2,FALSE)&amp;""""&amp;IF(VLOOKUP(INDIRECT("F25"),Abilities,3,FALSE)="","",", ApplyToWeaponSlot=eInvSlot_"&amp;VLOOKUP(INDIRECT("F25"),Abilities,3,FALSE))&amp;"), \\"</f>
        <v>+SoldierRanks=(  aAbilityTree=( (AbilityName="StunGunner", ApplyToWeaponSlot=eInvSlot_SecondaryWeapon), \\</v>
      </c>
      <c r="B105" s="234" t="s">
        <v>340</v>
      </c>
      <c r="C105" s="234"/>
      <c r="D105" s="234"/>
      <c r="E105" s="234"/>
      <c r="F105" s="234"/>
      <c r="G105" s="234"/>
      <c r="H105" s="234"/>
      <c r="I105" s="234"/>
      <c r="J105" s="234"/>
    </row>
    <row r="106" spans="1:10" x14ac:dyDescent="0.25">
      <c r="A106" s="240" t="str">
        <f ca="1">IF(INDIRECT("I25")="","\\","(AbilityName="""&amp;VLOOKUP(INDIRECT("I25"),Abilities,2,FALSE)&amp;""""&amp;IF(VLOOKUP(INDIRECT("I25"),Abilities,3,FALSE)="","",", ApplyToWeaponSlot=eInvSlot_"&amp;VLOOKUP(INDIRECT("I25"),Abilities,3,FALSE))&amp;"), \\")</f>
        <v>(AbilityName=" "), \\</v>
      </c>
      <c r="B106" s="234" t="s">
        <v>340</v>
      </c>
      <c r="C106" s="234"/>
      <c r="D106" s="234"/>
      <c r="E106" s="234"/>
      <c r="F106" s="234"/>
      <c r="G106" s="234"/>
      <c r="H106" s="234"/>
      <c r="I106" s="234"/>
      <c r="J106" s="234"/>
    </row>
    <row r="107" spans="1:10" x14ac:dyDescent="0.25">
      <c r="A107" s="240" t="str">
        <f ca="1">IF(INDIRECT("L25")="","\\","(AbilityName="""&amp;VLOOKUP(INDIRECT("L25"),Abilities,2,FALSE)&amp;""""&amp;IF(VLOOKUP(INDIRECT("L25"),Abilities,3,FALSE)="","",", ApplyToWeaponSlot=eInvSlot_"&amp;VLOOKUP(INDIRECT("L25"),Abilities,3,FALSE))&amp;"), \\")</f>
        <v>(AbilityName="ShadowOps_Fearsome"), \\</v>
      </c>
      <c r="B107" s="234" t="s">
        <v>340</v>
      </c>
      <c r="C107" s="234"/>
      <c r="D107" s="234"/>
      <c r="E107" s="234"/>
      <c r="F107" s="234"/>
      <c r="G107" s="234"/>
      <c r="H107" s="234"/>
      <c r="I107" s="234"/>
      <c r="J107" s="234"/>
    </row>
    <row r="108" spans="1:10" x14ac:dyDescent="0.25">
      <c r="A108" s="240" t="s">
        <v>337</v>
      </c>
      <c r="B108" s="234" t="s">
        <v>340</v>
      </c>
      <c r="C108" s="234"/>
      <c r="D108" s="234"/>
      <c r="E108" s="234"/>
      <c r="F108" s="234"/>
      <c r="G108" s="234"/>
      <c r="H108" s="234"/>
      <c r="I108" s="234"/>
      <c r="J108" s="234"/>
    </row>
    <row r="109" spans="1:10" x14ac:dyDescent="0.25">
      <c r="A109" s="240"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(StatType=eStat_Hacking,StatAmount=0)),\\</v>
      </c>
      <c r="B109" s="234" t="s">
        <v>340</v>
      </c>
      <c r="C109" s="234"/>
      <c r="D109" s="234"/>
      <c r="E109" s="234"/>
      <c r="F109" s="234"/>
      <c r="G109" s="234"/>
      <c r="H109" s="234"/>
      <c r="I109" s="234"/>
      <c r="J109" s="234"/>
    </row>
    <row r="110" spans="1:10" x14ac:dyDescent="0.25">
      <c r="A110" s="240" t="s">
        <v>338</v>
      </c>
      <c r="B110" s="234" t="s">
        <v>340</v>
      </c>
      <c r="C110" s="234"/>
      <c r="D110" s="234"/>
      <c r="E110" s="234"/>
      <c r="F110" s="234"/>
      <c r="G110" s="234"/>
      <c r="H110" s="234"/>
      <c r="I110" s="234"/>
      <c r="J110" s="234"/>
    </row>
    <row r="111" spans="1:10" x14ac:dyDescent="0.25">
      <c r="A111" s="240" t="str">
        <f>"; tech sergeant"</f>
        <v>; tech sergeant</v>
      </c>
      <c r="B111" s="234" t="s">
        <v>340</v>
      </c>
      <c r="C111" s="234"/>
      <c r="D111" s="234"/>
      <c r="E111" s="234"/>
      <c r="F111" s="234"/>
      <c r="G111" s="234"/>
      <c r="H111" s="234"/>
      <c r="I111" s="234"/>
      <c r="J111" s="234"/>
    </row>
    <row r="112" spans="1:10" x14ac:dyDescent="0.25">
      <c r="A112" s="240" t="str">
        <f ca="1">"+SoldierRanks=(  aAbilityTree=( (AbilityName="""&amp;VLOOKUP(INDIRECT("F29"),Abilities,2,FALSE)&amp;""""&amp;IF(VLOOKUP(INDIRECT("F29"),Abilities,3,FALSE)="","",", ApplyToWeaponSlot=eInvSlot_"&amp;VLOOKUP(INDIRECT("F29"),Abilities,3,FALSE))&amp;"), \\"</f>
        <v>+SoldierRanks=(  aAbilityTree=( (AbilityName="StingGrenades", ApplyToWeaponSlot=eInvSlot_SecondaryWeapon), \\</v>
      </c>
      <c r="B112" s="234" t="s">
        <v>340</v>
      </c>
      <c r="C112" s="234"/>
      <c r="D112" s="234"/>
      <c r="E112" s="234"/>
      <c r="F112" s="234"/>
      <c r="G112" s="234"/>
      <c r="H112" s="234"/>
      <c r="I112" s="234"/>
      <c r="J112" s="234"/>
    </row>
    <row r="113" spans="1:10" x14ac:dyDescent="0.25">
      <c r="A113" s="240" t="str">
        <f ca="1">IF(INDIRECT("I29")="","\\","(AbilityName="""&amp;VLOOKUP(INDIRECT("I29"),Abilities,2,FALSE)&amp;""""&amp;IF(VLOOKUP(INDIRECT("I29"),Abilities,3,FALSE)="","",", ApplyToWeaponSlot=eInvSlot_"&amp;VLOOKUP(INDIRECT("I29"),Abilities,3,FALSE))&amp;"), \\")</f>
        <v>(AbilityName=" "), \\</v>
      </c>
      <c r="B113" s="234" t="s">
        <v>340</v>
      </c>
      <c r="C113" s="234"/>
      <c r="D113" s="234"/>
      <c r="E113" s="234"/>
      <c r="F113" s="234"/>
      <c r="G113" s="234"/>
      <c r="H113" s="234"/>
      <c r="I113" s="234"/>
      <c r="J113" s="234"/>
    </row>
    <row r="114" spans="1:10" x14ac:dyDescent="0.25">
      <c r="A114" s="240" t="str">
        <f ca="1">IF(INDIRECT("L29")="","\\","(AbilityName="""&amp;VLOOKUP(INDIRECT("L29"),Abilities,2,FALSE)&amp;""""&amp;IF(VLOOKUP(INDIRECT("L29"),Abilities,3,FALSE)="","",", ApplyToWeaponSlot=eInvSlot_"&amp;VLOOKUP(INDIRECT("L29"),Abilities,3,FALSE))&amp;"), \\")</f>
        <v>(AbilityName="IronCurtain", ApplyToWeaponSlot=eInvSlot_PrimaryWeapon), \\</v>
      </c>
      <c r="B114" s="234" t="s">
        <v>340</v>
      </c>
      <c r="C114" s="234"/>
      <c r="D114" s="234"/>
      <c r="E114" s="234"/>
      <c r="F114" s="234"/>
      <c r="G114" s="234"/>
      <c r="H114" s="234"/>
      <c r="I114" s="234"/>
      <c r="J114" s="234"/>
    </row>
    <row r="115" spans="1:10" x14ac:dyDescent="0.25">
      <c r="A115" s="240" t="s">
        <v>337</v>
      </c>
      <c r="B115" s="234" t="s">
        <v>340</v>
      </c>
      <c r="C115" s="234"/>
      <c r="D115" s="234"/>
      <c r="E115" s="234"/>
      <c r="F115" s="234"/>
      <c r="G115" s="234"/>
      <c r="H115" s="234"/>
      <c r="I115" s="234"/>
      <c r="J115" s="234"/>
    </row>
    <row r="116" spans="1:10" x14ac:dyDescent="0.25">
      <c r="A116" s="240"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234" t="s">
        <v>340</v>
      </c>
      <c r="C116" s="234"/>
      <c r="D116" s="234"/>
      <c r="E116" s="234"/>
      <c r="F116" s="234"/>
      <c r="G116" s="234"/>
      <c r="H116" s="234"/>
      <c r="I116" s="234"/>
      <c r="J116" s="234"/>
    </row>
    <row r="117" spans="1:10" x14ac:dyDescent="0.25">
      <c r="A117" s="240" t="s">
        <v>338</v>
      </c>
      <c r="B117" s="234" t="s">
        <v>340</v>
      </c>
      <c r="C117" s="234"/>
      <c r="D117" s="234"/>
      <c r="E117" s="234"/>
      <c r="F117" s="234"/>
      <c r="G117" s="234"/>
      <c r="H117" s="234"/>
      <c r="I117" s="234"/>
      <c r="J117" s="234"/>
    </row>
    <row r="118" spans="1:10" x14ac:dyDescent="0.25">
      <c r="A118" s="240" t="str">
        <f>";  gunnery sergeant"</f>
        <v>;  gunnery sergeant</v>
      </c>
      <c r="B118" s="234" t="s">
        <v>340</v>
      </c>
      <c r="C118" s="234"/>
      <c r="D118" s="234"/>
      <c r="E118" s="234"/>
      <c r="F118" s="234"/>
      <c r="G118" s="234"/>
      <c r="H118" s="234"/>
      <c r="I118" s="234"/>
      <c r="J118" s="234"/>
    </row>
    <row r="119" spans="1:10" x14ac:dyDescent="0.25">
      <c r="A119" s="240" t="str">
        <f ca="1">"+SoldierRanks=(  aAbilityTree=( (AbilityName="""&amp;VLOOKUP(INDIRECT("F33"),Abilities,2,FALSE)&amp;""""&amp;IF(VLOOKUP(INDIRECT("F33"),Abilities,3,FALSE)="","",", ApplyToWeaponSlot=eInvSlot_"&amp;VLOOKUP(INDIRECT("F33"),Abilities,3,FALSE))&amp;"), \\"</f>
        <v>+SoldierRanks=(  aAbilityTree=( (AbilityName=" "), \\</v>
      </c>
      <c r="B119" s="234" t="s">
        <v>340</v>
      </c>
      <c r="C119" s="234"/>
      <c r="D119" s="234"/>
      <c r="E119" s="234"/>
      <c r="F119" s="234"/>
      <c r="G119" s="234"/>
      <c r="H119" s="234"/>
      <c r="I119" s="234"/>
      <c r="J119" s="234"/>
    </row>
    <row r="120" spans="1:10" x14ac:dyDescent="0.25">
      <c r="A120" s="240" t="str">
        <f ca="1">IF(INDIRECT("I33")="","\\","(AbilityName="""&amp;VLOOKUP(INDIRECT("I33"),Abilities,2,FALSE)&amp;""""&amp;IF(VLOOKUP(INDIRECT("I33"),Abilities,3,FALSE)="","",", ApplyToWeaponSlot=eInvSlot_"&amp;VLOOKUP(INDIRECT("I33"),Abilities,3,FALSE))&amp;"), \\")</f>
        <v>(AbilityName="HitAndRun", ApplyToWeaponSlot=eInvSlot_PrimaryWeapon), \\</v>
      </c>
      <c r="B120" s="234" t="s">
        <v>340</v>
      </c>
      <c r="C120" s="234"/>
      <c r="D120" s="234"/>
      <c r="E120" s="234"/>
      <c r="F120" s="234"/>
      <c r="G120" s="234"/>
      <c r="H120" s="234"/>
      <c r="I120" s="234"/>
      <c r="J120" s="234"/>
    </row>
    <row r="121" spans="1:10" x14ac:dyDescent="0.25">
      <c r="A121" s="240" t="str">
        <f ca="1">IF(INDIRECT("L33")="","\\","(AbilityName="""&amp;VLOOKUP(INDIRECT("L33"),Abilities,2,FALSE)&amp;""""&amp;IF(VLOOKUP(INDIRECT("L33"),Abilities,3,FALSE)="","",", ApplyToWeaponSlot=eInvSlot_"&amp;VLOOKUP(INDIRECT("L33"),Abilities,3,FALSE))&amp;"), \\")</f>
        <v>(AbilityName=" "), \\</v>
      </c>
      <c r="B121" s="234" t="s">
        <v>340</v>
      </c>
      <c r="C121" s="234"/>
      <c r="D121" s="234"/>
      <c r="E121" s="234"/>
      <c r="F121" s="234"/>
      <c r="G121" s="234"/>
      <c r="H121" s="234"/>
      <c r="I121" s="234"/>
      <c r="J121" s="234"/>
    </row>
    <row r="122" spans="1:10" x14ac:dyDescent="0.25">
      <c r="A122" s="240" t="s">
        <v>337</v>
      </c>
      <c r="B122" s="234" t="s">
        <v>340</v>
      </c>
      <c r="C122" s="234"/>
      <c r="D122" s="234"/>
      <c r="E122" s="234"/>
      <c r="F122" s="234"/>
      <c r="G122" s="234"/>
      <c r="H122" s="234"/>
      <c r="I122" s="234"/>
      <c r="J122" s="234"/>
    </row>
    <row r="123" spans="1:10" x14ac:dyDescent="0.25">
      <c r="A123" s="240"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234" t="s">
        <v>340</v>
      </c>
      <c r="C123" s="234"/>
      <c r="D123" s="234"/>
      <c r="E123" s="234"/>
      <c r="F123" s="234"/>
      <c r="G123" s="234"/>
      <c r="H123" s="234"/>
      <c r="I123" s="234"/>
      <c r="J123" s="234"/>
    </row>
    <row r="124" spans="1:10" x14ac:dyDescent="0.25">
      <c r="A124" s="240" t="s">
        <v>338</v>
      </c>
      <c r="B124" s="234" t="s">
        <v>340</v>
      </c>
      <c r="C124" s="234"/>
      <c r="D124" s="234"/>
      <c r="E124" s="234"/>
      <c r="F124" s="234"/>
      <c r="G124" s="234"/>
      <c r="H124" s="234"/>
      <c r="I124" s="234"/>
      <c r="J124" s="234"/>
    </row>
    <row r="125" spans="1:10" x14ac:dyDescent="0.25">
      <c r="A125" s="240" t="str">
        <f>"; master sergeant"</f>
        <v>; master sergeant</v>
      </c>
      <c r="B125" s="234" t="s">
        <v>340</v>
      </c>
      <c r="C125" s="234"/>
      <c r="D125" s="234"/>
      <c r="E125" s="234"/>
      <c r="F125" s="234"/>
      <c r="G125" s="234"/>
      <c r="H125" s="234"/>
      <c r="I125" s="234"/>
      <c r="J125" s="234"/>
    </row>
    <row r="126" spans="1:10" x14ac:dyDescent="0.25">
      <c r="A126" s="240" t="str">
        <f ca="1">"+SoldierRanks=(  aAbilityTree=( (AbilityName="""&amp;VLOOKUP(INDIRECT("F37"),Abilities,2,FALSE)&amp;""""&amp;IF(VLOOKUP(INDIRECT("F37"),Abilities,3,FALSE)="","",", ApplyToWeaponSlot=eInvSlot_"&amp;VLOOKUP(INDIRECT("F37"),Abilities,3,FALSE))&amp;"), \\"</f>
        <v>+SoldierRanks=(  aAbilityTree=( (AbilityName="ChainLightning", ApplyToWeaponSlot=eInvSlot_SecondaryWeapon), \\</v>
      </c>
      <c r="B126" s="234" t="s">
        <v>340</v>
      </c>
      <c r="C126" s="234"/>
      <c r="D126" s="234"/>
      <c r="E126" s="234"/>
      <c r="F126" s="234"/>
      <c r="G126" s="234"/>
      <c r="H126" s="234"/>
      <c r="I126" s="234"/>
      <c r="J126" s="234"/>
    </row>
    <row r="127" spans="1:10" x14ac:dyDescent="0.25">
      <c r="A127" s="240" t="str">
        <f ca="1">IF(INDIRECT("I37")="","\\","(AbilityName="""&amp;VLOOKUP(INDIRECT("I37"),Abilities,2,FALSE)&amp;""""&amp;IF(VLOOKUP(INDIRECT("I37"),Abilities,3,FALSE)="","",", ApplyToWeaponSlot=eInvSlot_"&amp;VLOOKUP(INDIRECT("I37"),Abilities,3,FALSE))&amp;"), \\")</f>
        <v>(AbilityName=" "), \\</v>
      </c>
      <c r="B127" s="234" t="s">
        <v>340</v>
      </c>
      <c r="C127" s="234"/>
      <c r="D127" s="234"/>
      <c r="E127" s="234"/>
      <c r="F127" s="234"/>
      <c r="G127" s="234"/>
      <c r="H127" s="234"/>
      <c r="I127" s="234"/>
      <c r="J127" s="234"/>
    </row>
    <row r="128" spans="1:10" x14ac:dyDescent="0.25">
      <c r="A128" s="240" t="str">
        <f ca="1">IF(INDIRECT("L37")="","\\","(AbilityName="""&amp;VLOOKUP(INDIRECT("L37"),Abilities,2,FALSE)&amp;""""&amp;IF(VLOOKUP(INDIRECT("L37"),Abilities,3,FALSE)="","",", ApplyToWeaponSlot=eInvSlot_"&amp;VLOOKUP(INDIRECT("L37"),Abilities,3,FALSE))&amp;"), \\")</f>
        <v>(AbilityName="BulletShred", ApplyToWeaponSlot=eInvSlot_PrimaryWeapon), \\</v>
      </c>
      <c r="B128" s="234" t="s">
        <v>340</v>
      </c>
      <c r="C128" s="234"/>
      <c r="D128" s="234"/>
      <c r="E128" s="234"/>
      <c r="F128" s="234"/>
      <c r="G128" s="234"/>
      <c r="H128" s="234"/>
      <c r="I128" s="234"/>
      <c r="J128" s="234"/>
    </row>
    <row r="129" spans="1:10" x14ac:dyDescent="0.25">
      <c r="A129" s="240" t="s">
        <v>337</v>
      </c>
      <c r="B129" s="234" t="s">
        <v>340</v>
      </c>
      <c r="C129" s="234"/>
      <c r="D129" s="234"/>
      <c r="E129" s="234"/>
      <c r="F129" s="234"/>
      <c r="G129" s="234"/>
      <c r="H129" s="234"/>
      <c r="I129" s="234"/>
      <c r="J129" s="234"/>
    </row>
    <row r="130" spans="1:10" x14ac:dyDescent="0.25">
      <c r="A130" s="240"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234" t="s">
        <v>340</v>
      </c>
      <c r="C130" s="234"/>
      <c r="D130" s="234"/>
      <c r="E130" s="234"/>
      <c r="F130" s="234"/>
      <c r="G130" s="234"/>
      <c r="H130" s="234"/>
      <c r="I130" s="234"/>
      <c r="J130" s="234"/>
    </row>
    <row r="131" spans="1:10" ht="15.75" thickBot="1" x14ac:dyDescent="0.3">
      <c r="A131" s="241" t="s">
        <v>338</v>
      </c>
      <c r="B131" s="234" t="s">
        <v>340</v>
      </c>
      <c r="C131" s="234"/>
      <c r="D131" s="234"/>
      <c r="E131" s="234"/>
      <c r="F131" s="234"/>
      <c r="G131" s="234"/>
      <c r="H131" s="234"/>
      <c r="I131" s="234"/>
      <c r="J131" s="234"/>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I37:J37"/>
    <mergeCell ref="F17:G17"/>
    <mergeCell ref="I17:J17"/>
    <mergeCell ref="L17:M1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L37:M37"/>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A40:B41"/>
    <mergeCell ref="C40:E41"/>
    <mergeCell ref="A42:B42"/>
    <mergeCell ref="C42:D42"/>
    <mergeCell ref="E42:F42"/>
    <mergeCell ref="F38:H39"/>
    <mergeCell ref="I38:K39"/>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6737"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6738"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6739"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6740"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6741"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6742"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6743"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6744"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6745"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6746"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6747"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6748"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6749"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F4</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Z36" sqref="Z36"/>
    </sheetView>
  </sheetViews>
  <sheetFormatPr defaultRowHeight="15" x14ac:dyDescent="0.25"/>
  <cols>
    <col min="2" max="2" width="9" customWidth="1"/>
    <col min="6" max="6" width="9" customWidth="1"/>
    <col min="15" max="15" width="10.5703125" bestFit="1" customWidth="1"/>
  </cols>
  <sheetData>
    <row r="1" spans="1:25" ht="18.75" customHeight="1" x14ac:dyDescent="0.25">
      <c r="A1" s="90" t="s">
        <v>308</v>
      </c>
      <c r="B1" s="91"/>
      <c r="C1" s="94" t="s">
        <v>405</v>
      </c>
      <c r="D1" s="95"/>
      <c r="E1" s="95"/>
      <c r="F1" s="98" t="s">
        <v>324</v>
      </c>
      <c r="G1" s="99"/>
      <c r="H1" s="99"/>
      <c r="I1" s="99"/>
      <c r="J1" s="99"/>
      <c r="K1" s="99"/>
      <c r="L1" s="99"/>
      <c r="M1" s="99"/>
      <c r="N1" s="99"/>
      <c r="O1" s="100" t="s">
        <v>325</v>
      </c>
      <c r="P1" s="101"/>
      <c r="Q1" s="101"/>
      <c r="R1" s="101"/>
      <c r="S1" s="101"/>
      <c r="T1" s="101"/>
      <c r="U1" s="102"/>
      <c r="V1" s="196" t="s">
        <v>776</v>
      </c>
      <c r="W1" s="197"/>
      <c r="X1" s="197"/>
      <c r="Y1" s="197"/>
    </row>
    <row r="2" spans="1:25" ht="15" customHeight="1" thickBot="1" x14ac:dyDescent="0.3">
      <c r="A2" s="92"/>
      <c r="B2" s="93"/>
      <c r="C2" s="96"/>
      <c r="D2" s="97"/>
      <c r="E2" s="97"/>
      <c r="F2" s="98"/>
      <c r="G2" s="99"/>
      <c r="H2" s="99"/>
      <c r="I2" s="99"/>
      <c r="J2" s="99"/>
      <c r="K2" s="99"/>
      <c r="L2" s="99"/>
      <c r="M2" s="99"/>
      <c r="N2" s="99"/>
      <c r="O2" s="103"/>
      <c r="P2" s="104"/>
      <c r="Q2" s="104"/>
      <c r="R2" s="104"/>
      <c r="S2" s="104"/>
      <c r="T2" s="104"/>
      <c r="U2" s="105"/>
      <c r="V2" s="198"/>
      <c r="W2" s="199"/>
      <c r="X2" s="199"/>
      <c r="Y2" s="199"/>
    </row>
    <row r="3" spans="1:25" ht="18" thickBot="1" x14ac:dyDescent="0.35">
      <c r="A3" s="106" t="s">
        <v>309</v>
      </c>
      <c r="B3" s="107"/>
      <c r="C3" s="108" t="str">
        <f>Output!$L$1&amp;SUBSTITUTE(C1," ","")</f>
        <v>LWD_Protector</v>
      </c>
      <c r="D3" s="109"/>
      <c r="E3" s="109"/>
      <c r="F3" s="110" t="s">
        <v>12</v>
      </c>
      <c r="G3" s="111"/>
      <c r="H3" s="111"/>
      <c r="I3" s="111"/>
      <c r="J3" s="111"/>
      <c r="K3" s="111"/>
      <c r="L3" s="111"/>
      <c r="M3" s="111"/>
      <c r="N3" s="112"/>
      <c r="O3" s="15"/>
      <c r="P3" s="16" t="s">
        <v>79</v>
      </c>
      <c r="Q3" s="17" t="s">
        <v>326</v>
      </c>
      <c r="R3" s="17" t="s">
        <v>328</v>
      </c>
      <c r="S3" s="17" t="s">
        <v>327</v>
      </c>
      <c r="T3" s="17" t="s">
        <v>330</v>
      </c>
      <c r="U3" s="18" t="s">
        <v>329</v>
      </c>
      <c r="V3" s="200" t="s">
        <v>810</v>
      </c>
      <c r="W3" s="201"/>
      <c r="X3" s="200" t="s">
        <v>811</v>
      </c>
      <c r="Y3" s="201"/>
    </row>
    <row r="4" spans="1:25" ht="18" thickTop="1" x14ac:dyDescent="0.3">
      <c r="A4" s="113" t="s">
        <v>310</v>
      </c>
      <c r="B4" s="114"/>
      <c r="C4" s="115" t="s">
        <v>314</v>
      </c>
      <c r="D4" s="116"/>
      <c r="E4" s="116"/>
      <c r="F4" s="119" t="s">
        <v>88</v>
      </c>
      <c r="G4" s="120"/>
      <c r="H4" s="4" t="str">
        <f>IFERROR(VLOOKUP(F4,Abilities,4,FALSE),"")</f>
        <v>XCOM2</v>
      </c>
      <c r="I4" s="121" t="s">
        <v>729</v>
      </c>
      <c r="J4" s="120"/>
      <c r="K4" s="35" t="str">
        <f>IFERROR(VLOOKUP(I4,Abilities,4,FALSE),"")</f>
        <v>SOLW</v>
      </c>
      <c r="L4" s="122"/>
      <c r="M4" s="120"/>
      <c r="N4" s="10" t="str">
        <f>IFERROR(VLOOKUP(L4,Abilities,4,FALSE),"")</f>
        <v/>
      </c>
      <c r="O4" s="19" t="s">
        <v>12</v>
      </c>
      <c r="P4" s="4">
        <v>2</v>
      </c>
      <c r="Q4" s="20">
        <v>0</v>
      </c>
      <c r="R4" s="20"/>
      <c r="S4" s="4">
        <v>0</v>
      </c>
      <c r="T4" s="4">
        <v>1</v>
      </c>
      <c r="U4" s="10"/>
      <c r="V4" s="192" t="s">
        <v>777</v>
      </c>
      <c r="W4" s="193"/>
      <c r="X4" s="192" t="s">
        <v>801</v>
      </c>
      <c r="Y4" s="193"/>
    </row>
    <row r="5" spans="1:25" ht="15" customHeight="1" x14ac:dyDescent="0.25">
      <c r="A5" s="6"/>
      <c r="B5" s="5" t="b">
        <v>1</v>
      </c>
      <c r="C5" s="117"/>
      <c r="D5" s="118"/>
      <c r="E5" s="118"/>
      <c r="F5" s="123" t="str">
        <f>IFERROR(VLOOKUP(F4,Abilities,7,FALSE),"")</f>
        <v>The Grenadier uses a grenade launcher to fire grenades rather than throwing them. This allows for greater grenade range and grenade capacity.The grenadier gains an extra inventory slot that may only be used for grenades.</v>
      </c>
      <c r="G5" s="124"/>
      <c r="H5" s="125"/>
      <c r="I5" s="129" t="str">
        <f>IFERROR(VLOOKUP(I4,Abilities,7,FALSE),"")</f>
        <v>You have one free smoke grenade use on every mission. Launching or throwing a smoke grenade as your first action does not end your turn.</v>
      </c>
      <c r="J5" s="130"/>
      <c r="K5" s="131"/>
      <c r="L5" s="130" t="str">
        <f>IFERROR(VLOOKUP(L4,Abilities,7,FALSE),"")</f>
        <v/>
      </c>
      <c r="M5" s="130"/>
      <c r="N5" s="135"/>
      <c r="O5" s="26" t="s">
        <v>456</v>
      </c>
      <c r="P5" s="27">
        <v>2</v>
      </c>
      <c r="Q5" s="28">
        <v>1</v>
      </c>
      <c r="R5" s="28"/>
      <c r="S5" s="27">
        <v>0</v>
      </c>
      <c r="T5" s="27"/>
      <c r="U5" s="29"/>
      <c r="V5" s="190" t="s">
        <v>900</v>
      </c>
      <c r="W5" s="191"/>
      <c r="X5" s="190" t="s">
        <v>802</v>
      </c>
      <c r="Y5" s="191"/>
    </row>
    <row r="6" spans="1:25" ht="15" customHeight="1" x14ac:dyDescent="0.25">
      <c r="A6" s="6"/>
      <c r="B6" s="5" t="b">
        <v>0</v>
      </c>
      <c r="C6" s="137" t="s">
        <v>315</v>
      </c>
      <c r="D6" s="138"/>
      <c r="E6" s="11">
        <v>0</v>
      </c>
      <c r="F6" s="126"/>
      <c r="G6" s="127"/>
      <c r="H6" s="128"/>
      <c r="I6" s="132"/>
      <c r="J6" s="133"/>
      <c r="K6" s="134"/>
      <c r="L6" s="133"/>
      <c r="M6" s="133"/>
      <c r="N6" s="136"/>
      <c r="O6" s="19" t="s">
        <v>15</v>
      </c>
      <c r="P6" s="4">
        <v>2</v>
      </c>
      <c r="Q6" s="20">
        <v>0</v>
      </c>
      <c r="R6" s="20"/>
      <c r="S6" s="4">
        <v>0</v>
      </c>
      <c r="T6" s="4"/>
      <c r="U6" s="10"/>
      <c r="V6" s="190" t="s">
        <v>778</v>
      </c>
      <c r="W6" s="191"/>
      <c r="X6" s="192" t="s">
        <v>803</v>
      </c>
      <c r="Y6" s="193"/>
    </row>
    <row r="7" spans="1:25" ht="15" customHeight="1" x14ac:dyDescent="0.25">
      <c r="A7" s="6"/>
      <c r="B7" s="5" t="b">
        <v>0</v>
      </c>
      <c r="C7" s="137" t="s">
        <v>316</v>
      </c>
      <c r="D7" s="138"/>
      <c r="E7" s="11">
        <v>4</v>
      </c>
      <c r="F7" s="139"/>
      <c r="G7" s="140"/>
      <c r="H7" s="4" t="str">
        <f>IFERROR(VLOOKUP(F7,Abilities,4,FALSE),"")</f>
        <v/>
      </c>
      <c r="I7" s="141"/>
      <c r="J7" s="140"/>
      <c r="K7" s="4" t="str">
        <f>IFERROR(VLOOKUP(I7,Abilities,4,FALSE),"")</f>
        <v/>
      </c>
      <c r="L7" s="142"/>
      <c r="M7" s="140"/>
      <c r="N7" s="10" t="str">
        <f>IFERROR(VLOOKUP(L7,Abilities,4,FALSE),"")</f>
        <v/>
      </c>
      <c r="O7" s="26" t="s">
        <v>21</v>
      </c>
      <c r="P7" s="27">
        <v>2</v>
      </c>
      <c r="Q7" s="28">
        <v>1</v>
      </c>
      <c r="R7" s="28"/>
      <c r="S7" s="27">
        <v>0</v>
      </c>
      <c r="T7" s="27"/>
      <c r="U7" s="29"/>
      <c r="V7" s="192" t="s">
        <v>901</v>
      </c>
      <c r="W7" s="193"/>
      <c r="X7" s="190" t="s">
        <v>804</v>
      </c>
      <c r="Y7" s="191"/>
    </row>
    <row r="8" spans="1:25" ht="15" customHeight="1" thickBot="1" x14ac:dyDescent="0.3">
      <c r="A8" s="6"/>
      <c r="B8" s="5" t="b">
        <v>0</v>
      </c>
      <c r="C8" s="137" t="s">
        <v>317</v>
      </c>
      <c r="D8" s="143"/>
      <c r="E8" s="12" t="s">
        <v>769</v>
      </c>
      <c r="F8" s="144" t="str">
        <f>IFERROR(VLOOKUP(F7,Abilities,7,FALSE),"")</f>
        <v/>
      </c>
      <c r="G8" s="130"/>
      <c r="H8" s="131"/>
      <c r="I8" s="129" t="str">
        <f>IFERROR(VLOOKUP(I7,Abilities,7,FALSE),"")</f>
        <v/>
      </c>
      <c r="J8" s="130"/>
      <c r="K8" s="131"/>
      <c r="L8" s="130" t="str">
        <f>IFERROR(VLOOKUP(L7,Abilities,7,FALSE),"")</f>
        <v/>
      </c>
      <c r="M8" s="130"/>
      <c r="N8" s="135"/>
      <c r="O8" s="21" t="s">
        <v>457</v>
      </c>
      <c r="P8" s="4">
        <v>2</v>
      </c>
      <c r="Q8" s="20">
        <v>0</v>
      </c>
      <c r="R8" s="20"/>
      <c r="S8" s="4">
        <v>0</v>
      </c>
      <c r="T8" s="4"/>
      <c r="U8" s="10"/>
      <c r="V8" s="190" t="s">
        <v>780</v>
      </c>
      <c r="W8" s="191"/>
      <c r="X8" s="192" t="s">
        <v>903</v>
      </c>
      <c r="Y8" s="193"/>
    </row>
    <row r="9" spans="1:25" ht="15.75" thickBot="1" x14ac:dyDescent="0.3">
      <c r="A9" s="6"/>
      <c r="B9" s="5" t="b">
        <v>0</v>
      </c>
      <c r="C9" s="137" t="s">
        <v>319</v>
      </c>
      <c r="D9" s="143"/>
      <c r="E9" s="12">
        <v>1</v>
      </c>
      <c r="F9" s="145"/>
      <c r="G9" s="133"/>
      <c r="H9" s="134"/>
      <c r="I9" s="146"/>
      <c r="J9" s="147"/>
      <c r="K9" s="148"/>
      <c r="L9" s="133"/>
      <c r="M9" s="133"/>
      <c r="N9" s="136"/>
      <c r="O9" s="26" t="s">
        <v>458</v>
      </c>
      <c r="P9" s="27">
        <v>2</v>
      </c>
      <c r="Q9" s="28">
        <v>1</v>
      </c>
      <c r="R9" s="28"/>
      <c r="S9" s="27">
        <v>0</v>
      </c>
      <c r="T9" s="27"/>
      <c r="U9" s="29"/>
      <c r="V9" s="192" t="s">
        <v>781</v>
      </c>
      <c r="W9" s="193"/>
      <c r="X9" s="200" t="s">
        <v>812</v>
      </c>
      <c r="Y9" s="201"/>
    </row>
    <row r="10" spans="1:25" ht="18.75" x14ac:dyDescent="0.3">
      <c r="A10" s="6"/>
      <c r="B10" s="5" t="b">
        <v>0</v>
      </c>
      <c r="C10" s="137" t="s">
        <v>318</v>
      </c>
      <c r="D10" s="143"/>
      <c r="E10" s="12">
        <v>3</v>
      </c>
      <c r="F10" s="157" t="s">
        <v>311</v>
      </c>
      <c r="G10" s="158"/>
      <c r="H10" s="159"/>
      <c r="I10" s="160" t="s">
        <v>349</v>
      </c>
      <c r="J10" s="158"/>
      <c r="K10" s="159"/>
      <c r="L10" s="158" t="s">
        <v>312</v>
      </c>
      <c r="M10" s="158"/>
      <c r="N10" s="161"/>
      <c r="O10" s="36" t="s">
        <v>459</v>
      </c>
      <c r="P10" s="37">
        <v>2</v>
      </c>
      <c r="Q10" s="37">
        <v>0</v>
      </c>
      <c r="R10" s="37"/>
      <c r="S10" s="37">
        <v>0</v>
      </c>
      <c r="T10" s="37"/>
      <c r="U10" s="38"/>
      <c r="V10" s="190" t="s">
        <v>782</v>
      </c>
      <c r="W10" s="191"/>
      <c r="X10" s="192" t="s">
        <v>806</v>
      </c>
      <c r="Y10" s="193"/>
    </row>
    <row r="11" spans="1:25" ht="15.75" customHeight="1" thickBot="1" x14ac:dyDescent="0.3">
      <c r="A11" s="6"/>
      <c r="B11" s="5" t="b">
        <v>1</v>
      </c>
      <c r="C11" s="137" t="s">
        <v>320</v>
      </c>
      <c r="D11" s="143"/>
      <c r="E11" s="12">
        <v>4</v>
      </c>
      <c r="F11" s="162" t="s">
        <v>730</v>
      </c>
      <c r="G11" s="163"/>
      <c r="H11" s="164"/>
      <c r="I11" s="165"/>
      <c r="J11" s="163"/>
      <c r="K11" s="164"/>
      <c r="L11" s="163" t="s">
        <v>731</v>
      </c>
      <c r="M11" s="163"/>
      <c r="N11" s="166"/>
      <c r="O11" s="39" t="s">
        <v>460</v>
      </c>
      <c r="P11" s="40">
        <v>2</v>
      </c>
      <c r="Q11" s="41">
        <v>1</v>
      </c>
      <c r="R11" s="41"/>
      <c r="S11" s="40">
        <v>0</v>
      </c>
      <c r="T11" s="40"/>
      <c r="U11" s="42"/>
      <c r="V11" s="192" t="s">
        <v>824</v>
      </c>
      <c r="W11" s="193"/>
      <c r="X11" s="190" t="s">
        <v>807</v>
      </c>
      <c r="Y11" s="191"/>
    </row>
    <row r="12" spans="1:25" ht="18" customHeight="1" thickBot="1" x14ac:dyDescent="0.35">
      <c r="A12" s="6"/>
      <c r="B12" s="5" t="b">
        <v>0</v>
      </c>
      <c r="C12" s="137" t="s">
        <v>321</v>
      </c>
      <c r="D12" s="143"/>
      <c r="E12" s="12">
        <v>1</v>
      </c>
      <c r="F12" s="169" t="s">
        <v>443</v>
      </c>
      <c r="G12" s="170"/>
      <c r="H12" s="170"/>
      <c r="I12" s="170"/>
      <c r="J12" s="170"/>
      <c r="K12" s="170"/>
      <c r="L12" s="170"/>
      <c r="M12" s="170"/>
      <c r="N12" s="171"/>
      <c r="O12" s="149" t="s">
        <v>813</v>
      </c>
      <c r="P12" s="150"/>
      <c r="Q12" s="150"/>
      <c r="R12" s="150"/>
      <c r="S12" s="150"/>
      <c r="T12" s="150"/>
      <c r="U12" s="151"/>
      <c r="V12" s="192" t="s">
        <v>783</v>
      </c>
      <c r="W12" s="193"/>
      <c r="X12" s="192" t="s">
        <v>808</v>
      </c>
      <c r="Y12" s="193"/>
    </row>
    <row r="13" spans="1:25" ht="16.5" thickTop="1" thickBot="1" x14ac:dyDescent="0.3">
      <c r="A13" s="6"/>
      <c r="B13" s="5" t="b">
        <v>0</v>
      </c>
      <c r="C13" s="155" t="s">
        <v>322</v>
      </c>
      <c r="D13" s="156"/>
      <c r="E13" s="13" t="s">
        <v>323</v>
      </c>
      <c r="F13" s="119" t="s">
        <v>300</v>
      </c>
      <c r="G13" s="120"/>
      <c r="H13" s="4" t="str">
        <f>IFERROR(VLOOKUP(F13,Abilities,4,FALSE),"")</f>
        <v>LW2</v>
      </c>
      <c r="I13" s="121" t="s">
        <v>962</v>
      </c>
      <c r="J13" s="120"/>
      <c r="K13" s="35" t="str">
        <f>IFERROR(VLOOKUP(I13,Abilities,4,FALSE),"")</f>
        <v>BLANK</v>
      </c>
      <c r="L13" s="122" t="s">
        <v>726</v>
      </c>
      <c r="M13" s="120"/>
      <c r="N13" s="10" t="str">
        <f>IFERROR(VLOOKUP(L13,Abilities,4,FALSE),"")</f>
        <v>LW2</v>
      </c>
      <c r="O13" s="152"/>
      <c r="P13" s="153"/>
      <c r="Q13" s="153"/>
      <c r="R13" s="153"/>
      <c r="S13" s="153"/>
      <c r="T13" s="153"/>
      <c r="U13" s="154"/>
      <c r="V13" s="192" t="s">
        <v>818</v>
      </c>
      <c r="W13" s="193"/>
      <c r="X13" s="190" t="s">
        <v>809</v>
      </c>
      <c r="Y13" s="191"/>
    </row>
    <row r="14" spans="1:25" ht="15.75" thickBot="1" x14ac:dyDescent="0.3">
      <c r="A14" s="6"/>
      <c r="B14" s="7" t="b">
        <v>0</v>
      </c>
      <c r="F14" s="144">
        <f>IFERROR(VLOOKUP(F13,Abilities,7,FALSE),"")</f>
        <v>0</v>
      </c>
      <c r="G14" s="130"/>
      <c r="H14" s="131"/>
      <c r="I14" s="129" t="str">
        <f>IFERROR(VLOOKUP(I13,Abilities,7,FALSE),"")</f>
        <v xml:space="preserve"> </v>
      </c>
      <c r="J14" s="130"/>
      <c r="K14" s="131"/>
      <c r="L14" s="130" t="str">
        <f>IFERROR(VLOOKUP(L13,Abilities,7,FALSE),"")</f>
        <v>Grants 1 free flashbang item to your inventory.</v>
      </c>
      <c r="M14" s="130"/>
      <c r="N14" s="135"/>
      <c r="O14" s="22"/>
      <c r="P14" s="23" t="s">
        <v>331</v>
      </c>
      <c r="Q14" s="24" t="s">
        <v>332</v>
      </c>
      <c r="R14" s="24" t="s">
        <v>333</v>
      </c>
      <c r="S14" s="24" t="s">
        <v>334</v>
      </c>
      <c r="T14" s="24" t="s">
        <v>336</v>
      </c>
      <c r="U14" s="25" t="s">
        <v>335</v>
      </c>
      <c r="V14" s="190" t="s">
        <v>784</v>
      </c>
      <c r="W14" s="191"/>
      <c r="X14" s="194" t="s">
        <v>814</v>
      </c>
      <c r="Y14" s="195"/>
    </row>
    <row r="15" spans="1:25" ht="15.75" thickBot="1" x14ac:dyDescent="0.3">
      <c r="A15" s="6"/>
      <c r="B15" s="7" t="b">
        <v>0</v>
      </c>
      <c r="F15" s="167"/>
      <c r="G15" s="147"/>
      <c r="H15" s="148"/>
      <c r="I15" s="146"/>
      <c r="J15" s="147"/>
      <c r="K15" s="148"/>
      <c r="L15" s="147"/>
      <c r="M15" s="147"/>
      <c r="N15" s="168"/>
      <c r="O15" s="19" t="s">
        <v>12</v>
      </c>
      <c r="P15" s="4"/>
      <c r="Q15" s="20">
        <v>4</v>
      </c>
      <c r="R15" s="20"/>
      <c r="S15" s="4"/>
      <c r="T15" s="4"/>
      <c r="U15" s="10"/>
      <c r="V15" s="190" t="s">
        <v>823</v>
      </c>
      <c r="W15" s="191"/>
    </row>
    <row r="16" spans="1:25" ht="18" thickBot="1" x14ac:dyDescent="0.35">
      <c r="A16" s="6"/>
      <c r="B16" s="7" t="b">
        <v>0</v>
      </c>
      <c r="F16" s="169" t="s">
        <v>15</v>
      </c>
      <c r="G16" s="170"/>
      <c r="H16" s="170"/>
      <c r="I16" s="170"/>
      <c r="J16" s="170"/>
      <c r="K16" s="170"/>
      <c r="L16" s="170"/>
      <c r="M16" s="170"/>
      <c r="N16" s="171"/>
      <c r="O16" s="26" t="s">
        <v>456</v>
      </c>
      <c r="P16" s="27"/>
      <c r="Q16" s="28">
        <v>4</v>
      </c>
      <c r="R16" s="28"/>
      <c r="S16" s="27"/>
      <c r="T16" s="27"/>
      <c r="U16" s="29"/>
      <c r="V16" s="190" t="s">
        <v>786</v>
      </c>
      <c r="W16" s="191"/>
    </row>
    <row r="17" spans="1:23" ht="16.5" thickTop="1" thickBot="1" x14ac:dyDescent="0.3">
      <c r="A17" s="8"/>
      <c r="B17" s="9" t="b">
        <v>0</v>
      </c>
      <c r="F17" s="121" t="s">
        <v>962</v>
      </c>
      <c r="G17" s="120"/>
      <c r="H17" s="4" t="str">
        <f>IFERROR(VLOOKUP(F17,Abilities,4,FALSE),"")</f>
        <v>BLANK</v>
      </c>
      <c r="I17" s="121" t="s">
        <v>405</v>
      </c>
      <c r="J17" s="120"/>
      <c r="K17" s="35" t="str">
        <f>IFERROR(VLOOKUP(I17,Abilities,4,FALSE),"")</f>
        <v>LW2</v>
      </c>
      <c r="L17" s="121" t="s">
        <v>962</v>
      </c>
      <c r="M17" s="120"/>
      <c r="N17" s="10" t="str">
        <f>IFERROR(VLOOKUP(L17,Abilities,4,FALSE),"")</f>
        <v>BLANK</v>
      </c>
      <c r="O17" s="19" t="s">
        <v>15</v>
      </c>
      <c r="P17" s="4"/>
      <c r="Q17" s="20"/>
      <c r="R17" s="20"/>
      <c r="S17" s="4"/>
      <c r="T17" s="4"/>
      <c r="U17" s="10"/>
      <c r="V17" s="192" t="s">
        <v>787</v>
      </c>
      <c r="W17" s="193"/>
    </row>
    <row r="18" spans="1:23" x14ac:dyDescent="0.25">
      <c r="A18" s="172" t="s">
        <v>344</v>
      </c>
      <c r="B18" s="173"/>
      <c r="F18" s="144" t="str">
        <f>IFERROR(VLOOKUP(F17,Abilities,7,FALSE),"")</f>
        <v xml:space="preserve"> </v>
      </c>
      <c r="G18" s="130"/>
      <c r="H18" s="131"/>
      <c r="I18" s="129">
        <f>IFERROR(VLOOKUP(I17,Abilities,7,FALSE),"")</f>
        <v>0</v>
      </c>
      <c r="J18" s="130"/>
      <c r="K18" s="131"/>
      <c r="L18" s="130" t="str">
        <f>IFERROR(VLOOKUP(L17,Abilities,7,FALSE),"")</f>
        <v xml:space="preserve"> </v>
      </c>
      <c r="M18" s="130"/>
      <c r="N18" s="135"/>
      <c r="O18" s="26" t="s">
        <v>21</v>
      </c>
      <c r="P18" s="27"/>
      <c r="Q18" s="28"/>
      <c r="R18" s="28"/>
      <c r="S18" s="27"/>
      <c r="T18" s="27"/>
      <c r="U18" s="29"/>
      <c r="V18" s="190" t="s">
        <v>788</v>
      </c>
      <c r="W18" s="191"/>
    </row>
    <row r="19" spans="1:23" ht="15.75" thickBot="1" x14ac:dyDescent="0.3">
      <c r="A19" s="174"/>
      <c r="B19" s="175"/>
      <c r="D19" s="3"/>
      <c r="F19" s="167"/>
      <c r="G19" s="147"/>
      <c r="H19" s="148"/>
      <c r="I19" s="146"/>
      <c r="J19" s="147"/>
      <c r="K19" s="148"/>
      <c r="L19" s="147"/>
      <c r="M19" s="147"/>
      <c r="N19" s="168"/>
      <c r="O19" s="21" t="s">
        <v>457</v>
      </c>
      <c r="P19" s="4"/>
      <c r="Q19" s="20"/>
      <c r="R19" s="20"/>
      <c r="S19" s="4"/>
      <c r="T19" s="4"/>
      <c r="U19" s="10"/>
      <c r="V19" s="192" t="s">
        <v>902</v>
      </c>
      <c r="W19" s="193"/>
    </row>
    <row r="20" spans="1:23" ht="18" thickBot="1" x14ac:dyDescent="0.35">
      <c r="A20" s="176" t="s">
        <v>924</v>
      </c>
      <c r="B20" s="177"/>
      <c r="C20" s="178"/>
      <c r="D20" s="178"/>
      <c r="E20" s="179"/>
      <c r="F20" s="169" t="s">
        <v>21</v>
      </c>
      <c r="G20" s="170"/>
      <c r="H20" s="170"/>
      <c r="I20" s="170"/>
      <c r="J20" s="170"/>
      <c r="K20" s="170"/>
      <c r="L20" s="170"/>
      <c r="M20" s="170"/>
      <c r="N20" s="171"/>
      <c r="O20" s="26" t="s">
        <v>458</v>
      </c>
      <c r="P20" s="27"/>
      <c r="Q20" s="28"/>
      <c r="R20" s="28"/>
      <c r="S20" s="27"/>
      <c r="T20" s="27"/>
      <c r="U20" s="29"/>
      <c r="V20" s="192" t="s">
        <v>790</v>
      </c>
      <c r="W20" s="193"/>
    </row>
    <row r="21" spans="1:23" ht="15.75" thickTop="1" x14ac:dyDescent="0.25">
      <c r="A21" s="176"/>
      <c r="B21" s="177"/>
      <c r="C21" s="177"/>
      <c r="D21" s="177"/>
      <c r="E21" s="180"/>
      <c r="F21" s="119" t="s">
        <v>263</v>
      </c>
      <c r="G21" s="120"/>
      <c r="H21" s="4" t="str">
        <f>IFERROR(VLOOKUP(F21,Abilities,4,FALSE),"")</f>
        <v>LW2</v>
      </c>
      <c r="I21" s="121" t="s">
        <v>962</v>
      </c>
      <c r="J21" s="120"/>
      <c r="K21" s="35" t="str">
        <f>IFERROR(VLOOKUP(I21,Abilities,4,FALSE),"")</f>
        <v>BLANK</v>
      </c>
      <c r="L21" s="122" t="s">
        <v>417</v>
      </c>
      <c r="M21" s="120"/>
      <c r="N21" s="10" t="str">
        <f>IFERROR(VLOOKUP(L21,Abilities,4,FALSE),"")</f>
        <v>LW2</v>
      </c>
      <c r="O21" s="36" t="s">
        <v>459</v>
      </c>
      <c r="P21" s="37"/>
      <c r="Q21" s="37"/>
      <c r="R21" s="37"/>
      <c r="S21" s="37"/>
      <c r="T21" s="37"/>
      <c r="U21" s="38"/>
      <c r="V21" s="190" t="s">
        <v>791</v>
      </c>
      <c r="W21" s="191"/>
    </row>
    <row r="22" spans="1:23" ht="15.75" thickBot="1" x14ac:dyDescent="0.3">
      <c r="A22" s="181"/>
      <c r="B22" s="182"/>
      <c r="C22" s="182"/>
      <c r="D22" s="182"/>
      <c r="E22" s="183"/>
      <c r="F22" s="144">
        <f>IFERROR(VLOOKUP(F21,Abilities,7,FALSE),"")</f>
        <v>0</v>
      </c>
      <c r="G22" s="130"/>
      <c r="H22" s="131"/>
      <c r="I22" s="129" t="str">
        <f>IFERROR(VLOOKUP(I21,Abilities,7,FALSE),"")</f>
        <v xml:space="preserve"> </v>
      </c>
      <c r="J22" s="130"/>
      <c r="K22" s="131"/>
      <c r="L22" s="130">
        <f>IFERROR(VLOOKUP(L21,Abilities,7,FALSE),"")</f>
        <v>0</v>
      </c>
      <c r="M22" s="130"/>
      <c r="N22" s="135"/>
      <c r="O22" s="39" t="s">
        <v>460</v>
      </c>
      <c r="P22" s="40"/>
      <c r="Q22" s="41"/>
      <c r="R22" s="41"/>
      <c r="S22" s="40"/>
      <c r="T22" s="40"/>
      <c r="U22" s="42"/>
      <c r="V22" s="192" t="s">
        <v>792</v>
      </c>
      <c r="W22" s="193"/>
    </row>
    <row r="23" spans="1:23" ht="15.75" thickBot="1" x14ac:dyDescent="0.3">
      <c r="A23" s="184" t="s">
        <v>352</v>
      </c>
      <c r="B23" s="185"/>
      <c r="C23" s="185"/>
      <c r="D23" s="185"/>
      <c r="E23" s="186"/>
      <c r="F23" s="167"/>
      <c r="G23" s="147"/>
      <c r="H23" s="148"/>
      <c r="I23" s="146"/>
      <c r="J23" s="147"/>
      <c r="K23" s="148"/>
      <c r="L23" s="147"/>
      <c r="M23" s="147"/>
      <c r="N23" s="168"/>
      <c r="O23" s="14"/>
      <c r="P23" s="14"/>
      <c r="Q23" s="3"/>
      <c r="V23" s="190" t="s">
        <v>793</v>
      </c>
      <c r="W23" s="191"/>
    </row>
    <row r="24" spans="1:23" ht="18" thickBot="1" x14ac:dyDescent="0.35">
      <c r="A24" s="187"/>
      <c r="B24" s="188"/>
      <c r="C24" s="188"/>
      <c r="D24" s="188"/>
      <c r="E24" s="189"/>
      <c r="F24" s="169" t="s">
        <v>444</v>
      </c>
      <c r="G24" s="170"/>
      <c r="H24" s="170"/>
      <c r="I24" s="170"/>
      <c r="J24" s="170"/>
      <c r="K24" s="170"/>
      <c r="L24" s="170"/>
      <c r="M24" s="170"/>
      <c r="N24" s="171"/>
      <c r="O24" s="14"/>
      <c r="P24" s="14"/>
      <c r="Q24" s="3"/>
      <c r="V24" s="192" t="s">
        <v>794</v>
      </c>
      <c r="W24" s="193"/>
    </row>
    <row r="25" spans="1:23" ht="15.75" thickTop="1" x14ac:dyDescent="0.25">
      <c r="A25" s="50"/>
      <c r="B25" s="51"/>
      <c r="C25" s="51"/>
      <c r="D25" s="51"/>
      <c r="E25" s="52"/>
      <c r="F25" s="119" t="s">
        <v>99</v>
      </c>
      <c r="G25" s="120"/>
      <c r="H25" s="4" t="str">
        <f>IFERROR(VLOOKUP(F25,Abilities,4,FALSE),"")</f>
        <v>LW2</v>
      </c>
      <c r="I25" s="121" t="s">
        <v>962</v>
      </c>
      <c r="J25" s="120"/>
      <c r="K25" s="35" t="str">
        <f>IFERROR(VLOOKUP(I25,Abilities,4,FALSE),"")</f>
        <v>BLANK</v>
      </c>
      <c r="L25" s="122" t="s">
        <v>298</v>
      </c>
      <c r="M25" s="120"/>
      <c r="N25" s="10" t="str">
        <f>IFERROR(VLOOKUP(L25,Abilities,4,FALSE),"")</f>
        <v>LW2</v>
      </c>
      <c r="O25" s="14"/>
      <c r="P25" s="14"/>
      <c r="Q25" s="3"/>
      <c r="V25" s="190" t="s">
        <v>795</v>
      </c>
      <c r="W25" s="191"/>
    </row>
    <row r="26" spans="1:23" x14ac:dyDescent="0.25">
      <c r="A26" s="50"/>
      <c r="B26" s="51"/>
      <c r="C26" s="51"/>
      <c r="D26" s="51"/>
      <c r="E26" s="52"/>
      <c r="F26" s="144" t="str">
        <f>IFERROR(VLOOKUP(F25,Abilities,7,FALSE),"")</f>
        <v>Fire a barrage that pins down a target, grants reaction fire against it if it moves, restricts the use of many abilities, and imposes a -30 penalty to the target's aim.</v>
      </c>
      <c r="G26" s="130"/>
      <c r="H26" s="131"/>
      <c r="I26" s="129" t="str">
        <f>IFERROR(VLOOKUP(I25,Abilities,7,FALSE),"")</f>
        <v xml:space="preserve"> </v>
      </c>
      <c r="J26" s="130"/>
      <c r="K26" s="131"/>
      <c r="L26" s="130">
        <f>IFERROR(VLOOKUP(L25,Abilities,7,FALSE),"")</f>
        <v>0</v>
      </c>
      <c r="M26" s="130"/>
      <c r="N26" s="135"/>
      <c r="O26" s="14"/>
      <c r="P26" s="14"/>
      <c r="Q26" s="3"/>
      <c r="V26" s="190" t="s">
        <v>797</v>
      </c>
      <c r="W26" s="191"/>
    </row>
    <row r="27" spans="1:23" ht="15.75" thickBot="1" x14ac:dyDescent="0.3">
      <c r="A27" s="50"/>
      <c r="B27" s="51"/>
      <c r="C27" s="51"/>
      <c r="D27" s="51"/>
      <c r="E27" s="52"/>
      <c r="F27" s="167"/>
      <c r="G27" s="147"/>
      <c r="H27" s="148"/>
      <c r="I27" s="146"/>
      <c r="J27" s="147"/>
      <c r="K27" s="148"/>
      <c r="L27" s="147"/>
      <c r="M27" s="147"/>
      <c r="N27" s="168"/>
      <c r="O27" s="14"/>
      <c r="P27" s="14"/>
      <c r="Q27" s="3"/>
      <c r="V27" s="192" t="s">
        <v>898</v>
      </c>
      <c r="W27" s="193"/>
    </row>
    <row r="28" spans="1:23" ht="18" thickBot="1" x14ac:dyDescent="0.35">
      <c r="A28" s="50"/>
      <c r="B28" s="51"/>
      <c r="C28" s="51"/>
      <c r="D28" s="51"/>
      <c r="E28" s="52"/>
      <c r="F28" s="169" t="s">
        <v>445</v>
      </c>
      <c r="G28" s="170"/>
      <c r="H28" s="170"/>
      <c r="I28" s="170"/>
      <c r="J28" s="170"/>
      <c r="K28" s="170"/>
      <c r="L28" s="170"/>
      <c r="M28" s="170"/>
      <c r="N28" s="171"/>
      <c r="O28" s="14"/>
      <c r="P28" s="14"/>
      <c r="Q28" s="3"/>
      <c r="V28" s="190" t="s">
        <v>799</v>
      </c>
      <c r="W28" s="191"/>
    </row>
    <row r="29" spans="1:23" ht="15.75" thickTop="1" x14ac:dyDescent="0.25">
      <c r="A29" s="50"/>
      <c r="B29" s="51"/>
      <c r="C29" s="51"/>
      <c r="D29" s="51"/>
      <c r="E29" s="52"/>
      <c r="F29" s="119" t="s">
        <v>590</v>
      </c>
      <c r="G29" s="120"/>
      <c r="H29" s="4" t="str">
        <f>IFERROR(VLOOKUP(F29,Abilities,4,FALSE),"")</f>
        <v>SOLW</v>
      </c>
      <c r="I29" s="121" t="s">
        <v>962</v>
      </c>
      <c r="J29" s="120"/>
      <c r="K29" s="35" t="str">
        <f>IFERROR(VLOOKUP(I29,Abilities,4,FALSE),"")</f>
        <v>BLANK</v>
      </c>
      <c r="L29" s="122" t="s">
        <v>305</v>
      </c>
      <c r="M29" s="120"/>
      <c r="N29" s="10" t="str">
        <f>IFERROR(VLOOKUP(L29,Abilities,4,FALSE),"")</f>
        <v>LW2</v>
      </c>
      <c r="O29" s="14"/>
      <c r="P29" s="14"/>
      <c r="Q29" s="3"/>
      <c r="V29" s="190" t="s">
        <v>825</v>
      </c>
      <c r="W29" s="191"/>
    </row>
    <row r="30" spans="1:23" x14ac:dyDescent="0.25">
      <c r="A30" s="50"/>
      <c r="B30" s="51"/>
      <c r="C30" s="51"/>
      <c r="D30" s="51"/>
      <c r="E30" s="52"/>
      <c r="F30" s="144" t="str">
        <f>IFERROR(VLOOKUP(F29,Abilities,7,FALSE),"")</f>
        <v>Units in your smoke grenade cloud get +10 Aim and +20 Crit chance.</v>
      </c>
      <c r="G30" s="130"/>
      <c r="H30" s="131"/>
      <c r="I30" s="129" t="str">
        <f>IFERROR(VLOOKUP(I29,Abilities,7,FALSE),"")</f>
        <v xml:space="preserve"> </v>
      </c>
      <c r="J30" s="130"/>
      <c r="K30" s="131"/>
      <c r="L30" s="130">
        <f>IFERROR(VLOOKUP(L29,Abilities,7,FALSE),"")</f>
        <v>0</v>
      </c>
      <c r="M30" s="130"/>
      <c r="N30" s="135"/>
      <c r="O30" s="14"/>
      <c r="P30" s="14"/>
      <c r="Q30" s="3"/>
      <c r="V30" s="190" t="s">
        <v>819</v>
      </c>
      <c r="W30" s="191"/>
    </row>
    <row r="31" spans="1:23" ht="15.75" thickBot="1" x14ac:dyDescent="0.3">
      <c r="A31" s="50"/>
      <c r="B31" s="51"/>
      <c r="C31" s="51"/>
      <c r="D31" s="51"/>
      <c r="E31" s="52"/>
      <c r="F31" s="167"/>
      <c r="G31" s="147"/>
      <c r="H31" s="148"/>
      <c r="I31" s="146"/>
      <c r="J31" s="147"/>
      <c r="K31" s="148"/>
      <c r="L31" s="147"/>
      <c r="M31" s="147"/>
      <c r="N31" s="168"/>
      <c r="O31" s="14"/>
      <c r="P31" s="14"/>
      <c r="Q31" s="3"/>
      <c r="V31" s="192" t="s">
        <v>820</v>
      </c>
      <c r="W31" s="193"/>
    </row>
    <row r="32" spans="1:23" ht="18" thickBot="1" x14ac:dyDescent="0.35">
      <c r="A32" s="50"/>
      <c r="B32" s="51"/>
      <c r="C32" s="51"/>
      <c r="D32" s="51"/>
      <c r="E32" s="52"/>
      <c r="F32" s="169" t="s">
        <v>446</v>
      </c>
      <c r="G32" s="170"/>
      <c r="H32" s="170"/>
      <c r="I32" s="170"/>
      <c r="J32" s="170"/>
      <c r="K32" s="170"/>
      <c r="L32" s="170"/>
      <c r="M32" s="170"/>
      <c r="N32" s="171"/>
      <c r="O32" s="14"/>
      <c r="P32" s="14"/>
      <c r="Q32" s="3"/>
      <c r="V32" s="192" t="s">
        <v>815</v>
      </c>
      <c r="W32" s="193"/>
    </row>
    <row r="33" spans="1:23" ht="15.75" thickTop="1" x14ac:dyDescent="0.25">
      <c r="A33" s="50"/>
      <c r="B33" s="51"/>
      <c r="C33" s="51"/>
      <c r="D33" s="51"/>
      <c r="E33" s="52"/>
      <c r="F33" s="121" t="s">
        <v>962</v>
      </c>
      <c r="G33" s="120"/>
      <c r="H33" s="4" t="str">
        <f>IFERROR(VLOOKUP(F33,Abilities,4,FALSE),"")</f>
        <v>BLANK</v>
      </c>
      <c r="I33" s="121" t="s">
        <v>474</v>
      </c>
      <c r="J33" s="120"/>
      <c r="K33" s="35" t="str">
        <f>IFERROR(VLOOKUP(I33,Abilities,4,FALSE),"")</f>
        <v>LW2</v>
      </c>
      <c r="L33" s="121" t="s">
        <v>962</v>
      </c>
      <c r="M33" s="120"/>
      <c r="N33" s="10" t="str">
        <f>IFERROR(VLOOKUP(L33,Abilities,4,FALSE),"")</f>
        <v>BLANK</v>
      </c>
      <c r="O33" s="14"/>
      <c r="P33" s="14"/>
      <c r="Q33" s="3"/>
      <c r="V33" s="192" t="s">
        <v>822</v>
      </c>
      <c r="W33" s="193"/>
    </row>
    <row r="34" spans="1:23" x14ac:dyDescent="0.25">
      <c r="A34" s="50"/>
      <c r="B34" s="51"/>
      <c r="C34" s="51"/>
      <c r="D34" s="51"/>
      <c r="E34" s="52"/>
      <c r="F34" s="144" t="str">
        <f>IFERROR(VLOOKUP(F33,Abilities,7,FALSE),"")</f>
        <v xml:space="preserve"> </v>
      </c>
      <c r="G34" s="130"/>
      <c r="H34" s="131"/>
      <c r="I34" s="129">
        <f>IFERROR(VLOOKUP(I33,Abilities,7,FALSE),"")</f>
        <v>0</v>
      </c>
      <c r="J34" s="130"/>
      <c r="K34" s="131"/>
      <c r="L34" s="130" t="str">
        <f>IFERROR(VLOOKUP(L33,Abilities,7,FALSE),"")</f>
        <v xml:space="preserve"> </v>
      </c>
      <c r="M34" s="130"/>
      <c r="N34" s="135"/>
      <c r="O34" s="14"/>
      <c r="P34" s="14"/>
      <c r="Q34" s="3"/>
      <c r="V34" s="190" t="s">
        <v>816</v>
      </c>
      <c r="W34" s="191"/>
    </row>
    <row r="35" spans="1:23" ht="15.75" thickBot="1" x14ac:dyDescent="0.3">
      <c r="A35" s="50"/>
      <c r="B35" s="51"/>
      <c r="C35" s="51"/>
      <c r="D35" s="51"/>
      <c r="E35" s="52"/>
      <c r="F35" s="167"/>
      <c r="G35" s="147"/>
      <c r="H35" s="148"/>
      <c r="I35" s="146"/>
      <c r="J35" s="147"/>
      <c r="K35" s="148"/>
      <c r="L35" s="147"/>
      <c r="M35" s="147"/>
      <c r="N35" s="168"/>
      <c r="O35" s="14"/>
      <c r="P35" s="14"/>
      <c r="Q35" s="3"/>
      <c r="V35" s="194" t="s">
        <v>899</v>
      </c>
      <c r="W35" s="195"/>
    </row>
    <row r="36" spans="1:23" ht="18" thickBot="1" x14ac:dyDescent="0.35">
      <c r="A36" s="50"/>
      <c r="B36" s="51"/>
      <c r="C36" s="51"/>
      <c r="D36" s="51"/>
      <c r="E36" s="52"/>
      <c r="F36" s="169" t="s">
        <v>447</v>
      </c>
      <c r="G36" s="170"/>
      <c r="H36" s="170"/>
      <c r="I36" s="170"/>
      <c r="J36" s="170"/>
      <c r="K36" s="170"/>
      <c r="L36" s="170"/>
      <c r="M36" s="170"/>
      <c r="N36" s="171"/>
    </row>
    <row r="37" spans="1:23" ht="15.75" thickTop="1" x14ac:dyDescent="0.25">
      <c r="A37" s="50"/>
      <c r="B37" s="51"/>
      <c r="C37" s="51"/>
      <c r="D37" s="51"/>
      <c r="E37" s="52"/>
      <c r="F37" s="119" t="s">
        <v>613</v>
      </c>
      <c r="G37" s="120"/>
      <c r="H37" s="4" t="str">
        <f>IFERROR(VLOOKUP(F37,Abilities,4,FALSE),"")</f>
        <v>SOLW</v>
      </c>
      <c r="I37" s="121" t="s">
        <v>962</v>
      </c>
      <c r="J37" s="120"/>
      <c r="K37" s="35" t="str">
        <f>IFERROR(VLOOKUP(I37,Abilities,4,FALSE),"")</f>
        <v>BLANK</v>
      </c>
      <c r="L37" s="122" t="s">
        <v>419</v>
      </c>
      <c r="M37" s="120"/>
      <c r="N37" s="10" t="str">
        <f>IFERROR(VLOOKUP(L37,Abilities,4,FALSE),"")</f>
        <v>LW2</v>
      </c>
    </row>
    <row r="38" spans="1:23" x14ac:dyDescent="0.25">
      <c r="A38" s="50"/>
      <c r="B38" s="51"/>
      <c r="C38" s="51"/>
      <c r="D38" s="51"/>
      <c r="E38" s="52"/>
      <c r="F38" s="144" t="str">
        <f>IFERROR(VLOOKUP(F37,Abilities,7,FALSE),"")</f>
        <v>Your first reaction shot each turn is guaranteed to hit.</v>
      </c>
      <c r="G38" s="130"/>
      <c r="H38" s="131"/>
      <c r="I38" s="129" t="str">
        <f>IFERROR(VLOOKUP(I37,Abilities,7,FALSE),"")</f>
        <v xml:space="preserve"> </v>
      </c>
      <c r="J38" s="130"/>
      <c r="K38" s="131"/>
      <c r="L38" s="130">
        <f>IFERROR(VLOOKUP(L37,Abilities,7,FALSE),"")</f>
        <v>0</v>
      </c>
      <c r="M38" s="130"/>
      <c r="N38" s="135"/>
    </row>
    <row r="39" spans="1:23" ht="15.75" thickBot="1" x14ac:dyDescent="0.3">
      <c r="A39" s="53"/>
      <c r="B39" s="54"/>
      <c r="C39" s="54"/>
      <c r="D39" s="54"/>
      <c r="E39" s="55"/>
      <c r="F39" s="167"/>
      <c r="G39" s="147"/>
      <c r="H39" s="148"/>
      <c r="I39" s="146"/>
      <c r="J39" s="147"/>
      <c r="K39" s="148"/>
      <c r="L39" s="147"/>
      <c r="M39" s="147"/>
      <c r="N39" s="168"/>
    </row>
    <row r="40" spans="1:23" ht="15" customHeight="1" x14ac:dyDescent="0.25">
      <c r="A40" s="86" t="s">
        <v>1200</v>
      </c>
      <c r="B40" s="86"/>
      <c r="C40" s="88" t="str">
        <f>SUBSTITUTE(C1," ","")</f>
        <v>Protector</v>
      </c>
      <c r="D40" s="88"/>
      <c r="E40" s="88"/>
      <c r="F40" s="238"/>
      <c r="G40" s="238"/>
      <c r="H40" s="237"/>
      <c r="I40" s="237"/>
      <c r="J40" s="237"/>
    </row>
    <row r="41" spans="1:23" ht="15" customHeight="1" thickBot="1" x14ac:dyDescent="0.3">
      <c r="A41" s="87"/>
      <c r="B41" s="87"/>
      <c r="C41" s="89"/>
      <c r="D41" s="89"/>
      <c r="E41" s="89"/>
      <c r="F41" s="239"/>
      <c r="G41" s="239"/>
      <c r="H41" s="237"/>
      <c r="I41" s="237"/>
      <c r="J41" s="237"/>
    </row>
    <row r="42" spans="1:23" ht="16.5" thickBot="1" x14ac:dyDescent="0.3">
      <c r="A42" s="242" t="s">
        <v>339</v>
      </c>
      <c r="B42" s="244"/>
      <c r="C42" s="253" t="s">
        <v>342</v>
      </c>
      <c r="D42" s="247"/>
      <c r="E42" s="251" t="s">
        <v>343</v>
      </c>
      <c r="F42" s="250"/>
      <c r="G42" s="234"/>
      <c r="H42" s="235"/>
      <c r="I42" s="235"/>
      <c r="J42" s="235"/>
    </row>
    <row r="43" spans="1:23" x14ac:dyDescent="0.25">
      <c r="A43" s="243" t="str">
        <f ca="1">"; "&amp;INDIRECT("C1")&amp;" class data"</f>
        <v>; Protector class data</v>
      </c>
      <c r="B43" s="234" t="s">
        <v>340</v>
      </c>
      <c r="C43" s="254" t="str">
        <f ca="1">"; "&amp;INDIRECT("C1")&amp;" class loadout"</f>
        <v>; Protector class loadout</v>
      </c>
      <c r="D43" s="234" t="s">
        <v>340</v>
      </c>
      <c r="E43" s="252" t="str">
        <f ca="1">"["&amp;INDIRECT("C3")&amp;" X2SoldierClassTemplate]"</f>
        <v>[LWD_Protector X2SoldierClassTemplate]</v>
      </c>
      <c r="F43" s="234" t="s">
        <v>340</v>
      </c>
      <c r="G43" s="234"/>
      <c r="H43" s="235"/>
      <c r="I43" s="235"/>
      <c r="J43" s="235"/>
    </row>
    <row r="44" spans="1:23" x14ac:dyDescent="0.25">
      <c r="A44" s="240"/>
      <c r="B44" s="234"/>
      <c r="C44" s="245"/>
      <c r="D44" s="234" t="s">
        <v>340</v>
      </c>
      <c r="E44" s="248" t="str">
        <f ca="1">"+DisplayName="""&amp;INDIRECT("C1")&amp;""""</f>
        <v>+DisplayName="Protector"</v>
      </c>
      <c r="F44" s="234" t="s">
        <v>340</v>
      </c>
      <c r="G44" s="234"/>
      <c r="H44" s="235"/>
      <c r="I44" s="235"/>
      <c r="J44" s="235"/>
    </row>
    <row r="45" spans="1:23" x14ac:dyDescent="0.25">
      <c r="A45" s="240" t="str">
        <f>"[XComGame.X2SoldierClass_DefaultClasses]"</f>
        <v>[XComGame.X2SoldierClass_DefaultClasses]</v>
      </c>
      <c r="B45" s="234" t="s">
        <v>340</v>
      </c>
      <c r="C45" s="245" t="s">
        <v>341</v>
      </c>
      <c r="D45" s="234" t="s">
        <v>340</v>
      </c>
      <c r="E45" s="248" t="str">
        <f ca="1">"+ClassSummary="""&amp;INDIRECT("A20")&amp;""""</f>
        <v>+ClassSummary="The Protector carries a variety of non-lethal and defensive grenades to keep our soldiers safe on the battlefield."</v>
      </c>
      <c r="F45" s="234" t="s">
        <v>340</v>
      </c>
      <c r="G45" s="234"/>
      <c r="H45" s="235"/>
      <c r="I45" s="235"/>
      <c r="J45" s="235"/>
    </row>
    <row r="46" spans="1:23" x14ac:dyDescent="0.25">
      <c r="A46" s="240" t="str">
        <f ca="1">"+SoldierClasses="&amp;INDIRECT("C3")</f>
        <v>+SoldierClasses=LWD_Protector</v>
      </c>
      <c r="B46" s="234" t="s">
        <v>340</v>
      </c>
      <c r="C46" s="245"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+Loadouts=(LoadoutName="SquaddieLWD_Protector", Items[0]=(Item="AssaultRifle_CV"), Items[1]=(Item="GrenadeLauncher_CV"))</v>
      </c>
      <c r="D46" s="234" t="s">
        <v>340</v>
      </c>
      <c r="E46" s="248" t="str">
        <f ca="1">"+LeftAbilityTreeTitle="""&amp;INDIRECT("F11")&amp;""""</f>
        <v>+LeftAbilityTreeTitle="Fire Support"</v>
      </c>
      <c r="F46" s="234" t="s">
        <v>340</v>
      </c>
      <c r="G46" s="234"/>
      <c r="H46" s="235"/>
      <c r="I46" s="234"/>
      <c r="J46" s="234"/>
    </row>
    <row r="47" spans="1:23" x14ac:dyDescent="0.25">
      <c r="A47" s="240"/>
      <c r="B47" s="234" t="s">
        <v>340</v>
      </c>
      <c r="C47" s="245"/>
      <c r="D47" s="234" t="s">
        <v>340</v>
      </c>
      <c r="E47" s="248" t="str">
        <f ca="1">"+RightAbilityTreeTitle="""&amp;INDIRECT("L11")&amp;""""</f>
        <v>+RightAbilityTreeTitle="Smokescreen"</v>
      </c>
      <c r="F47" s="234" t="s">
        <v>340</v>
      </c>
      <c r="G47" s="234"/>
      <c r="H47" s="235"/>
      <c r="I47" s="234"/>
      <c r="J47" s="234"/>
    </row>
    <row r="48" spans="1:23" x14ac:dyDescent="0.25">
      <c r="A48" s="240" t="str">
        <f ca="1">"["&amp;INDIRECT("C3")&amp;" X2SoldierClassTemplate]"</f>
        <v>[LWD_Protector X2SoldierClassTemplate]</v>
      </c>
      <c r="B48" s="234" t="s">
        <v>340</v>
      </c>
      <c r="C48" s="245" t="s">
        <v>351</v>
      </c>
      <c r="D48" s="234" t="s">
        <v>340</v>
      </c>
      <c r="E48" s="248" t="str">
        <f>"; Nicknames"</f>
        <v>; Nicknames</v>
      </c>
      <c r="F48" s="234" t="s">
        <v>340</v>
      </c>
      <c r="G48" s="234"/>
      <c r="H48" s="234"/>
      <c r="I48" s="234"/>
      <c r="J48" s="234"/>
    </row>
    <row r="49" spans="1:10" ht="15.75" thickBot="1" x14ac:dyDescent="0.3">
      <c r="A49" s="240" t="str">
        <f ca="1">"+bMultiplayerOnly="&amp;INDIRECT("E6")</f>
        <v>+bMultiplayerOnly=0</v>
      </c>
      <c r="B49" s="234" t="s">
        <v>340</v>
      </c>
      <c r="C49" s="246" t="str">
        <f ca="1">"+DEBUG_StartingSoldierClasses="""&amp;INDIRECT("C3")&amp;""""</f>
        <v>+DEBUG_StartingSoldierClasses="LWD_Protector"</v>
      </c>
      <c r="D49" s="234" t="s">
        <v>340</v>
      </c>
      <c r="E49" s="248" t="str">
        <f ca="1">IF(INDIRECT("V4")&lt;&gt;"","RandomNickNames[0]="""&amp;INDIRECT("V4")&amp;"""","")</f>
        <v>RandomNickNames[0]="Angel"</v>
      </c>
      <c r="F49" s="234" t="s">
        <v>340</v>
      </c>
      <c r="G49" s="234"/>
      <c r="H49" s="234"/>
      <c r="I49" s="234"/>
      <c r="J49" s="234"/>
    </row>
    <row r="50" spans="1:10" x14ac:dyDescent="0.25">
      <c r="A50" s="240" t="str">
        <f ca="1">"+ClassPoints="&amp;INDIRECT("E7")</f>
        <v>+ClassPoints=4</v>
      </c>
      <c r="B50" s="234" t="s">
        <v>340</v>
      </c>
      <c r="C50" s="234"/>
      <c r="D50" s="234"/>
      <c r="E50" s="248" t="str">
        <f ca="1">IF(INDIRECT("V5")&lt;&gt;"","RandomNickNames[1]="""&amp;INDIRECT("V5")&amp;"""","")</f>
        <v>RandomNickNames[1]="Cover"</v>
      </c>
      <c r="F50" s="234" t="s">
        <v>340</v>
      </c>
      <c r="G50" s="234"/>
      <c r="H50" s="234"/>
      <c r="I50" s="234"/>
      <c r="J50" s="234"/>
    </row>
    <row r="51" spans="1:10" x14ac:dyDescent="0.25">
      <c r="A51" s="240" t="str">
        <f ca="1">"+IconImage="&amp;""""&amp;INDIRECT("E8")&amp;""""</f>
        <v>+IconImage="img:///UILibrary_LWD.class_support"</v>
      </c>
      <c r="B51" s="234" t="s">
        <v>340</v>
      </c>
      <c r="C51" s="234"/>
      <c r="D51" s="234"/>
      <c r="E51" s="248" t="str">
        <f ca="1">IF(INDIRECT("V6")&lt;&gt;"","RandomNickNames[2]="""&amp;INDIRECT("V6")&amp;"""","")</f>
        <v>RandomNickNames[2]="Beta"</v>
      </c>
      <c r="F51" s="234" t="s">
        <v>340</v>
      </c>
      <c r="G51" s="234"/>
      <c r="H51" s="234"/>
      <c r="I51" s="234"/>
      <c r="J51" s="234"/>
    </row>
    <row r="52" spans="1:10" x14ac:dyDescent="0.25">
      <c r="A52" s="240" t="str">
        <f ca="1">"+NumInForcedDeck="&amp;INDIRECT("E9")</f>
        <v>+NumInForcedDeck=1</v>
      </c>
      <c r="B52" s="234" t="s">
        <v>340</v>
      </c>
      <c r="C52" s="234"/>
      <c r="D52" s="234"/>
      <c r="E52" s="248" t="str">
        <f ca="1">IF(INDIRECT("V7")&lt;&gt;"","RandomNickNames[3]="""&amp;INDIRECT("V7")&amp;"""","")</f>
        <v>RandomNickNames[3]="Magician"</v>
      </c>
      <c r="F52" s="234" t="s">
        <v>340</v>
      </c>
      <c r="G52" s="234"/>
      <c r="H52" s="234"/>
      <c r="I52" s="234"/>
      <c r="J52" s="234"/>
    </row>
    <row r="53" spans="1:10" x14ac:dyDescent="0.25">
      <c r="A53" s="240" t="str">
        <f ca="1">"+NumInDeck="&amp;INDIRECT("E10")</f>
        <v>+NumInDeck=3</v>
      </c>
      <c r="B53" s="234" t="s">
        <v>340</v>
      </c>
      <c r="C53" s="234"/>
      <c r="D53" s="234"/>
      <c r="E53" s="248" t="str">
        <f ca="1">IF(INDIRECT("V8")&lt;&gt;"","RandomNickNames[4]="""&amp;INDIRECT("V8")&amp;"""","")</f>
        <v>RandomNickNames[4]="Bones"</v>
      </c>
      <c r="F53" s="234" t="s">
        <v>340</v>
      </c>
      <c r="G53" s="234"/>
      <c r="H53" s="234"/>
      <c r="I53" s="234"/>
      <c r="J53" s="234"/>
    </row>
    <row r="54" spans="1:10" x14ac:dyDescent="0.25">
      <c r="A54" s="240" t="str">
        <f ca="1">"+KillAssistsPerKill="&amp;INDIRECT("E11")</f>
        <v>+KillAssistsPerKill=4</v>
      </c>
      <c r="B54" s="234" t="s">
        <v>340</v>
      </c>
      <c r="C54" s="234"/>
      <c r="D54" s="234"/>
      <c r="E54" s="248" t="str">
        <f ca="1">IF(INDIRECT("V9")&lt;&gt;"","RandomNickNames[5]="""&amp;INDIRECT("V9")&amp;"""","")</f>
        <v>RandomNickNames[5]="Breaker"</v>
      </c>
      <c r="F54" s="234" t="s">
        <v>340</v>
      </c>
      <c r="G54" s="234"/>
      <c r="H54" s="234"/>
      <c r="I54" s="234"/>
      <c r="J54" s="234"/>
    </row>
    <row r="55" spans="1:10" x14ac:dyDescent="0.25">
      <c r="A55" s="240" t="str">
        <f ca="1">"+SquaddieLoadout=Squaddie"&amp;INDIRECT("C3")</f>
        <v>+SquaddieLoadout=SquaddieLWD_Protector</v>
      </c>
      <c r="B55" s="234" t="s">
        <v>340</v>
      </c>
      <c r="C55" s="234"/>
      <c r="D55" s="234"/>
      <c r="E55" s="248" t="str">
        <f ca="1">IF(INDIRECT("V10")&lt;&gt;"","RandomNickNames[6]="""&amp;INDIRECT("V10")&amp;"""","")</f>
        <v>RandomNickNames[6]="Broker"</v>
      </c>
      <c r="F55" s="234" t="s">
        <v>340</v>
      </c>
      <c r="G55" s="234"/>
      <c r="H55" s="234"/>
      <c r="I55" s="234"/>
      <c r="J55" s="234"/>
    </row>
    <row r="56" spans="1:10" x14ac:dyDescent="0.25">
      <c r="A56" s="240" t="str">
        <f ca="1">";+bAllowAWCAbilities="&amp;INDIRECT("E12")&amp;" ; Not a thing in LW2"</f>
        <v>;+bAllowAWCAbilities=1 ; Not a thing in LW2</v>
      </c>
      <c r="B56" s="234" t="s">
        <v>340</v>
      </c>
      <c r="C56" s="234"/>
      <c r="D56" s="234"/>
      <c r="E56" s="248" t="str">
        <f ca="1">IF(INDIRECT("V11")&lt;&gt;"","RandomNickNames[7]="""&amp;INDIRECT("V11")&amp;"""","")</f>
        <v>RandomNickNames[7]="Conquest"</v>
      </c>
      <c r="F56" s="234" t="s">
        <v>340</v>
      </c>
      <c r="G56" s="234"/>
      <c r="H56" s="234"/>
      <c r="I56" s="234"/>
      <c r="J56" s="234"/>
    </row>
    <row r="57" spans="1:10" x14ac:dyDescent="0.25">
      <c r="A57" s="240" t="str">
        <f ca="1">IF(INDIRECT("B5")=FALSE,";","")&amp;"+AllowedWeapons=(SlotType=eInvSlot_PrimaryWeapon, WeaponType=""rifle"")"</f>
        <v>+AllowedWeapons=(SlotType=eInvSlot_PrimaryWeapon, WeaponType="rifle")</v>
      </c>
      <c r="B57" s="234" t="s">
        <v>340</v>
      </c>
      <c r="C57" s="234"/>
      <c r="D57" s="234"/>
      <c r="E57" s="248" t="str">
        <f ca="1">IF(INDIRECT("V12")&lt;&gt;"","RandomNickNames[8]="""&amp;INDIRECT("V12")&amp;"""","")</f>
        <v>RandomNickNames[8]="Deacon"</v>
      </c>
      <c r="F57" s="234" t="s">
        <v>340</v>
      </c>
      <c r="G57" s="234"/>
      <c r="H57" s="234"/>
      <c r="I57" s="234"/>
      <c r="J57" s="234"/>
    </row>
    <row r="58" spans="1:10" x14ac:dyDescent="0.25">
      <c r="A58" s="240" t="str">
        <f ca="1">IF(INDIRECT("B6")=FALSE,";","")&amp;"+AllowedWeapons=(SlotType=eInvSlot_PrimaryWeapon, WeaponType=""cannon"")"</f>
        <v>;+AllowedWeapons=(SlotType=eInvSlot_PrimaryWeapon, WeaponType="cannon")</v>
      </c>
      <c r="B58" s="234" t="s">
        <v>340</v>
      </c>
      <c r="C58" s="234"/>
      <c r="D58" s="234"/>
      <c r="E58" s="248" t="str">
        <f ca="1">IF(INDIRECT("V13")&lt;&gt;"","RandomNickNames[9]="""&amp;INDIRECT("V13")&amp;"""","")</f>
        <v>RandomNickNames[9]="Doomtrain"</v>
      </c>
      <c r="F58" s="234" t="s">
        <v>340</v>
      </c>
      <c r="G58" s="234"/>
      <c r="H58" s="234"/>
      <c r="I58" s="234"/>
      <c r="J58" s="234"/>
    </row>
    <row r="59" spans="1:10" x14ac:dyDescent="0.25">
      <c r="A59" s="240" t="str">
        <f ca="1">IF(INDIRECT("B7")=FALSE,";","")&amp;"+AllowedWeapons=(SlotType=eInvSlot_PrimaryWeapon, WeaponType=""shotgun"")"</f>
        <v>;+AllowedWeapons=(SlotType=eInvSlot_PrimaryWeapon, WeaponType="shotgun")</v>
      </c>
      <c r="B59" s="234" t="s">
        <v>340</v>
      </c>
      <c r="C59" s="234"/>
      <c r="D59" s="234"/>
      <c r="E59" s="248" t="str">
        <f ca="1">IF(INDIRECT("V14")&lt;&gt;"","RandomNickNames[10]="""&amp;INDIRECT("V14")&amp;"""","")</f>
        <v>RandomNickNames[10]="Dr. Feelgood"</v>
      </c>
      <c r="F59" s="234" t="s">
        <v>340</v>
      </c>
      <c r="G59" s="234"/>
      <c r="H59" s="234"/>
      <c r="I59" s="234"/>
      <c r="J59" s="234"/>
    </row>
    <row r="60" spans="1:10" x14ac:dyDescent="0.25">
      <c r="A60" s="240" t="str">
        <f ca="1">IF(INDIRECT("B8")=FALSE,";","")&amp;"+AllowedWeapons=(SlotType=eInvSlot_PrimaryWeapon, WeaponType=""sniper_rifle"")"</f>
        <v>;+AllowedWeapons=(SlotType=eInvSlot_PrimaryWeapon, WeaponType="sniper_rifle")</v>
      </c>
      <c r="B60" s="234" t="s">
        <v>340</v>
      </c>
      <c r="C60" s="234"/>
      <c r="D60" s="234"/>
      <c r="E60" s="248" t="str">
        <f ca="1">IF(INDIRECT("V15")&lt;&gt;"","RandomNickNames[11]="""&amp;INDIRECT("V15")&amp;"""","")</f>
        <v>RandomNickNames[11]="Famine"</v>
      </c>
      <c r="F60" s="234" t="s">
        <v>340</v>
      </c>
      <c r="G60" s="234"/>
      <c r="H60" s="234"/>
      <c r="I60" s="234"/>
      <c r="J60" s="234"/>
    </row>
    <row r="61" spans="1:10" x14ac:dyDescent="0.25">
      <c r="A61" s="240" t="str">
        <f ca="1">IF(INDIRECT("B9")=FALSE,";","")&amp;"+AllowedWeapons=(SlotType=eInvSlot_SecondaryWeapon, WeaponType=""gauntlet"")"</f>
        <v>;+AllowedWeapons=(SlotType=eInvSlot_SecondaryWeapon, WeaponType="gauntlet")</v>
      </c>
      <c r="B61" s="234" t="s">
        <v>340</v>
      </c>
      <c r="C61" s="234"/>
      <c r="D61" s="234"/>
      <c r="E61" s="248" t="str">
        <f ca="1">IF(INDIRECT("V16")&lt;&gt;"","RandomNickNames[12]="""&amp;INDIRECT("V16")&amp;"""","")</f>
        <v>RandomNickNames[12]="Feedback"</v>
      </c>
      <c r="F61" s="234" t="s">
        <v>340</v>
      </c>
      <c r="G61" s="234"/>
      <c r="H61" s="234"/>
      <c r="I61" s="234"/>
      <c r="J61" s="234"/>
    </row>
    <row r="62" spans="1:10" x14ac:dyDescent="0.25">
      <c r="A62" s="240" t="str">
        <f ca="1">IF(INDIRECT("B10")=FALSE,";","")&amp;"+AllowedWeapons=(SlotType=eInvSlot_SecondaryWeapon, WeaponType=""combatknife"")"</f>
        <v>;+AllowedWeapons=(SlotType=eInvSlot_SecondaryWeapon, WeaponType="combatknife")</v>
      </c>
      <c r="B62" s="234" t="s">
        <v>340</v>
      </c>
      <c r="C62" s="234"/>
      <c r="D62" s="234"/>
      <c r="E62" s="248" t="str">
        <f ca="1">IF(INDIRECT("V17")&lt;&gt;"","RandomNickNames[13]="""&amp;INDIRECT("V17")&amp;"""","")</f>
        <v>RandomNickNames[13]="Firewall"</v>
      </c>
      <c r="F62" s="234" t="s">
        <v>340</v>
      </c>
      <c r="G62" s="234"/>
      <c r="H62" s="234"/>
      <c r="I62" s="234"/>
      <c r="J62" s="234"/>
    </row>
    <row r="63" spans="1:10" x14ac:dyDescent="0.25">
      <c r="A63" s="240" t="str">
        <f ca="1">IF(INDIRECT("B11")=FALSE,";","")&amp;"+AllowedWeapons=(SlotType=eInvSlot_SecondaryWeapon, WeaponType=""grenade_launcher"")"</f>
        <v>+AllowedWeapons=(SlotType=eInvSlot_SecondaryWeapon, WeaponType="grenade_launcher")</v>
      </c>
      <c r="B63" s="234" t="s">
        <v>340</v>
      </c>
      <c r="C63" s="234"/>
      <c r="D63" s="234"/>
      <c r="E63" s="248" t="str">
        <f ca="1">IF(INDIRECT("V18")&lt;&gt;"","RandomNickNames[14]="""&amp;INDIRECT("V18")&amp;"""","")</f>
        <v>RandomNickNames[14]="Genius"</v>
      </c>
      <c r="F63" s="234" t="s">
        <v>340</v>
      </c>
      <c r="G63" s="234"/>
      <c r="H63" s="234"/>
      <c r="I63" s="234"/>
      <c r="J63" s="234"/>
    </row>
    <row r="64" spans="1:10" x14ac:dyDescent="0.25">
      <c r="A64" s="240" t="str">
        <f ca="1">IF(INDIRECT("B12")=FALSE,";","")&amp;"+AllowedWeapons=(SlotType=eInvSlot_SecondaryWeapon, WeaponType=""gremlin"")"</f>
        <v>;+AllowedWeapons=(SlotType=eInvSlot_SecondaryWeapon, WeaponType="gremlin")</v>
      </c>
      <c r="B64" s="234" t="s">
        <v>340</v>
      </c>
      <c r="C64" s="234"/>
      <c r="D64" s="234"/>
      <c r="E64" s="248" t="str">
        <f ca="1">IF(INDIRECT("V19")&lt;&gt;"","RandomNickNames[15]="""&amp;INDIRECT("V19")&amp;"""","")</f>
        <v>RandomNickNames[15]="Illusion"</v>
      </c>
      <c r="F64" s="234" t="s">
        <v>340</v>
      </c>
      <c r="G64" s="234"/>
      <c r="H64" s="234"/>
      <c r="I64" s="234"/>
      <c r="J64" s="234"/>
    </row>
    <row r="65" spans="1:10" x14ac:dyDescent="0.25">
      <c r="A65" s="240" t="str">
        <f ca="1">IF(INDIRECT("B13")=FALSE,";","")&amp;"+AllowedWeapons=(SlotType=eInvSlot_SecondaryWeapon, WeaponType=""sword"")"</f>
        <v>;+AllowedWeapons=(SlotType=eInvSlot_SecondaryWeapon, WeaponType="sword")</v>
      </c>
      <c r="B65" s="234" t="s">
        <v>340</v>
      </c>
      <c r="C65" s="234"/>
      <c r="D65" s="234"/>
      <c r="E65" s="248" t="str">
        <f ca="1">IF(INDIRECT("V20")&lt;&gt;"","RandomNickNames[16]="""&amp;INDIRECT("V20")&amp;"""","")</f>
        <v>RandomNickNames[16]="Jester"</v>
      </c>
      <c r="F65" s="234" t="s">
        <v>340</v>
      </c>
      <c r="G65" s="234"/>
      <c r="H65" s="234"/>
      <c r="I65" s="234"/>
      <c r="J65" s="234"/>
    </row>
    <row r="66" spans="1:10" x14ac:dyDescent="0.25">
      <c r="A66" s="240" t="str">
        <f ca="1">IF(INDIRECT("B14")=FALSE,";","")&amp;"+AllowedWeapons=(SlotType=eInvSlot_SecondaryWeapon, WeaponType=""sawedoffshotgun"")"</f>
        <v>;+AllowedWeapons=(SlotType=eInvSlot_SecondaryWeapon, WeaponType="sawedoffshotgun")</v>
      </c>
      <c r="B66" s="234" t="s">
        <v>340</v>
      </c>
      <c r="C66" s="234"/>
      <c r="D66" s="234"/>
      <c r="E66" s="248" t="str">
        <f ca="1">IF(INDIRECT("V21")&lt;&gt;"","RandomNickNames[17]="""&amp;INDIRECT("V21")&amp;"""","")</f>
        <v>RandomNickNames[17]="Jolt"</v>
      </c>
      <c r="F66" s="234" t="s">
        <v>340</v>
      </c>
      <c r="G66" s="234"/>
      <c r="H66" s="234"/>
      <c r="I66" s="234"/>
      <c r="J66" s="234"/>
    </row>
    <row r="67" spans="1:10" x14ac:dyDescent="0.25">
      <c r="A67" s="240" t="str">
        <f ca="1">IF(INDIRECT("B15")=FALSE,";","")&amp;"+AllowedWeapons=(SlotType=eInvSlot_SecondaryWeapon, WeaponType=""arcthrower"")"</f>
        <v>;+AllowedWeapons=(SlotType=eInvSlot_SecondaryWeapon, WeaponType="arcthrower")</v>
      </c>
      <c r="B67" s="234" t="s">
        <v>340</v>
      </c>
      <c r="C67" s="234"/>
      <c r="D67" s="234"/>
      <c r="E67" s="248" t="str">
        <f ca="1">IF(INDIRECT("V22")&lt;&gt;"","RandomNickNames[18]="""&amp;INDIRECT("V22")&amp;"""","")</f>
        <v>RandomNickNames[18]="Lightning"</v>
      </c>
      <c r="F67" s="234" t="s">
        <v>340</v>
      </c>
      <c r="G67" s="234"/>
      <c r="H67" s="234"/>
      <c r="I67" s="234"/>
      <c r="J67" s="234"/>
    </row>
    <row r="68" spans="1:10" x14ac:dyDescent="0.25">
      <c r="A68" s="240" t="str">
        <f ca="1">IF(INDIRECT("B16")=FALSE,";","")&amp;"+AllowedWeapons=(SlotType=eInvSlot_SecondaryWeapon, WeaponType=""holotargeter"")"</f>
        <v>;+AllowedWeapons=(SlotType=eInvSlot_SecondaryWeapon, WeaponType="holotargeter")</v>
      </c>
      <c r="B68" s="234" t="s">
        <v>340</v>
      </c>
      <c r="C68" s="234"/>
      <c r="D68" s="234"/>
      <c r="E68" s="248" t="str">
        <f ca="1">IF(INDIRECT("V23")&lt;&gt;"","RandomNickNames[19]="""&amp;INDIRECT("V23")&amp;"""","")</f>
        <v>RandomNickNames[19]="Mayday"</v>
      </c>
      <c r="F68" s="234" t="s">
        <v>340</v>
      </c>
      <c r="G68" s="234"/>
      <c r="H68" s="234"/>
      <c r="I68" s="234"/>
      <c r="J68" s="234"/>
    </row>
    <row r="69" spans="1:10" x14ac:dyDescent="0.25">
      <c r="A69" s="240" t="str">
        <f ca="1">IF(INDIRECT("B17")=FALSE,";","")&amp;"+AllowedWeapons=(SlotType=eInvSlot_SecondaryWeapon, WeaponType=""psiamp"")"</f>
        <v>;+AllowedWeapons=(SlotType=eInvSlot_SecondaryWeapon, WeaponType="psiamp")</v>
      </c>
      <c r="B69" s="234" t="s">
        <v>340</v>
      </c>
      <c r="C69" s="234"/>
      <c r="D69" s="234"/>
      <c r="E69" s="248" t="str">
        <f ca="1">IF(INDIRECT("V24")&lt;&gt;"","RandomNickNames[20]="""&amp;INDIRECT("V24")&amp;"""","")</f>
        <v>RandomNickNames[20]="Mega"</v>
      </c>
      <c r="F69" s="234" t="s">
        <v>340</v>
      </c>
      <c r="G69" s="234"/>
      <c r="H69" s="234"/>
      <c r="I69" s="234"/>
      <c r="J69" s="234"/>
    </row>
    <row r="70" spans="1:10" x14ac:dyDescent="0.25">
      <c r="A70" s="240" t="str">
        <f ca="1">IF(INDIRECT("B9")=FALSE,";","")&amp;"+AllowedWeapons=(SlotType=eInvSlot_HeavyWeapon, WeaponType=""heavyammo"")"</f>
        <v>;+AllowedWeapons=(SlotType=eInvSlot_HeavyWeapon, WeaponType="heavyammo")</v>
      </c>
      <c r="B70" s="234" t="s">
        <v>340</v>
      </c>
      <c r="C70" s="234"/>
      <c r="D70" s="234"/>
      <c r="E70" s="248" t="str">
        <f ca="1">IF(INDIRECT("V25")&lt;&gt;"","RandomNickNames[21]="""&amp;INDIRECT("V25")&amp;"""","")</f>
        <v>RandomNickNames[21]="Newton"</v>
      </c>
      <c r="F70" s="234" t="s">
        <v>340</v>
      </c>
      <c r="G70" s="234"/>
      <c r="H70" s="234"/>
      <c r="I70" s="234"/>
      <c r="J70" s="234"/>
    </row>
    <row r="71" spans="1:10" x14ac:dyDescent="0.25">
      <c r="A71" s="240" t="str">
        <f ca="1">IF(INDIRECT("B9")=TRUE,";","")&amp;"+AllowedWeapons=(SlotType=eInvSlot_HeavyWeapon, WeaponType=""heavy"")"</f>
        <v>+AllowedWeapons=(SlotType=eInvSlot_HeavyWeapon, WeaponType="heavy")</v>
      </c>
      <c r="B71" s="234" t="s">
        <v>340</v>
      </c>
      <c r="C71" s="234"/>
      <c r="D71" s="234"/>
      <c r="E71" s="248" t="str">
        <f ca="1">IF(INDIRECT("V26")&lt;&gt;"","RandomNickNames[22]="""&amp;INDIRECT("V26")&amp;"""","")</f>
        <v>RandomNickNames[22]="Ragtime"</v>
      </c>
      <c r="F71" s="234" t="s">
        <v>340</v>
      </c>
      <c r="G71" s="234"/>
      <c r="H71" s="234"/>
      <c r="I71" s="234"/>
      <c r="J71" s="234"/>
    </row>
    <row r="72" spans="1:10" x14ac:dyDescent="0.25">
      <c r="A72" s="240" t="str">
        <f ca="1">"+AllowedArmors="&amp;INDIRECT("E13")</f>
        <v>+AllowedArmors=soldier</v>
      </c>
      <c r="B72" s="234" t="s">
        <v>340</v>
      </c>
      <c r="C72" s="234"/>
      <c r="D72" s="234"/>
      <c r="E72" s="248" t="str">
        <f ca="1">IF(INDIRECT("V27")&lt;&gt;"","RandomNickNames[23]="""&amp;INDIRECT("V27")&amp;"""","")</f>
        <v>RandomNickNames[23]="Mortar"</v>
      </c>
      <c r="F72" s="234" t="s">
        <v>340</v>
      </c>
      <c r="G72" s="234"/>
      <c r="H72" s="234"/>
      <c r="I72" s="234"/>
      <c r="J72" s="234"/>
    </row>
    <row r="73" spans="1:10" x14ac:dyDescent="0.25">
      <c r="A73" s="240" t="str">
        <f>"; squaddie"</f>
        <v>; squaddie</v>
      </c>
      <c r="B73" s="234" t="s">
        <v>340</v>
      </c>
      <c r="C73" s="234"/>
      <c r="D73" s="234"/>
      <c r="E73" s="248" t="str">
        <f ca="1">IF(INDIRECT("V28")&lt;&gt;"","RandomNickNames[24]="""&amp;INDIRECT("V28")&amp;"""","")</f>
        <v>RandomNickNames[24]="Rattler"</v>
      </c>
      <c r="F73" s="234" t="s">
        <v>340</v>
      </c>
      <c r="G73" s="234"/>
      <c r="H73" s="234"/>
      <c r="I73" s="234"/>
      <c r="J73" s="234"/>
    </row>
    <row r="74" spans="1:10" x14ac:dyDescent="0.25">
      <c r="A74" s="240" t="str">
        <f ca="1">"+SoldierRanks=(  aAbilityTree=( (AbilityName="""&amp;VLOOKUP(INDIRECT("F4"),Abilities,2,FALSE)&amp;""""&amp;IF(VLOOKUP(INDIRECT("F4"),Abilities,3,FALSE)="","",", ApplyToWeaponSlot=eInvSlot_"&amp;VLOOKUP(INDIRECT("F4"),Abilities,3,FALSE))&amp;"), \\"</f>
        <v>+SoldierRanks=(  aAbilityTree=( (AbilityName="LaunchGrenade", ApplyToWeaponSlot=eInvSlot_SecondaryWeapon), \\</v>
      </c>
      <c r="B74" s="234" t="s">
        <v>340</v>
      </c>
      <c r="C74" s="234"/>
      <c r="D74" s="234"/>
      <c r="E74" s="248" t="str">
        <f ca="1">IF(INDIRECT("V29")&lt;&gt;"","RandomNickNames[25]="""&amp;INDIRECT("V29")&amp;"""","")</f>
        <v>RandomNickNames[25]="Revelation"</v>
      </c>
      <c r="F74" s="234" t="s">
        <v>340</v>
      </c>
      <c r="G74" s="234"/>
      <c r="H74" s="234"/>
      <c r="I74" s="234"/>
      <c r="J74" s="234"/>
    </row>
    <row r="75" spans="1:10" x14ac:dyDescent="0.25">
      <c r="A75" s="240" t="str">
        <f ca="1">IF(INDIRECT("I4")="","\\","(AbilityName="""&amp;VLOOKUP(INDIRECT("I4"),Abilities,2,FALSE)&amp;""""&amp;IF(VLOOKUP(INDIRECT("I4"),Abilities,3,FALSE)="","",", ApplyToWeaponSlot=eInvSlot_"&amp;VLOOKUP(INDIRECT("I4"),Abilities,3,FALSE))&amp;"), \\")</f>
        <v>(AbilityName="ShadowOps_SmokeAndMirrors_LW2", ApplyToWeaponSlot=eInvSlot_SecondaryWeapon), \\</v>
      </c>
      <c r="B75" s="234" t="s">
        <v>340</v>
      </c>
      <c r="C75" s="234"/>
      <c r="D75" s="234"/>
      <c r="E75" s="248" t="str">
        <f ca="1">IF(INDIRECT("V30")&lt;&gt;"","RandomNickNames[26]="""&amp;INDIRECT("V30")&amp;"""","")</f>
        <v>RandomNickNames[26]="Skipper"</v>
      </c>
      <c r="F75" s="234" t="s">
        <v>340</v>
      </c>
      <c r="G75" s="234"/>
      <c r="H75" s="234"/>
      <c r="I75" s="234"/>
      <c r="J75" s="234"/>
    </row>
    <row r="76" spans="1:10" x14ac:dyDescent="0.25">
      <c r="A76" s="240" t="str">
        <f ca="1">IF(INDIRECT("L4")="","\\","(AbilityName="""&amp;VLOOKUP(INDIRECT("L4"),Abilities,2,FALSE)&amp;""""&amp;IF(VLOOKUP(INDIRECT("L4"),Abilities,3,FALSE)="","",", ApplyToWeaponSlot=eInvSlot_"&amp;VLOOKUP(INDIRECT("L4"),Abilities,3,FALSE))&amp;"), \\")</f>
        <v>\\</v>
      </c>
      <c r="B76" s="234" t="s">
        <v>340</v>
      </c>
      <c r="C76" s="234"/>
      <c r="D76" s="234"/>
      <c r="E76" s="248" t="str">
        <f ca="1">IF(INDIRECT("V31")&lt;&gt;"","RandomNickNames[27]="""&amp;INDIRECT("V31")&amp;"""","")</f>
        <v>RandomNickNames[27]="Thunder"</v>
      </c>
      <c r="F76" s="234" t="s">
        <v>340</v>
      </c>
      <c r="G76" s="234"/>
      <c r="H76" s="234"/>
      <c r="I76" s="234"/>
      <c r="J76" s="234"/>
    </row>
    <row r="77" spans="1:10" x14ac:dyDescent="0.25">
      <c r="A77" s="240" t="str">
        <f ca="1">IF(INDIRECT("F7")="","\\","(AbilityName="""&amp;VLOOKUP(INDIRECT("F7"),Abilities,2,FALSE)&amp;""""&amp;IF(VLOOKUP(INDIRECT("F7"),Abilities,3,FALSE)="","",", ApplyToWeaponSlot=eInvSlot_"&amp;VLOOKUP(INDIRECT("F7"),Abilities,3,FALSE))&amp;"), \\")</f>
        <v>\\</v>
      </c>
      <c r="B77" s="234" t="s">
        <v>340</v>
      </c>
      <c r="C77" s="234"/>
      <c r="D77" s="234"/>
      <c r="E77" s="248" t="str">
        <f ca="1">IF(INDIRECT("V32")&lt;&gt;"","RandomNickNames[28]="""&amp;INDIRECT("V32")&amp;"""","")</f>
        <v>RandomNickNames[28]="Undertaker"</v>
      </c>
      <c r="F77" s="234" t="s">
        <v>340</v>
      </c>
      <c r="G77" s="234"/>
      <c r="H77" s="234"/>
      <c r="I77" s="234"/>
      <c r="J77" s="234"/>
    </row>
    <row r="78" spans="1:10" x14ac:dyDescent="0.25">
      <c r="A78" s="240" t="str">
        <f ca="1">IF(INDIRECT("I7")="","\\","(AbilityName="""&amp;VLOOKUP(INDIRECT("I7"),Abilities,2,FALSE)&amp;""""&amp;IF(VLOOKUP(INDIRECT("I7"),Abilities,3,FALSE)="","",", ApplyToWeaponSlot=eInvSlot_"&amp;VLOOKUP(INDIRECT("I7"),Abilities,3,FALSE))&amp;"), \\")</f>
        <v>\\</v>
      </c>
      <c r="B78" s="234" t="s">
        <v>340</v>
      </c>
      <c r="C78" s="234"/>
      <c r="D78" s="234"/>
      <c r="E78" s="248" t="str">
        <f ca="1">IF(INDIRECT("V33")&lt;&gt;"","RandomNickNames[29]="""&amp;INDIRECT("V33")&amp;"""","")</f>
        <v>RandomNickNames[29]="War"</v>
      </c>
      <c r="F78" s="234" t="s">
        <v>340</v>
      </c>
      <c r="G78" s="234"/>
      <c r="H78" s="234"/>
      <c r="I78" s="234"/>
      <c r="J78" s="234"/>
    </row>
    <row r="79" spans="1:10" x14ac:dyDescent="0.25">
      <c r="A79" s="240" t="str">
        <f ca="1">IF(INDIRECT("L7")="","\\","(AbilityName="""&amp;VLOOKUP(INDIRECT("L7"),Abilities,2,FALSE)&amp;""""&amp;IF(VLOOKUP(INDIRECT("L7"),Abilities,3,FALSE)="","",", ApplyToWeaponSlot=eInvSlot_"&amp;VLOOKUP(INDIRECT("L7"),Abilities,3,FALSE))&amp;"), \\")</f>
        <v>\\</v>
      </c>
      <c r="B79" s="234" t="s">
        <v>340</v>
      </c>
      <c r="C79" s="234"/>
      <c r="D79" s="234"/>
      <c r="E79" s="248" t="str">
        <f ca="1">IF(INDIRECT("V34")&lt;&gt;"","RandomNickNames[30]="""&amp;INDIRECT("V34")&amp;"""","")</f>
        <v>RandomNickNames[30]="Whoopsie"</v>
      </c>
      <c r="F79" s="234" t="s">
        <v>340</v>
      </c>
      <c r="G79" s="234"/>
      <c r="H79" s="234"/>
      <c r="I79" s="234"/>
      <c r="J79" s="234"/>
    </row>
    <row r="80" spans="1:10" x14ac:dyDescent="0.25">
      <c r="A80" s="240" t="s">
        <v>337</v>
      </c>
      <c r="B80" s="234" t="s">
        <v>340</v>
      </c>
      <c r="C80" s="234"/>
      <c r="D80" s="234"/>
      <c r="E80" s="248" t="str">
        <f ca="1">IF(INDIRECT("V35")&lt;&gt;"","RandomNickNames[31]="""&amp;INDIRECT("V35")&amp;"""","")</f>
        <v>RandomNickNames[31]="Artillery"</v>
      </c>
      <c r="F80" s="234" t="s">
        <v>340</v>
      </c>
      <c r="G80" s="234"/>
      <c r="H80" s="234"/>
      <c r="I80" s="234"/>
      <c r="J80" s="234"/>
    </row>
    <row r="81" spans="1:10" x14ac:dyDescent="0.25">
      <c r="A81" s="240"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(StatType=eStat_Will,StatAmount=4)),\\</v>
      </c>
      <c r="B81" s="234" t="s">
        <v>340</v>
      </c>
      <c r="C81" s="234"/>
      <c r="D81" s="234"/>
      <c r="E81" s="248" t="str">
        <f>"; Male Nicknames"</f>
        <v>; Male Nicknames</v>
      </c>
      <c r="F81" s="234" t="s">
        <v>340</v>
      </c>
      <c r="G81" s="234"/>
      <c r="H81" s="234"/>
      <c r="I81" s="234"/>
      <c r="J81" s="234"/>
    </row>
    <row r="82" spans="1:10" x14ac:dyDescent="0.25">
      <c r="A82" s="240" t="s">
        <v>338</v>
      </c>
      <c r="B82" s="234" t="s">
        <v>340</v>
      </c>
      <c r="C82" s="234"/>
      <c r="D82" s="234"/>
      <c r="E82" s="248" t="str">
        <f ca="1">IF(INDIRECT("X4")&lt;&gt;"","RandomNickNames_Male[0]="""&amp;INDIRECT("X4")&amp;"""","")</f>
        <v>RandomNickNames_Male[0]="Candyman"</v>
      </c>
      <c r="F82" s="234" t="s">
        <v>340</v>
      </c>
      <c r="G82" s="234"/>
      <c r="H82" s="234"/>
      <c r="I82" s="234"/>
      <c r="J82" s="234"/>
    </row>
    <row r="83" spans="1:10" x14ac:dyDescent="0.25">
      <c r="A83" s="240" t="str">
        <f>"; lance corporal"</f>
        <v>; lance corporal</v>
      </c>
      <c r="B83" s="234" t="s">
        <v>340</v>
      </c>
      <c r="C83" s="234"/>
      <c r="D83" s="234"/>
      <c r="E83" s="248" t="str">
        <f ca="1">IF(INDIRECT("X5")&lt;&gt;"","RandomNickNames_Male[1]="""&amp;INDIRECT("X5")&amp;"""","")</f>
        <v>RandomNickNames_Male[1]="Magic Man"</v>
      </c>
      <c r="F83" s="234" t="s">
        <v>340</v>
      </c>
      <c r="G83" s="234"/>
      <c r="H83" s="234"/>
      <c r="I83" s="234"/>
      <c r="J83" s="234"/>
    </row>
    <row r="84" spans="1:10" x14ac:dyDescent="0.25">
      <c r="A84" s="240" t="str">
        <f ca="1">"+SoldierRanks=(  aAbilityTree=( (AbilityName="""&amp;VLOOKUP(INDIRECT("F13"),Abilities,2,FALSE)&amp;""""&amp;IF(VLOOKUP(INDIRECT("F13"),Abilities,3,FALSE)="","",", ApplyToWeaponSlot=eInvSlot_"&amp;VLOOKUP(INDIRECT("F13"),Abilities,3,FALSE))&amp;"), \\"</f>
        <v>+SoldierRanks=(  aAbilityTree=( (AbilityName="RapidDeployment"), \\</v>
      </c>
      <c r="B84" s="234" t="s">
        <v>340</v>
      </c>
      <c r="C84" s="234"/>
      <c r="D84" s="234"/>
      <c r="E84" s="248" t="str">
        <f ca="1">IF(INDIRECT("X6")&lt;&gt;"","RandomNickNames_Male[2]="""&amp;INDIRECT("X6")&amp;"""","")</f>
        <v>RandomNickNames_Male[2]="Priest"</v>
      </c>
      <c r="F84" s="234" t="s">
        <v>340</v>
      </c>
      <c r="G84" s="234"/>
      <c r="H84" s="234"/>
      <c r="I84" s="234"/>
      <c r="J84" s="234"/>
    </row>
    <row r="85" spans="1:10" x14ac:dyDescent="0.25">
      <c r="A85" s="240" t="str">
        <f ca="1">IF(INDIRECT("I13")="","\\","(AbilityName="""&amp;VLOOKUP(INDIRECT("I13"),Abilities,2,FALSE)&amp;""""&amp;IF(VLOOKUP(INDIRECT("I13"),Abilities,3,FALSE)="","",", ApplyToWeaponSlot=eInvSlot_"&amp;VLOOKUP(INDIRECT("I13"),Abilities,3,FALSE))&amp;"), \\")</f>
        <v>(AbilityName=" "), \\</v>
      </c>
      <c r="B85" s="234" t="s">
        <v>340</v>
      </c>
      <c r="C85" s="234"/>
      <c r="D85" s="234"/>
      <c r="E85" s="248" t="str">
        <f ca="1">IF(INDIRECT("X7")&lt;&gt;"","RandomNickNames_Male[3]="""&amp;INDIRECT("X7")&amp;"""","")</f>
        <v>RandomNickNames_Male[3]="Rainman"</v>
      </c>
      <c r="F85" s="234" t="s">
        <v>340</v>
      </c>
      <c r="G85" s="234"/>
      <c r="H85" s="234"/>
      <c r="I85" s="234"/>
      <c r="J85" s="234"/>
    </row>
    <row r="86" spans="1:10" x14ac:dyDescent="0.25">
      <c r="A86" s="240" t="str">
        <f ca="1">IF(INDIRECT("L13")="","\\","(AbilityName="""&amp;VLOOKUP(INDIRECT("L13"),Abilities,2,FALSE)&amp;""""&amp;IF(VLOOKUP(INDIRECT("L13"),Abilities,3,FALSE)="","",", ApplyToWeaponSlot=eInvSlot_"&amp;VLOOKUP(INDIRECT("L13"),Abilities,3,FALSE))&amp;"), \\")</f>
        <v>(AbilityName="Flashbanger"), \\</v>
      </c>
      <c r="B86" s="234" t="s">
        <v>340</v>
      </c>
      <c r="C86" s="234"/>
      <c r="D86" s="234"/>
      <c r="E86" s="248" t="str">
        <f ca="1">IF(INDIRECT("X8")&lt;&gt;"","RandomNickNames_Male[4]="""&amp;INDIRECT("X8")&amp;"""","")</f>
        <v>RandomNickNames_Male[4]="Mysterio"</v>
      </c>
      <c r="F86" s="234" t="s">
        <v>340</v>
      </c>
      <c r="G86" s="234"/>
      <c r="H86" s="234"/>
      <c r="I86" s="234"/>
      <c r="J86" s="234"/>
    </row>
    <row r="87" spans="1:10" x14ac:dyDescent="0.25">
      <c r="A87" s="240" t="s">
        <v>337</v>
      </c>
      <c r="B87" s="234" t="s">
        <v>340</v>
      </c>
      <c r="C87" s="234"/>
      <c r="D87" s="234"/>
      <c r="E87" s="248" t="str">
        <f>"; Female Nicknames"</f>
        <v>; Female Nicknames</v>
      </c>
      <c r="F87" s="234" t="s">
        <v>340</v>
      </c>
      <c r="G87" s="234"/>
      <c r="H87" s="234"/>
      <c r="I87" s="234"/>
      <c r="J87" s="234"/>
    </row>
    <row r="88" spans="1:10" x14ac:dyDescent="0.25">
      <c r="A88" s="240"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(StatType=eStat_Will,StatAmount=4)),\\</v>
      </c>
      <c r="B88" s="234" t="s">
        <v>340</v>
      </c>
      <c r="C88" s="234"/>
      <c r="D88" s="234"/>
      <c r="E88" s="248" t="str">
        <f ca="1">IF(INDIRECT("X10")&lt;&gt;"","RandomNickNames_Female[0]="""&amp;INDIRECT("X10")&amp;"""","")</f>
        <v>RandomNickNames_Female[0]="Priestess"</v>
      </c>
      <c r="F88" s="234" t="s">
        <v>340</v>
      </c>
      <c r="G88" s="234"/>
      <c r="H88" s="234"/>
      <c r="I88" s="234"/>
      <c r="J88" s="234"/>
    </row>
    <row r="89" spans="1:10" x14ac:dyDescent="0.25">
      <c r="A89" s="240" t="s">
        <v>338</v>
      </c>
      <c r="B89" s="234" t="s">
        <v>340</v>
      </c>
      <c r="C89" s="234"/>
      <c r="D89" s="234"/>
      <c r="E89" s="248" t="str">
        <f ca="1">IF(INDIRECT("X11")&lt;&gt;"","RandomNickNames_Female[1]="""&amp;INDIRECT("X11")&amp;"""","")</f>
        <v>RandomNickNames_Female[1]="Wolfmother"</v>
      </c>
      <c r="F89" s="234" t="s">
        <v>340</v>
      </c>
      <c r="G89" s="234"/>
      <c r="H89" s="234"/>
      <c r="I89" s="234"/>
      <c r="J89" s="234"/>
    </row>
    <row r="90" spans="1:10" x14ac:dyDescent="0.25">
      <c r="A90" s="240" t="str">
        <f>"; corporal"</f>
        <v>; corporal</v>
      </c>
      <c r="B90" s="234" t="s">
        <v>340</v>
      </c>
      <c r="C90" s="234"/>
      <c r="D90" s="234"/>
      <c r="E90" s="248" t="str">
        <f ca="1">IF(INDIRECT("X12")&lt;&gt;"","RandomNickNames_Female[2]="""&amp;INDIRECT("X12")&amp;"""","")</f>
        <v>RandomNickNames_Female[2]="Black Widow"</v>
      </c>
      <c r="F90" s="234" t="s">
        <v>340</v>
      </c>
      <c r="G90" s="234"/>
      <c r="H90" s="234"/>
      <c r="I90" s="234"/>
      <c r="J90" s="234"/>
    </row>
    <row r="91" spans="1:10" x14ac:dyDescent="0.25">
      <c r="A91" s="240" t="str">
        <f ca="1">"+SoldierRanks=(  aAbilityTree=( (AbilityName="""&amp;VLOOKUP(INDIRECT("F17"),Abilities,2,FALSE)&amp;""""&amp;IF(VLOOKUP(INDIRECT("F17"),Abilities,3,FALSE)="","",", ApplyToWeaponSlot=eInvSlot_"&amp;VLOOKUP(INDIRECT("F17"),Abilities,3,FALSE))&amp;"), \\"</f>
        <v>+SoldierRanks=(  aAbilityTree=( (AbilityName=" "), \\</v>
      </c>
      <c r="B91" s="234" t="s">
        <v>340</v>
      </c>
      <c r="C91" s="234"/>
      <c r="D91" s="234"/>
      <c r="E91" s="248" t="str">
        <f ca="1">IF(INDIRECT("X13")&lt;&gt;"","RandomNickNames_Female[3]="""&amp;INDIRECT("X13")&amp;"""","")</f>
        <v>RandomNickNames_Female[3]="Duchess"</v>
      </c>
      <c r="F91" s="234" t="s">
        <v>340</v>
      </c>
      <c r="G91" s="234"/>
      <c r="H91" s="234"/>
      <c r="I91" s="234"/>
      <c r="J91" s="234"/>
    </row>
    <row r="92" spans="1:10" ht="15.75" thickBot="1" x14ac:dyDescent="0.3">
      <c r="A92" s="240" t="str">
        <f ca="1">IF(INDIRECT("I17")="","\\","(AbilityName="""&amp;VLOOKUP(INDIRECT("I17"),Abilities,2,FALSE)&amp;""""&amp;IF(VLOOKUP(INDIRECT("I17"),Abilities,3,FALSE)="","",", ApplyToWeaponSlot=eInvSlot_"&amp;VLOOKUP(INDIRECT("I17"),Abilities,3,FALSE))&amp;"), \\")</f>
        <v>(AbilityName="Protector"), \\</v>
      </c>
      <c r="B92" s="234" t="s">
        <v>340</v>
      </c>
      <c r="C92" s="234"/>
      <c r="D92" s="234"/>
      <c r="E92" s="249" t="str">
        <f ca="1">IF(INDIRECT("X14")&lt;&gt;"","RandomNickNames_Female[4]="""&amp;INDIRECT("X14")&amp;"""","")</f>
        <v>RandomNickNames_Female[4]="Queen"</v>
      </c>
      <c r="F92" s="234" t="s">
        <v>340</v>
      </c>
      <c r="G92" s="234"/>
      <c r="H92" s="234"/>
      <c r="I92" s="234"/>
      <c r="J92" s="234"/>
    </row>
    <row r="93" spans="1:10" x14ac:dyDescent="0.25">
      <c r="A93" s="240" t="str">
        <f ca="1">IF(INDIRECT("L17")="","\\","(AbilityName="""&amp;VLOOKUP(INDIRECT("L17"),Abilities,2,FALSE)&amp;""""&amp;IF(VLOOKUP(INDIRECT("L17"),Abilities,3,FALSE)="","",", ApplyToWeaponSlot=eInvSlot_"&amp;VLOOKUP(INDIRECT("L17"),Abilities,3,FALSE))&amp;"), \\")</f>
        <v>(AbilityName=" "), \\</v>
      </c>
      <c r="B93" s="234" t="s">
        <v>340</v>
      </c>
      <c r="C93" s="234"/>
      <c r="D93" s="234"/>
      <c r="E93" s="234"/>
      <c r="F93" s="234"/>
      <c r="G93" s="234"/>
      <c r="H93" s="234"/>
      <c r="I93" s="234"/>
      <c r="J93" s="234"/>
    </row>
    <row r="94" spans="1:10" x14ac:dyDescent="0.25">
      <c r="A94" s="240" t="s">
        <v>337</v>
      </c>
      <c r="B94" s="234" t="s">
        <v>340</v>
      </c>
      <c r="C94" s="234"/>
      <c r="D94" s="234"/>
      <c r="E94" s="234"/>
      <c r="F94" s="234"/>
      <c r="G94" s="234"/>
      <c r="H94" s="234"/>
      <c r="I94" s="234"/>
      <c r="J94" s="234"/>
    </row>
    <row r="95" spans="1:10" x14ac:dyDescent="0.25">
      <c r="A95" s="240"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234" t="s">
        <v>340</v>
      </c>
      <c r="C95" s="234"/>
      <c r="D95" s="234"/>
      <c r="E95" s="234"/>
      <c r="F95" s="234"/>
      <c r="G95" s="234"/>
      <c r="H95" s="234"/>
      <c r="I95" s="234"/>
      <c r="J95" s="234"/>
    </row>
    <row r="96" spans="1:10" x14ac:dyDescent="0.25">
      <c r="A96" s="240" t="s">
        <v>338</v>
      </c>
      <c r="B96" s="234" t="s">
        <v>340</v>
      </c>
      <c r="C96" s="234"/>
      <c r="D96" s="234"/>
      <c r="E96" s="234"/>
      <c r="F96" s="234"/>
      <c r="G96" s="234"/>
      <c r="H96" s="234"/>
      <c r="I96" s="234"/>
      <c r="J96" s="234"/>
    </row>
    <row r="97" spans="1:10" x14ac:dyDescent="0.25">
      <c r="A97" s="240" t="str">
        <f>"; sergeant"</f>
        <v>; sergeant</v>
      </c>
      <c r="B97" s="234" t="s">
        <v>340</v>
      </c>
      <c r="C97" s="234"/>
      <c r="D97" s="234"/>
      <c r="E97" s="234"/>
      <c r="F97" s="234"/>
      <c r="G97" s="234"/>
      <c r="H97" s="234"/>
      <c r="I97" s="234"/>
      <c r="J97" s="234"/>
    </row>
    <row r="98" spans="1:10" x14ac:dyDescent="0.25">
      <c r="A98" s="240" t="str">
        <f ca="1">"+SoldierRanks=(  aAbilityTree=( (AbilityName="""&amp;VLOOKUP(INDIRECT("F21"),Abilities,2,FALSE)&amp;""""&amp;IF(VLOOKUP(INDIRECT("F21"),Abilities,3,FALSE)="","",", ApplyToWeaponSlot=eInvSlot_"&amp;VLOOKUP(INDIRECT("F21"),Abilities,3,FALSE))&amp;"), \\"</f>
        <v>+SoldierRanks=(  aAbilityTree=( (AbilityName="CoolUnderPressure", ApplyToWeaponSlot=eInvSlot_PrimaryWeapon), \\</v>
      </c>
      <c r="B98" s="234" t="s">
        <v>340</v>
      </c>
      <c r="C98" s="234"/>
      <c r="D98" s="234"/>
      <c r="E98" s="234"/>
      <c r="F98" s="234"/>
      <c r="G98" s="234"/>
      <c r="H98" s="234"/>
      <c r="I98" s="234"/>
      <c r="J98" s="234"/>
    </row>
    <row r="99" spans="1:10" x14ac:dyDescent="0.25">
      <c r="A99" s="240" t="str">
        <f ca="1">IF(INDIRECT("I21")="","\\","(AbilityName="""&amp;VLOOKUP(INDIRECT("I21"),Abilities,2,FALSE)&amp;""""&amp;IF(VLOOKUP(INDIRECT("I21"),Abilities,3,FALSE)="","",", ApplyToWeaponSlot=eInvSlot_"&amp;VLOOKUP(INDIRECT("I21"),Abilities,3,FALSE))&amp;"), \\")</f>
        <v>(AbilityName=" "), \\</v>
      </c>
      <c r="B99" s="234" t="s">
        <v>340</v>
      </c>
      <c r="C99" s="234"/>
      <c r="D99" s="234"/>
      <c r="E99" s="234"/>
      <c r="F99" s="234"/>
      <c r="G99" s="234"/>
      <c r="H99" s="234"/>
      <c r="I99" s="234"/>
      <c r="J99" s="234"/>
    </row>
    <row r="100" spans="1:10" x14ac:dyDescent="0.25">
      <c r="A100" s="240" t="str">
        <f ca="1">IF(INDIRECT("L21")="","\\","(AbilityName="""&amp;VLOOKUP(INDIRECT("L21"),Abilities,2,FALSE)&amp;""""&amp;IF(VLOOKUP(INDIRECT("L21"),Abilities,3,FALSE)="","",", ApplyToWeaponSlot=eInvSlot_"&amp;VLOOKUP(INDIRECT("L21"),Abilities,3,FALSE))&amp;"), \\")</f>
        <v>(AbilityName="BluescreenBombs", ApplyToWeaponSlot=eInvSlot_Unknown), \\</v>
      </c>
      <c r="B100" s="234" t="s">
        <v>340</v>
      </c>
      <c r="C100" s="234"/>
      <c r="D100" s="234"/>
      <c r="E100" s="234"/>
      <c r="F100" s="234"/>
      <c r="G100" s="234"/>
      <c r="H100" s="234"/>
      <c r="I100" s="234"/>
      <c r="J100" s="234"/>
    </row>
    <row r="101" spans="1:10" x14ac:dyDescent="0.25">
      <c r="A101" s="240" t="s">
        <v>337</v>
      </c>
      <c r="B101" s="234" t="s">
        <v>340</v>
      </c>
      <c r="C101" s="234"/>
      <c r="D101" s="234"/>
      <c r="E101" s="234"/>
      <c r="F101" s="234"/>
      <c r="G101" s="234"/>
      <c r="H101" s="234"/>
      <c r="I101" s="234"/>
      <c r="J101" s="234"/>
    </row>
    <row r="102" spans="1:10" x14ac:dyDescent="0.25">
      <c r="A102" s="240"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234" t="s">
        <v>340</v>
      </c>
      <c r="C102" s="234"/>
      <c r="D102" s="234"/>
      <c r="E102" s="234"/>
      <c r="F102" s="234"/>
      <c r="G102" s="234"/>
      <c r="H102" s="234"/>
      <c r="I102" s="234"/>
      <c r="J102" s="234"/>
    </row>
    <row r="103" spans="1:10" x14ac:dyDescent="0.25">
      <c r="A103" s="240" t="s">
        <v>338</v>
      </c>
      <c r="B103" s="234" t="s">
        <v>340</v>
      </c>
      <c r="C103" s="234"/>
      <c r="D103" s="234"/>
      <c r="E103" s="234"/>
      <c r="F103" s="234"/>
      <c r="G103" s="234"/>
      <c r="H103" s="234"/>
      <c r="I103" s="234"/>
      <c r="J103" s="234"/>
    </row>
    <row r="104" spans="1:10" x14ac:dyDescent="0.25">
      <c r="A104" s="240" t="str">
        <f>"; staff sergeant"</f>
        <v>; staff sergeant</v>
      </c>
      <c r="B104" s="234" t="s">
        <v>340</v>
      </c>
      <c r="C104" s="234"/>
      <c r="D104" s="234"/>
      <c r="E104" s="234"/>
      <c r="F104" s="234"/>
      <c r="G104" s="234"/>
      <c r="H104" s="234"/>
      <c r="I104" s="234"/>
      <c r="J104" s="234"/>
    </row>
    <row r="105" spans="1:10" x14ac:dyDescent="0.25">
      <c r="A105" s="240" t="str">
        <f ca="1">"+SoldierRanks=(  aAbilityTree=( (AbilityName="""&amp;VLOOKUP(INDIRECT("F25"),Abilities,2,FALSE)&amp;""""&amp;IF(VLOOKUP(INDIRECT("F25"),Abilities,3,FALSE)="","",", ApplyToWeaponSlot=eInvSlot_"&amp;VLOOKUP(INDIRECT("F25"),Abilities,3,FALSE))&amp;"), \\"</f>
        <v>+SoldierRanks=(  aAbilityTree=( (AbilityName="Suppression_LW", ApplyToWeaponSlot=eInvSlot_PrimaryWeapon), \\</v>
      </c>
      <c r="B105" s="234" t="s">
        <v>340</v>
      </c>
      <c r="C105" s="234"/>
      <c r="D105" s="234"/>
      <c r="E105" s="234"/>
      <c r="F105" s="234"/>
      <c r="G105" s="234"/>
      <c r="H105" s="234"/>
      <c r="I105" s="234"/>
      <c r="J105" s="234"/>
    </row>
    <row r="106" spans="1:10" x14ac:dyDescent="0.25">
      <c r="A106" s="240" t="str">
        <f ca="1">IF(INDIRECT("I25")="","\\","(AbilityName="""&amp;VLOOKUP(INDIRECT("I25"),Abilities,2,FALSE)&amp;""""&amp;IF(VLOOKUP(INDIRECT("I25"),Abilities,3,FALSE)="","",", ApplyToWeaponSlot=eInvSlot_"&amp;VLOOKUP(INDIRECT("I25"),Abilities,3,FALSE))&amp;"), \\")</f>
        <v>(AbilityName=" "), \\</v>
      </c>
      <c r="B106" s="234" t="s">
        <v>340</v>
      </c>
      <c r="C106" s="234"/>
      <c r="D106" s="234"/>
      <c r="E106" s="234"/>
      <c r="F106" s="234"/>
      <c r="G106" s="234"/>
      <c r="H106" s="234"/>
      <c r="I106" s="234"/>
      <c r="J106" s="234"/>
    </row>
    <row r="107" spans="1:10" x14ac:dyDescent="0.25">
      <c r="A107" s="240" t="str">
        <f ca="1">IF(INDIRECT("L25")="","\\","(AbilityName="""&amp;VLOOKUP(INDIRECT("L25"),Abilities,2,FALSE)&amp;""""&amp;IF(VLOOKUP(INDIRECT("L25"),Abilities,3,FALSE)="","",", ApplyToWeaponSlot=eInvSlot_"&amp;VLOOKUP(INDIRECT("L25"),Abilities,3,FALSE))&amp;"), \\")</f>
        <v>(AbilityName="StingGrenades", ApplyToWeaponSlot=eInvSlot_SecondaryWeapon), \\</v>
      </c>
      <c r="B107" s="234" t="s">
        <v>340</v>
      </c>
      <c r="C107" s="234"/>
      <c r="D107" s="234"/>
      <c r="E107" s="234"/>
      <c r="F107" s="234"/>
      <c r="G107" s="234"/>
      <c r="H107" s="234"/>
      <c r="I107" s="234"/>
      <c r="J107" s="234"/>
    </row>
    <row r="108" spans="1:10" x14ac:dyDescent="0.25">
      <c r="A108" s="240" t="s">
        <v>337</v>
      </c>
      <c r="B108" s="234" t="s">
        <v>340</v>
      </c>
      <c r="C108" s="234"/>
      <c r="D108" s="234"/>
      <c r="E108" s="234"/>
      <c r="F108" s="234"/>
      <c r="G108" s="234"/>
      <c r="H108" s="234"/>
      <c r="I108" s="234"/>
      <c r="J108" s="234"/>
    </row>
    <row r="109" spans="1:10" x14ac:dyDescent="0.25">
      <c r="A109" s="240"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234" t="s">
        <v>340</v>
      </c>
      <c r="C109" s="234"/>
      <c r="D109" s="234"/>
      <c r="E109" s="234"/>
      <c r="F109" s="234"/>
      <c r="G109" s="234"/>
      <c r="H109" s="234"/>
      <c r="I109" s="234"/>
      <c r="J109" s="234"/>
    </row>
    <row r="110" spans="1:10" x14ac:dyDescent="0.25">
      <c r="A110" s="240" t="s">
        <v>338</v>
      </c>
      <c r="B110" s="234" t="s">
        <v>340</v>
      </c>
      <c r="C110" s="234"/>
      <c r="D110" s="234"/>
      <c r="E110" s="234"/>
      <c r="F110" s="234"/>
      <c r="G110" s="234"/>
      <c r="H110" s="234"/>
      <c r="I110" s="234"/>
      <c r="J110" s="234"/>
    </row>
    <row r="111" spans="1:10" x14ac:dyDescent="0.25">
      <c r="A111" s="240" t="str">
        <f>"; tech sergeant"</f>
        <v>; tech sergeant</v>
      </c>
      <c r="B111" s="234" t="s">
        <v>340</v>
      </c>
      <c r="C111" s="234"/>
      <c r="D111" s="234"/>
      <c r="E111" s="234"/>
      <c r="F111" s="234"/>
      <c r="G111" s="234"/>
      <c r="H111" s="234"/>
      <c r="I111" s="234"/>
      <c r="J111" s="234"/>
    </row>
    <row r="112" spans="1:10" x14ac:dyDescent="0.25">
      <c r="A112" s="240" t="str">
        <f ca="1">"+SoldierRanks=(  aAbilityTree=( (AbilityName="""&amp;VLOOKUP(INDIRECT("F29"),Abilities,2,FALSE)&amp;""""&amp;IF(VLOOKUP(INDIRECT("F29"),Abilities,3,FALSE)="","",", ApplyToWeaponSlot=eInvSlot_"&amp;VLOOKUP(INDIRECT("F29"),Abilities,3,FALSE))&amp;"), \\"</f>
        <v>+SoldierRanks=(  aAbilityTree=( (AbilityName="ShadowOps_CombatDrugs"), \\</v>
      </c>
      <c r="B112" s="234" t="s">
        <v>340</v>
      </c>
      <c r="C112" s="234"/>
      <c r="D112" s="234"/>
      <c r="E112" s="234"/>
      <c r="F112" s="234"/>
      <c r="G112" s="234"/>
      <c r="H112" s="234"/>
      <c r="I112" s="234"/>
      <c r="J112" s="234"/>
    </row>
    <row r="113" spans="1:10" x14ac:dyDescent="0.25">
      <c r="A113" s="240" t="str">
        <f ca="1">IF(INDIRECT("I29")="","\\","(AbilityName="""&amp;VLOOKUP(INDIRECT("I29"),Abilities,2,FALSE)&amp;""""&amp;IF(VLOOKUP(INDIRECT("I29"),Abilities,3,FALSE)="","",", ApplyToWeaponSlot=eInvSlot_"&amp;VLOOKUP(INDIRECT("I29"),Abilities,3,FALSE))&amp;"), \\")</f>
        <v>(AbilityName=" "), \\</v>
      </c>
      <c r="B113" s="234" t="s">
        <v>340</v>
      </c>
      <c r="C113" s="234"/>
      <c r="D113" s="234"/>
      <c r="E113" s="234"/>
      <c r="F113" s="234"/>
      <c r="G113" s="234"/>
      <c r="H113" s="234"/>
      <c r="I113" s="234"/>
      <c r="J113" s="234"/>
    </row>
    <row r="114" spans="1:10" x14ac:dyDescent="0.25">
      <c r="A114" s="240" t="str">
        <f ca="1">IF(INDIRECT("L29")="","\\","(AbilityName="""&amp;VLOOKUP(INDIRECT("L29"),Abilities,2,FALSE)&amp;""""&amp;IF(VLOOKUP(INDIRECT("L29"),Abilities,3,FALSE)="","",", ApplyToWeaponSlot=eInvSlot_"&amp;VLOOKUP(INDIRECT("L29"),Abilities,3,FALSE))&amp;"), \\")</f>
        <v>(AbilityName="DenseSmoke"), \\</v>
      </c>
      <c r="B114" s="234" t="s">
        <v>340</v>
      </c>
      <c r="C114" s="234"/>
      <c r="D114" s="234"/>
      <c r="E114" s="234"/>
      <c r="F114" s="234"/>
      <c r="G114" s="234"/>
      <c r="H114" s="234"/>
      <c r="I114" s="234"/>
      <c r="J114" s="234"/>
    </row>
    <row r="115" spans="1:10" x14ac:dyDescent="0.25">
      <c r="A115" s="240" t="s">
        <v>337</v>
      </c>
      <c r="B115" s="234" t="s">
        <v>340</v>
      </c>
      <c r="C115" s="234"/>
      <c r="D115" s="234"/>
      <c r="E115" s="234"/>
      <c r="F115" s="234"/>
      <c r="G115" s="234"/>
      <c r="H115" s="234"/>
      <c r="I115" s="234"/>
      <c r="J115" s="234"/>
    </row>
    <row r="116" spans="1:10" x14ac:dyDescent="0.25">
      <c r="A116" s="240"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(StatType=eStat_HP,StatAmount=1), (StatType=eStat_Hacking,StatAmount=0)),\\</v>
      </c>
      <c r="B116" s="234" t="s">
        <v>340</v>
      </c>
      <c r="C116" s="234"/>
      <c r="D116" s="234"/>
      <c r="E116" s="234"/>
      <c r="F116" s="234"/>
      <c r="G116" s="234"/>
      <c r="H116" s="234"/>
      <c r="I116" s="234"/>
      <c r="J116" s="234"/>
    </row>
    <row r="117" spans="1:10" x14ac:dyDescent="0.25">
      <c r="A117" s="240" t="s">
        <v>338</v>
      </c>
      <c r="B117" s="234" t="s">
        <v>340</v>
      </c>
      <c r="C117" s="234"/>
      <c r="D117" s="234"/>
      <c r="E117" s="234"/>
      <c r="F117" s="234"/>
      <c r="G117" s="234"/>
      <c r="H117" s="234"/>
      <c r="I117" s="234"/>
      <c r="J117" s="234"/>
    </row>
    <row r="118" spans="1:10" x14ac:dyDescent="0.25">
      <c r="A118" s="240" t="str">
        <f>";  gunnery sergeant"</f>
        <v>;  gunnery sergeant</v>
      </c>
      <c r="B118" s="234" t="s">
        <v>340</v>
      </c>
      <c r="C118" s="234"/>
      <c r="D118" s="234"/>
      <c r="E118" s="234"/>
      <c r="F118" s="234"/>
      <c r="G118" s="234"/>
      <c r="H118" s="234"/>
      <c r="I118" s="234"/>
      <c r="J118" s="234"/>
    </row>
    <row r="119" spans="1:10" x14ac:dyDescent="0.25">
      <c r="A119" s="240" t="str">
        <f ca="1">"+SoldierRanks=(  aAbilityTree=( (AbilityName="""&amp;VLOOKUP(INDIRECT("F33"),Abilities,2,FALSE)&amp;""""&amp;IF(VLOOKUP(INDIRECT("F33"),Abilities,3,FALSE)="","",", ApplyToWeaponSlot=eInvSlot_"&amp;VLOOKUP(INDIRECT("F33"),Abilities,3,FALSE))&amp;"), \\"</f>
        <v>+SoldierRanks=(  aAbilityTree=( (AbilityName=" "), \\</v>
      </c>
      <c r="B119" s="234" t="s">
        <v>340</v>
      </c>
      <c r="C119" s="234"/>
      <c r="D119" s="234"/>
      <c r="E119" s="234"/>
      <c r="F119" s="234"/>
      <c r="G119" s="234"/>
      <c r="H119" s="234"/>
      <c r="I119" s="234"/>
      <c r="J119" s="234"/>
    </row>
    <row r="120" spans="1:10" x14ac:dyDescent="0.25">
      <c r="A120" s="240" t="str">
        <f ca="1">IF(INDIRECT("I33")="","\\","(AbilityName="""&amp;VLOOKUP(INDIRECT("I33"),Abilities,2,FALSE)&amp;""""&amp;IF(VLOOKUP(INDIRECT("I33"),Abilities,3,FALSE)="","",", ApplyToWeaponSlot=eInvSlot_"&amp;VLOOKUP(INDIRECT("I33"),Abilities,3,FALSE))&amp;"), \\")</f>
        <v>(AbilityName="Bombard_LW", ApplyToWeaponSlot=eInvSlot_Unknown), \\</v>
      </c>
      <c r="B120" s="234" t="s">
        <v>340</v>
      </c>
      <c r="C120" s="234"/>
      <c r="D120" s="234"/>
      <c r="E120" s="234"/>
      <c r="F120" s="234"/>
      <c r="G120" s="234"/>
      <c r="H120" s="234"/>
      <c r="I120" s="234"/>
      <c r="J120" s="234"/>
    </row>
    <row r="121" spans="1:10" x14ac:dyDescent="0.25">
      <c r="A121" s="240" t="str">
        <f ca="1">IF(INDIRECT("L33")="","\\","(AbilityName="""&amp;VLOOKUP(INDIRECT("L33"),Abilities,2,FALSE)&amp;""""&amp;IF(VLOOKUP(INDIRECT("L33"),Abilities,3,FALSE)="","",", ApplyToWeaponSlot=eInvSlot_"&amp;VLOOKUP(INDIRECT("L33"),Abilities,3,FALSE))&amp;"), \\")</f>
        <v>(AbilityName=" "), \\</v>
      </c>
      <c r="B121" s="234" t="s">
        <v>340</v>
      </c>
      <c r="C121" s="234"/>
      <c r="D121" s="234"/>
      <c r="E121" s="234"/>
      <c r="F121" s="234"/>
      <c r="G121" s="234"/>
      <c r="H121" s="234"/>
      <c r="I121" s="234"/>
      <c r="J121" s="234"/>
    </row>
    <row r="122" spans="1:10" x14ac:dyDescent="0.25">
      <c r="A122" s="240" t="s">
        <v>337</v>
      </c>
      <c r="B122" s="234" t="s">
        <v>340</v>
      </c>
      <c r="C122" s="234"/>
      <c r="D122" s="234"/>
      <c r="E122" s="234"/>
      <c r="F122" s="234"/>
      <c r="G122" s="234"/>
      <c r="H122" s="234"/>
      <c r="I122" s="234"/>
      <c r="J122" s="234"/>
    </row>
    <row r="123" spans="1:10" x14ac:dyDescent="0.25">
      <c r="A123" s="240"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234" t="s">
        <v>340</v>
      </c>
      <c r="C123" s="234"/>
      <c r="D123" s="234"/>
      <c r="E123" s="234"/>
      <c r="F123" s="234"/>
      <c r="G123" s="234"/>
      <c r="H123" s="234"/>
      <c r="I123" s="234"/>
      <c r="J123" s="234"/>
    </row>
    <row r="124" spans="1:10" x14ac:dyDescent="0.25">
      <c r="A124" s="240" t="s">
        <v>338</v>
      </c>
      <c r="B124" s="234" t="s">
        <v>340</v>
      </c>
      <c r="C124" s="234"/>
      <c r="D124" s="234"/>
      <c r="E124" s="234"/>
      <c r="F124" s="234"/>
      <c r="G124" s="234"/>
      <c r="H124" s="234"/>
      <c r="I124" s="234"/>
      <c r="J124" s="234"/>
    </row>
    <row r="125" spans="1:10" x14ac:dyDescent="0.25">
      <c r="A125" s="240" t="str">
        <f>"; master sergeant"</f>
        <v>; master sergeant</v>
      </c>
      <c r="B125" s="234" t="s">
        <v>340</v>
      </c>
      <c r="C125" s="234"/>
      <c r="D125" s="234"/>
      <c r="E125" s="234"/>
      <c r="F125" s="234"/>
      <c r="G125" s="234"/>
      <c r="H125" s="234"/>
      <c r="I125" s="234"/>
      <c r="J125" s="234"/>
    </row>
    <row r="126" spans="1:10" x14ac:dyDescent="0.25">
      <c r="A126" s="240" t="str">
        <f ca="1">"+SoldierRanks=(  aAbilityTree=( (AbilityName="""&amp;VLOOKUP(INDIRECT("F37"),Abilities,2,FALSE)&amp;""""&amp;IF(VLOOKUP(INDIRECT("F37"),Abilities,3,FALSE)="","",", ApplyToWeaponSlot=eInvSlot_"&amp;VLOOKUP(INDIRECT("F37"),Abilities,3,FALSE))&amp;"), \\"</f>
        <v>+SoldierRanks=(  aAbilityTree=( (AbilityName="ShadowOps_Focus", ApplyToWeaponSlot=eInvSlot_PrimaryWeapon), \\</v>
      </c>
      <c r="B126" s="234" t="s">
        <v>340</v>
      </c>
      <c r="C126" s="234"/>
      <c r="D126" s="234"/>
      <c r="E126" s="234"/>
      <c r="F126" s="234"/>
      <c r="G126" s="234"/>
      <c r="H126" s="234"/>
      <c r="I126" s="234"/>
      <c r="J126" s="234"/>
    </row>
    <row r="127" spans="1:10" x14ac:dyDescent="0.25">
      <c r="A127" s="240" t="str">
        <f ca="1">IF(INDIRECT("I37")="","\\","(AbilityName="""&amp;VLOOKUP(INDIRECT("I37"),Abilities,2,FALSE)&amp;""""&amp;IF(VLOOKUP(INDIRECT("I37"),Abilities,3,FALSE)="","",", ApplyToWeaponSlot=eInvSlot_"&amp;VLOOKUP(INDIRECT("I37"),Abilities,3,FALSE))&amp;"), \\")</f>
        <v>(AbilityName=" "), \\</v>
      </c>
      <c r="B127" s="234" t="s">
        <v>340</v>
      </c>
      <c r="C127" s="234"/>
      <c r="D127" s="234"/>
      <c r="E127" s="234"/>
      <c r="F127" s="234"/>
      <c r="G127" s="234"/>
      <c r="H127" s="234"/>
      <c r="I127" s="234"/>
      <c r="J127" s="234"/>
    </row>
    <row r="128" spans="1:10" x14ac:dyDescent="0.25">
      <c r="A128" s="240" t="str">
        <f ca="1">IF(INDIRECT("L37")="","\\","(AbilityName="""&amp;VLOOKUP(INDIRECT("L37"),Abilities,2,FALSE)&amp;""""&amp;IF(VLOOKUP(INDIRECT("L37"),Abilities,3,FALSE)="","",", ApplyToWeaponSlot=eInvSlot_"&amp;VLOOKUP(INDIRECT("L37"),Abilities,3,FALSE))&amp;"), \\")</f>
        <v>(AbilityName="GhostGrenade", ApplyToWeaponSlot=eInvSlot_SecondaryWeapon), \\</v>
      </c>
      <c r="B128" s="234" t="s">
        <v>340</v>
      </c>
      <c r="C128" s="234"/>
      <c r="D128" s="234"/>
      <c r="E128" s="234"/>
      <c r="F128" s="234"/>
      <c r="G128" s="234"/>
      <c r="H128" s="234"/>
      <c r="I128" s="234"/>
      <c r="J128" s="234"/>
    </row>
    <row r="129" spans="1:10" x14ac:dyDescent="0.25">
      <c r="A129" s="240" t="s">
        <v>337</v>
      </c>
      <c r="B129" s="234" t="s">
        <v>340</v>
      </c>
      <c r="C129" s="234"/>
      <c r="D129" s="234"/>
      <c r="E129" s="234"/>
      <c r="F129" s="234"/>
      <c r="G129" s="234"/>
      <c r="H129" s="234"/>
      <c r="I129" s="234"/>
      <c r="J129" s="234"/>
    </row>
    <row r="130" spans="1:10" x14ac:dyDescent="0.25">
      <c r="A130" s="240"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234" t="s">
        <v>340</v>
      </c>
      <c r="C130" s="234"/>
      <c r="D130" s="234"/>
      <c r="E130" s="234"/>
      <c r="F130" s="234"/>
      <c r="G130" s="234"/>
      <c r="H130" s="234"/>
      <c r="I130" s="234"/>
      <c r="J130" s="234"/>
    </row>
    <row r="131" spans="1:10" ht="15.75" thickBot="1" x14ac:dyDescent="0.3">
      <c r="A131" s="241" t="s">
        <v>338</v>
      </c>
      <c r="B131" s="234" t="s">
        <v>340</v>
      </c>
      <c r="C131" s="234"/>
      <c r="D131" s="234"/>
      <c r="E131" s="234"/>
      <c r="F131" s="234"/>
      <c r="G131" s="234"/>
      <c r="H131" s="234"/>
      <c r="I131" s="234"/>
      <c r="J131" s="234"/>
    </row>
  </sheetData>
  <mergeCells count="140">
    <mergeCell ref="V35:W35"/>
    <mergeCell ref="V28:W28"/>
    <mergeCell ref="V29:W29"/>
    <mergeCell ref="V30:W30"/>
    <mergeCell ref="V31:W31"/>
    <mergeCell ref="V32:W32"/>
    <mergeCell ref="V23:W23"/>
    <mergeCell ref="V24:W24"/>
    <mergeCell ref="V25:W25"/>
    <mergeCell ref="V26:W26"/>
    <mergeCell ref="V27:W27"/>
    <mergeCell ref="V1:Y2"/>
    <mergeCell ref="V3:W3"/>
    <mergeCell ref="X3:Y3"/>
    <mergeCell ref="V4:W4"/>
    <mergeCell ref="X4:Y4"/>
    <mergeCell ref="V11:W11"/>
    <mergeCell ref="X11:Y11"/>
    <mergeCell ref="V12:W12"/>
    <mergeCell ref="X12:Y12"/>
    <mergeCell ref="V8:W8"/>
    <mergeCell ref="X8:Y8"/>
    <mergeCell ref="V9:W9"/>
    <mergeCell ref="X9:Y9"/>
    <mergeCell ref="V10:W10"/>
    <mergeCell ref="X10:Y10"/>
    <mergeCell ref="L33:M33"/>
    <mergeCell ref="F34:H35"/>
    <mergeCell ref="I34:K35"/>
    <mergeCell ref="L34:N35"/>
    <mergeCell ref="V5:W5"/>
    <mergeCell ref="X5:Y5"/>
    <mergeCell ref="V6:W6"/>
    <mergeCell ref="X6:Y6"/>
    <mergeCell ref="V7:W7"/>
    <mergeCell ref="X7:Y7"/>
    <mergeCell ref="V13:W13"/>
    <mergeCell ref="X13:Y13"/>
    <mergeCell ref="V18:W18"/>
    <mergeCell ref="V19:W19"/>
    <mergeCell ref="V20:W20"/>
    <mergeCell ref="V21:W21"/>
    <mergeCell ref="V22:W22"/>
    <mergeCell ref="V14:W14"/>
    <mergeCell ref="X14:Y14"/>
    <mergeCell ref="V15:W15"/>
    <mergeCell ref="V16:W16"/>
    <mergeCell ref="V17:W17"/>
    <mergeCell ref="V33:W33"/>
    <mergeCell ref="V34:W34"/>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F36:N36"/>
    <mergeCell ref="F37:G37"/>
    <mergeCell ref="I37:J37"/>
    <mergeCell ref="L37:M37"/>
    <mergeCell ref="F38:H39"/>
    <mergeCell ref="I38:K39"/>
    <mergeCell ref="L38:N39"/>
    <mergeCell ref="I33:J33"/>
    <mergeCell ref="I17:J17"/>
    <mergeCell ref="L17:M17"/>
    <mergeCell ref="C12:D12"/>
    <mergeCell ref="F12:N12"/>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C10:D10"/>
    <mergeCell ref="F10:H10"/>
    <mergeCell ref="I10:K10"/>
    <mergeCell ref="L10:N10"/>
    <mergeCell ref="C11:D11"/>
    <mergeCell ref="F11:H11"/>
    <mergeCell ref="I11:K11"/>
    <mergeCell ref="L11:N11"/>
    <mergeCell ref="O1:U2"/>
    <mergeCell ref="A3:B3"/>
    <mergeCell ref="C3:E3"/>
    <mergeCell ref="F3:N3"/>
    <mergeCell ref="A4:B4"/>
    <mergeCell ref="C4:E5"/>
    <mergeCell ref="F4:G4"/>
    <mergeCell ref="I4:J4"/>
    <mergeCell ref="L4:M4"/>
    <mergeCell ref="F5:H6"/>
    <mergeCell ref="I5:K6"/>
    <mergeCell ref="L5:N6"/>
    <mergeCell ref="C6:D6"/>
    <mergeCell ref="A40:B41"/>
    <mergeCell ref="C40:E41"/>
    <mergeCell ref="A42:B42"/>
    <mergeCell ref="C42:D42"/>
    <mergeCell ref="E42:F42"/>
    <mergeCell ref="A1:B2"/>
    <mergeCell ref="C1:E2"/>
    <mergeCell ref="F1:N2"/>
    <mergeCell ref="C7:D7"/>
    <mergeCell ref="F7:G7"/>
    <mergeCell ref="I7:J7"/>
    <mergeCell ref="L7:M7"/>
    <mergeCell ref="C8:D8"/>
    <mergeCell ref="F8:H9"/>
    <mergeCell ref="I8:K9"/>
    <mergeCell ref="L8:N9"/>
    <mergeCell ref="C9:D9"/>
    <mergeCell ref="F14:H15"/>
    <mergeCell ref="I14:K15"/>
    <mergeCell ref="L14:N15"/>
    <mergeCell ref="F16:N16"/>
    <mergeCell ref="F17:G1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3185"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93186"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93187"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93188"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93189"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93190"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93191"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93192"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93193"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93194"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93195"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93196"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93197"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90" t="s">
        <v>308</v>
      </c>
      <c r="B1" s="91"/>
      <c r="C1" s="94" t="s">
        <v>461</v>
      </c>
      <c r="D1" s="95"/>
      <c r="E1" s="95"/>
      <c r="F1" s="98" t="s">
        <v>324</v>
      </c>
      <c r="G1" s="99"/>
      <c r="H1" s="99"/>
      <c r="I1" s="99"/>
      <c r="J1" s="99"/>
      <c r="K1" s="99"/>
      <c r="L1" s="99"/>
      <c r="M1" s="99"/>
      <c r="N1" s="99"/>
      <c r="O1" s="100" t="s">
        <v>325</v>
      </c>
      <c r="P1" s="101"/>
      <c r="Q1" s="101"/>
      <c r="R1" s="101"/>
      <c r="S1" s="101"/>
      <c r="T1" s="101"/>
      <c r="U1" s="102"/>
      <c r="V1" s="196" t="s">
        <v>776</v>
      </c>
      <c r="W1" s="197"/>
      <c r="X1" s="197"/>
      <c r="Y1" s="197"/>
    </row>
    <row r="2" spans="1:25" ht="15" customHeight="1" thickBot="1" x14ac:dyDescent="0.3">
      <c r="A2" s="92"/>
      <c r="B2" s="93"/>
      <c r="C2" s="96"/>
      <c r="D2" s="97"/>
      <c r="E2" s="97"/>
      <c r="F2" s="98"/>
      <c r="G2" s="99"/>
      <c r="H2" s="99"/>
      <c r="I2" s="99"/>
      <c r="J2" s="99"/>
      <c r="K2" s="99"/>
      <c r="L2" s="99"/>
      <c r="M2" s="99"/>
      <c r="N2" s="99"/>
      <c r="O2" s="103"/>
      <c r="P2" s="104"/>
      <c r="Q2" s="104"/>
      <c r="R2" s="104"/>
      <c r="S2" s="104"/>
      <c r="T2" s="104"/>
      <c r="U2" s="105"/>
      <c r="V2" s="198"/>
      <c r="W2" s="199"/>
      <c r="X2" s="199"/>
      <c r="Y2" s="199"/>
    </row>
    <row r="3" spans="1:25" ht="18" thickBot="1" x14ac:dyDescent="0.35">
      <c r="A3" s="106" t="s">
        <v>309</v>
      </c>
      <c r="B3" s="107"/>
      <c r="C3" s="108" t="str">
        <f>Output!$L$1&amp;SUBSTITUTE(C1," ","")</f>
        <v>LWD_Raider</v>
      </c>
      <c r="D3" s="109"/>
      <c r="E3" s="109"/>
      <c r="F3" s="110" t="s">
        <v>12</v>
      </c>
      <c r="G3" s="111"/>
      <c r="H3" s="111"/>
      <c r="I3" s="111"/>
      <c r="J3" s="111"/>
      <c r="K3" s="111"/>
      <c r="L3" s="111"/>
      <c r="M3" s="111"/>
      <c r="N3" s="112"/>
      <c r="O3" s="15"/>
      <c r="P3" s="16" t="s">
        <v>79</v>
      </c>
      <c r="Q3" s="17" t="s">
        <v>326</v>
      </c>
      <c r="R3" s="17" t="s">
        <v>328</v>
      </c>
      <c r="S3" s="17" t="s">
        <v>327</v>
      </c>
      <c r="T3" s="17" t="s">
        <v>330</v>
      </c>
      <c r="U3" s="18" t="s">
        <v>329</v>
      </c>
      <c r="V3" s="200" t="s">
        <v>810</v>
      </c>
      <c r="W3" s="201"/>
      <c r="X3" s="200" t="s">
        <v>811</v>
      </c>
      <c r="Y3" s="201"/>
    </row>
    <row r="4" spans="1:25" ht="18" thickTop="1" x14ac:dyDescent="0.3">
      <c r="A4" s="113" t="s">
        <v>310</v>
      </c>
      <c r="B4" s="114"/>
      <c r="C4" s="115" t="s">
        <v>314</v>
      </c>
      <c r="D4" s="116"/>
      <c r="E4" s="116"/>
      <c r="F4" s="119" t="s">
        <v>1077</v>
      </c>
      <c r="G4" s="120"/>
      <c r="H4" s="4" t="str">
        <f>IFERROR(VLOOKUP(F4,Abilities,4,FALSE),"")</f>
        <v>LWD</v>
      </c>
      <c r="I4" s="121" t="s">
        <v>982</v>
      </c>
      <c r="J4" s="120"/>
      <c r="K4" s="35" t="str">
        <f>IFERROR(VLOOKUP(I4,Abilities,4,FALSE),"")</f>
        <v>LWD</v>
      </c>
      <c r="L4" s="122"/>
      <c r="M4" s="120"/>
      <c r="N4" s="10" t="str">
        <f>IFERROR(VLOOKUP(L4,Abilities,4,FALSE),"")</f>
        <v/>
      </c>
      <c r="O4" s="19" t="s">
        <v>12</v>
      </c>
      <c r="P4" s="4">
        <v>2</v>
      </c>
      <c r="Q4" s="20">
        <v>0</v>
      </c>
      <c r="R4" s="20"/>
      <c r="S4" s="4">
        <v>0</v>
      </c>
      <c r="T4" s="4">
        <v>1</v>
      </c>
      <c r="U4" s="10"/>
      <c r="V4" s="192" t="s">
        <v>841</v>
      </c>
      <c r="W4" s="193"/>
      <c r="X4" s="192" t="s">
        <v>801</v>
      </c>
      <c r="Y4" s="193"/>
    </row>
    <row r="5" spans="1:25" ht="15" customHeight="1" x14ac:dyDescent="0.25">
      <c r="A5" s="6"/>
      <c r="B5" s="5" t="b">
        <v>1</v>
      </c>
      <c r="C5" s="117"/>
      <c r="D5" s="118"/>
      <c r="E5" s="118"/>
      <c r="F5" s="123" t="str">
        <f>IFERROR(VLOOKUP(F4,Abilities,7,FALSE),"")</f>
        <v>Attack an enemy with your primary weapon. If it's charged, hits grant a bonus move action. Hits grant a charge to Reave.</v>
      </c>
      <c r="G5" s="124"/>
      <c r="H5" s="125"/>
      <c r="I5" s="129" t="str">
        <f>IFERROR(VLOOKUP(I4,Abilities,7,FALSE),"")</f>
        <v>Attack an enemy with your sword. If it's charged, deals bonus damage. Hits grant a charge to Onslaught.</v>
      </c>
      <c r="J5" s="130"/>
      <c r="K5" s="131"/>
      <c r="L5" s="130" t="str">
        <f>IFERROR(VLOOKUP(L4,Abilities,7,FALSE),"")</f>
        <v/>
      </c>
      <c r="M5" s="130"/>
      <c r="N5" s="135"/>
      <c r="O5" s="26" t="s">
        <v>456</v>
      </c>
      <c r="P5" s="27">
        <v>2</v>
      </c>
      <c r="Q5" s="28">
        <v>1</v>
      </c>
      <c r="R5" s="28"/>
      <c r="S5" s="27">
        <v>0</v>
      </c>
      <c r="T5" s="27"/>
      <c r="U5" s="29"/>
      <c r="V5" s="190" t="s">
        <v>821</v>
      </c>
      <c r="W5" s="191"/>
      <c r="X5" s="190" t="s">
        <v>802</v>
      </c>
      <c r="Y5" s="191"/>
    </row>
    <row r="6" spans="1:25" ht="15" customHeight="1" x14ac:dyDescent="0.25">
      <c r="A6" s="6"/>
      <c r="B6" s="5" t="b">
        <v>0</v>
      </c>
      <c r="C6" s="137" t="s">
        <v>315</v>
      </c>
      <c r="D6" s="138"/>
      <c r="E6" s="11">
        <v>0</v>
      </c>
      <c r="F6" s="126"/>
      <c r="G6" s="127"/>
      <c r="H6" s="128"/>
      <c r="I6" s="132"/>
      <c r="J6" s="133"/>
      <c r="K6" s="134"/>
      <c r="L6" s="133"/>
      <c r="M6" s="133"/>
      <c r="N6" s="136"/>
      <c r="O6" s="19" t="s">
        <v>15</v>
      </c>
      <c r="P6" s="4">
        <v>2</v>
      </c>
      <c r="Q6" s="20">
        <v>0</v>
      </c>
      <c r="R6" s="20"/>
      <c r="S6" s="4">
        <v>0</v>
      </c>
      <c r="T6" s="4"/>
      <c r="U6" s="10"/>
      <c r="V6" s="190" t="s">
        <v>827</v>
      </c>
      <c r="W6" s="191"/>
      <c r="X6" s="192" t="s">
        <v>803</v>
      </c>
      <c r="Y6" s="193"/>
    </row>
    <row r="7" spans="1:25" ht="15" customHeight="1" x14ac:dyDescent="0.25">
      <c r="A7" s="6"/>
      <c r="B7" s="5" t="b">
        <v>1</v>
      </c>
      <c r="C7" s="137" t="s">
        <v>316</v>
      </c>
      <c r="D7" s="138"/>
      <c r="E7" s="11">
        <v>4</v>
      </c>
      <c r="F7" s="139"/>
      <c r="G7" s="140"/>
      <c r="H7" s="4" t="str">
        <f>IFERROR(VLOOKUP(F7,Abilities,4,FALSE),"")</f>
        <v/>
      </c>
      <c r="I7" s="141"/>
      <c r="J7" s="140"/>
      <c r="K7" s="4" t="str">
        <f>IFERROR(VLOOKUP(I7,Abilities,4,FALSE),"")</f>
        <v/>
      </c>
      <c r="L7" s="142"/>
      <c r="M7" s="140"/>
      <c r="N7" s="10" t="str">
        <f>IFERROR(VLOOKUP(L7,Abilities,4,FALSE),"")</f>
        <v/>
      </c>
      <c r="O7" s="26" t="s">
        <v>21</v>
      </c>
      <c r="P7" s="27">
        <v>2</v>
      </c>
      <c r="Q7" s="28">
        <v>1</v>
      </c>
      <c r="R7" s="28"/>
      <c r="S7" s="27">
        <v>0</v>
      </c>
      <c r="T7" s="27"/>
      <c r="U7" s="29"/>
      <c r="V7" s="192" t="s">
        <v>868</v>
      </c>
      <c r="W7" s="193"/>
      <c r="X7" s="190" t="s">
        <v>804</v>
      </c>
      <c r="Y7" s="191"/>
    </row>
    <row r="8" spans="1:25" ht="15" customHeight="1" thickBot="1" x14ac:dyDescent="0.3">
      <c r="A8" s="6"/>
      <c r="B8" s="5" t="b">
        <v>0</v>
      </c>
      <c r="C8" s="137" t="s">
        <v>317</v>
      </c>
      <c r="D8" s="143"/>
      <c r="E8" s="12" t="s">
        <v>768</v>
      </c>
      <c r="F8" s="144" t="str">
        <f>IFERROR(VLOOKUP(F7,Abilities,7,FALSE),"")</f>
        <v/>
      </c>
      <c r="G8" s="130"/>
      <c r="H8" s="131"/>
      <c r="I8" s="129" t="str">
        <f>IFERROR(VLOOKUP(I7,Abilities,7,FALSE),"")</f>
        <v/>
      </c>
      <c r="J8" s="130"/>
      <c r="K8" s="131"/>
      <c r="L8" s="130" t="str">
        <f>IFERROR(VLOOKUP(L7,Abilities,7,FALSE),"")</f>
        <v/>
      </c>
      <c r="M8" s="130"/>
      <c r="N8" s="135"/>
      <c r="O8" s="21" t="s">
        <v>457</v>
      </c>
      <c r="P8" s="4">
        <v>2</v>
      </c>
      <c r="Q8" s="20">
        <v>0</v>
      </c>
      <c r="R8" s="20"/>
      <c r="S8" s="4">
        <v>0</v>
      </c>
      <c r="T8" s="4"/>
      <c r="U8" s="10"/>
      <c r="V8" s="190" t="s">
        <v>780</v>
      </c>
      <c r="W8" s="191"/>
      <c r="X8" s="192" t="s">
        <v>805</v>
      </c>
      <c r="Y8" s="193"/>
    </row>
    <row r="9" spans="1:25" ht="15.75" thickBot="1" x14ac:dyDescent="0.3">
      <c r="A9" s="6"/>
      <c r="B9" s="5" t="b">
        <v>0</v>
      </c>
      <c r="C9" s="137" t="s">
        <v>319</v>
      </c>
      <c r="D9" s="143"/>
      <c r="E9" s="12">
        <v>1</v>
      </c>
      <c r="F9" s="145"/>
      <c r="G9" s="133"/>
      <c r="H9" s="134"/>
      <c r="I9" s="146"/>
      <c r="J9" s="147"/>
      <c r="K9" s="148"/>
      <c r="L9" s="133"/>
      <c r="M9" s="133"/>
      <c r="N9" s="136"/>
      <c r="O9" s="26" t="s">
        <v>458</v>
      </c>
      <c r="P9" s="27">
        <v>2</v>
      </c>
      <c r="Q9" s="28">
        <v>1</v>
      </c>
      <c r="R9" s="28"/>
      <c r="S9" s="27">
        <v>0</v>
      </c>
      <c r="T9" s="27"/>
      <c r="U9" s="29"/>
      <c r="V9" s="192" t="s">
        <v>781</v>
      </c>
      <c r="W9" s="193"/>
      <c r="X9" s="200" t="s">
        <v>812</v>
      </c>
      <c r="Y9" s="201"/>
    </row>
    <row r="10" spans="1:25" ht="18.75" x14ac:dyDescent="0.3">
      <c r="A10" s="6"/>
      <c r="B10" s="5" t="b">
        <v>0</v>
      </c>
      <c r="C10" s="137" t="s">
        <v>318</v>
      </c>
      <c r="D10" s="143"/>
      <c r="E10" s="12">
        <v>4</v>
      </c>
      <c r="F10" s="157" t="s">
        <v>311</v>
      </c>
      <c r="G10" s="158"/>
      <c r="H10" s="159"/>
      <c r="I10" s="160" t="s">
        <v>349</v>
      </c>
      <c r="J10" s="158"/>
      <c r="K10" s="159"/>
      <c r="L10" s="158" t="s">
        <v>312</v>
      </c>
      <c r="M10" s="158"/>
      <c r="N10" s="161"/>
      <c r="O10" s="36" t="s">
        <v>459</v>
      </c>
      <c r="P10" s="37">
        <v>2</v>
      </c>
      <c r="Q10" s="37">
        <v>0</v>
      </c>
      <c r="R10" s="37"/>
      <c r="S10" s="37">
        <v>0</v>
      </c>
      <c r="T10" s="37"/>
      <c r="U10" s="38"/>
      <c r="V10" s="190" t="s">
        <v>782</v>
      </c>
      <c r="W10" s="191"/>
      <c r="X10" s="192" t="s">
        <v>806</v>
      </c>
      <c r="Y10" s="193"/>
    </row>
    <row r="11" spans="1:25" ht="15.75" customHeight="1" thickBot="1" x14ac:dyDescent="0.3">
      <c r="A11" s="6"/>
      <c r="B11" s="5" t="b">
        <v>0</v>
      </c>
      <c r="C11" s="137" t="s">
        <v>320</v>
      </c>
      <c r="D11" s="143"/>
      <c r="E11" s="12">
        <v>5</v>
      </c>
      <c r="F11" s="162" t="s">
        <v>741</v>
      </c>
      <c r="G11" s="163"/>
      <c r="H11" s="164"/>
      <c r="I11" s="165"/>
      <c r="J11" s="163"/>
      <c r="K11" s="164"/>
      <c r="L11" s="163" t="s">
        <v>772</v>
      </c>
      <c r="M11" s="163"/>
      <c r="N11" s="166"/>
      <c r="O11" s="39" t="s">
        <v>460</v>
      </c>
      <c r="P11" s="40">
        <v>2</v>
      </c>
      <c r="Q11" s="41">
        <v>1</v>
      </c>
      <c r="R11" s="41"/>
      <c r="S11" s="40">
        <v>0</v>
      </c>
      <c r="T11" s="40"/>
      <c r="U11" s="42"/>
      <c r="V11" s="192" t="s">
        <v>824</v>
      </c>
      <c r="W11" s="193"/>
      <c r="X11" s="190" t="s">
        <v>807</v>
      </c>
      <c r="Y11" s="191"/>
    </row>
    <row r="12" spans="1:25" ht="18" customHeight="1" thickBot="1" x14ac:dyDescent="0.35">
      <c r="A12" s="6"/>
      <c r="B12" s="5" t="b">
        <v>0</v>
      </c>
      <c r="C12" s="137" t="s">
        <v>321</v>
      </c>
      <c r="D12" s="143"/>
      <c r="E12" s="12">
        <v>1</v>
      </c>
      <c r="F12" s="169" t="s">
        <v>443</v>
      </c>
      <c r="G12" s="170"/>
      <c r="H12" s="170"/>
      <c r="I12" s="170"/>
      <c r="J12" s="170"/>
      <c r="K12" s="170"/>
      <c r="L12" s="170"/>
      <c r="M12" s="170"/>
      <c r="N12" s="171"/>
      <c r="O12" s="149" t="s">
        <v>813</v>
      </c>
      <c r="P12" s="150"/>
      <c r="Q12" s="150"/>
      <c r="R12" s="150"/>
      <c r="S12" s="150"/>
      <c r="T12" s="150"/>
      <c r="U12" s="151"/>
      <c r="V12" s="192" t="s">
        <v>783</v>
      </c>
      <c r="W12" s="193"/>
      <c r="X12" s="192" t="s">
        <v>808</v>
      </c>
      <c r="Y12" s="193"/>
    </row>
    <row r="13" spans="1:25" ht="16.5" thickTop="1" thickBot="1" x14ac:dyDescent="0.3">
      <c r="A13" s="6"/>
      <c r="B13" s="5" t="b">
        <v>1</v>
      </c>
      <c r="C13" s="155" t="s">
        <v>322</v>
      </c>
      <c r="D13" s="156"/>
      <c r="E13" s="13" t="s">
        <v>323</v>
      </c>
      <c r="F13" s="119" t="s">
        <v>1083</v>
      </c>
      <c r="G13" s="120"/>
      <c r="H13" s="4" t="str">
        <f>IFERROR(VLOOKUP(F13,Abilities,4,FALSE),"")</f>
        <v>LWD</v>
      </c>
      <c r="I13" s="121" t="s">
        <v>962</v>
      </c>
      <c r="J13" s="120"/>
      <c r="K13" s="35" t="str">
        <f>IFERROR(VLOOKUP(I13,Abilities,4,FALSE),"")</f>
        <v>BLANK</v>
      </c>
      <c r="L13" s="122" t="s">
        <v>1113</v>
      </c>
      <c r="M13" s="120"/>
      <c r="N13" s="10" t="str">
        <f>IFERROR(VLOOKUP(L13,Abilities,4,FALSE),"")</f>
        <v>LWD</v>
      </c>
      <c r="O13" s="152"/>
      <c r="P13" s="153"/>
      <c r="Q13" s="153"/>
      <c r="R13" s="153"/>
      <c r="S13" s="153"/>
      <c r="T13" s="153"/>
      <c r="U13" s="154"/>
      <c r="V13" s="192" t="s">
        <v>818</v>
      </c>
      <c r="W13" s="193"/>
      <c r="X13" s="190" t="s">
        <v>809</v>
      </c>
      <c r="Y13" s="191"/>
    </row>
    <row r="14" spans="1:25" ht="15.75" thickBot="1" x14ac:dyDescent="0.3">
      <c r="A14" s="6"/>
      <c r="B14" s="7" t="b">
        <v>0</v>
      </c>
      <c r="F14" s="144" t="str">
        <f>IFERROR(VLOOKUP(F13,Abilities,7,FALSE),"")</f>
        <v>Onslaught no longer ends your turn. If Onslaught is charged, it deals bonus damage on a crit.</v>
      </c>
      <c r="G14" s="130"/>
      <c r="H14" s="131"/>
      <c r="I14" s="129" t="str">
        <f>IFERROR(VLOOKUP(I13,Abilities,7,FALSE),"")</f>
        <v xml:space="preserve"> </v>
      </c>
      <c r="J14" s="130"/>
      <c r="K14" s="131"/>
      <c r="L14" s="130" t="str">
        <f>IFERROR(VLOOKUP(L13,Abilities,7,FALSE),"")</f>
        <v>Reave no longer ends your turn. If Reave is charged, it shreds based on weapon tier.</v>
      </c>
      <c r="M14" s="130"/>
      <c r="N14" s="135"/>
      <c r="O14" s="22"/>
      <c r="P14" s="23" t="s">
        <v>331</v>
      </c>
      <c r="Q14" s="24" t="s">
        <v>332</v>
      </c>
      <c r="R14" s="24" t="s">
        <v>333</v>
      </c>
      <c r="S14" s="24" t="s">
        <v>334</v>
      </c>
      <c r="T14" s="24" t="s">
        <v>336</v>
      </c>
      <c r="U14" s="25" t="s">
        <v>335</v>
      </c>
      <c r="V14" s="190" t="s">
        <v>784</v>
      </c>
      <c r="W14" s="191"/>
      <c r="X14" s="194" t="s">
        <v>814</v>
      </c>
      <c r="Y14" s="195"/>
    </row>
    <row r="15" spans="1:25" ht="15.75" thickBot="1" x14ac:dyDescent="0.3">
      <c r="A15" s="6"/>
      <c r="B15" s="7" t="b">
        <v>0</v>
      </c>
      <c r="F15" s="167"/>
      <c r="G15" s="147"/>
      <c r="H15" s="148"/>
      <c r="I15" s="146"/>
      <c r="J15" s="147"/>
      <c r="K15" s="148"/>
      <c r="L15" s="147"/>
      <c r="M15" s="147"/>
      <c r="N15" s="168"/>
      <c r="O15" s="19" t="s">
        <v>12</v>
      </c>
      <c r="P15" s="4"/>
      <c r="Q15" s="20">
        <v>4</v>
      </c>
      <c r="R15" s="20"/>
      <c r="S15" s="4">
        <v>1</v>
      </c>
      <c r="T15" s="4"/>
      <c r="U15" s="10"/>
      <c r="V15" s="190" t="s">
        <v>823</v>
      </c>
      <c r="W15" s="191"/>
    </row>
    <row r="16" spans="1:25" ht="18" thickBot="1" x14ac:dyDescent="0.35">
      <c r="A16" s="6"/>
      <c r="B16" s="7" t="b">
        <v>0</v>
      </c>
      <c r="F16" s="169" t="s">
        <v>15</v>
      </c>
      <c r="G16" s="170"/>
      <c r="H16" s="170"/>
      <c r="I16" s="170"/>
      <c r="J16" s="170"/>
      <c r="K16" s="170"/>
      <c r="L16" s="170"/>
      <c r="M16" s="170"/>
      <c r="N16" s="171"/>
      <c r="O16" s="26" t="s">
        <v>456</v>
      </c>
      <c r="P16" s="27"/>
      <c r="Q16" s="28">
        <v>4</v>
      </c>
      <c r="R16" s="28"/>
      <c r="S16" s="27">
        <v>1</v>
      </c>
      <c r="T16" s="27"/>
      <c r="U16" s="29"/>
      <c r="V16" s="190" t="s">
        <v>786</v>
      </c>
      <c r="W16" s="191"/>
    </row>
    <row r="17" spans="1:24" ht="16.5" thickTop="1" thickBot="1" x14ac:dyDescent="0.3">
      <c r="A17" s="8"/>
      <c r="B17" s="9" t="b">
        <v>0</v>
      </c>
      <c r="F17" s="121" t="s">
        <v>962</v>
      </c>
      <c r="G17" s="120"/>
      <c r="H17" s="4" t="str">
        <f>IFERROR(VLOOKUP(F17,Abilities,4,FALSE),"")</f>
        <v>BLANK</v>
      </c>
      <c r="I17" s="121" t="s">
        <v>1116</v>
      </c>
      <c r="J17" s="120"/>
      <c r="K17" s="35" t="str">
        <f>IFERROR(VLOOKUP(I17,Abilities,4,FALSE),"")</f>
        <v>LWD</v>
      </c>
      <c r="L17" s="121" t="s">
        <v>962</v>
      </c>
      <c r="M17" s="120"/>
      <c r="N17" s="10" t="str">
        <f>IFERROR(VLOOKUP(L17,Abilities,4,FALSE),"")</f>
        <v>BLANK</v>
      </c>
      <c r="O17" s="19" t="s">
        <v>15</v>
      </c>
      <c r="P17" s="4"/>
      <c r="Q17" s="20"/>
      <c r="R17" s="20"/>
      <c r="S17" s="4">
        <v>1</v>
      </c>
      <c r="T17" s="4"/>
      <c r="U17" s="10"/>
      <c r="V17" s="192" t="s">
        <v>787</v>
      </c>
      <c r="W17" s="193"/>
    </row>
    <row r="18" spans="1:24" x14ac:dyDescent="0.25">
      <c r="A18" s="172" t="s">
        <v>344</v>
      </c>
      <c r="B18" s="173"/>
      <c r="F18" s="144" t="str">
        <f>IFERROR(VLOOKUP(F17,Abilities,7,FALSE),"")</f>
        <v xml:space="preserve"> </v>
      </c>
      <c r="G18" s="130"/>
      <c r="H18" s="131"/>
      <c r="I18" s="129" t="str">
        <f>IFERROR(VLOOKUP(I17,Abilities,7,FALSE),"")</f>
        <v>If Reave is charged, you can counterattack melee attacks. If Onslaught is charged, your reaction fire is more accurate and can crit.</v>
      </c>
      <c r="J18" s="130"/>
      <c r="K18" s="131"/>
      <c r="L18" s="130" t="str">
        <f>IFERROR(VLOOKUP(L17,Abilities,7,FALSE),"")</f>
        <v xml:space="preserve"> </v>
      </c>
      <c r="M18" s="130"/>
      <c r="N18" s="135"/>
      <c r="O18" s="26" t="s">
        <v>21</v>
      </c>
      <c r="P18" s="27"/>
      <c r="Q18" s="28"/>
      <c r="R18" s="28"/>
      <c r="S18" s="27">
        <v>0</v>
      </c>
      <c r="T18" s="27"/>
      <c r="U18" s="29"/>
      <c r="V18" s="190" t="s">
        <v>788</v>
      </c>
      <c r="W18" s="191"/>
    </row>
    <row r="19" spans="1:24" ht="15.75" thickBot="1" x14ac:dyDescent="0.3">
      <c r="A19" s="174"/>
      <c r="B19" s="175"/>
      <c r="D19" s="3"/>
      <c r="F19" s="167"/>
      <c r="G19" s="147"/>
      <c r="H19" s="148"/>
      <c r="I19" s="146"/>
      <c r="J19" s="147"/>
      <c r="K19" s="148"/>
      <c r="L19" s="147"/>
      <c r="M19" s="147"/>
      <c r="N19" s="168"/>
      <c r="O19" s="21" t="s">
        <v>457</v>
      </c>
      <c r="P19" s="4"/>
      <c r="Q19" s="20"/>
      <c r="R19" s="20"/>
      <c r="S19" s="4">
        <v>1</v>
      </c>
      <c r="T19" s="4"/>
      <c r="U19" s="10"/>
      <c r="V19" s="192" t="s">
        <v>789</v>
      </c>
      <c r="W19" s="193"/>
    </row>
    <row r="20" spans="1:24" ht="18" thickBot="1" x14ac:dyDescent="0.35">
      <c r="A20" s="176" t="s">
        <v>971</v>
      </c>
      <c r="B20" s="177"/>
      <c r="C20" s="178"/>
      <c r="D20" s="178"/>
      <c r="E20" s="179"/>
      <c r="F20" s="169" t="s">
        <v>21</v>
      </c>
      <c r="G20" s="170"/>
      <c r="H20" s="170"/>
      <c r="I20" s="170"/>
      <c r="J20" s="170"/>
      <c r="K20" s="170"/>
      <c r="L20" s="170"/>
      <c r="M20" s="170"/>
      <c r="N20" s="171"/>
      <c r="O20" s="26" t="s">
        <v>458</v>
      </c>
      <c r="P20" s="27"/>
      <c r="Q20" s="28"/>
      <c r="R20" s="28"/>
      <c r="S20" s="27">
        <v>0</v>
      </c>
      <c r="T20" s="27"/>
      <c r="U20" s="29"/>
      <c r="V20" s="192" t="s">
        <v>790</v>
      </c>
      <c r="W20" s="193"/>
    </row>
    <row r="21" spans="1:24" ht="15.75" thickTop="1" x14ac:dyDescent="0.25">
      <c r="A21" s="176"/>
      <c r="B21" s="177"/>
      <c r="C21" s="177"/>
      <c r="D21" s="177"/>
      <c r="E21" s="180"/>
      <c r="F21" s="119" t="s">
        <v>683</v>
      </c>
      <c r="G21" s="120"/>
      <c r="H21" s="4" t="str">
        <f>IFERROR(VLOOKUP(F21,Abilities,4,FALSE),"")</f>
        <v>SOLW</v>
      </c>
      <c r="I21" s="121" t="s">
        <v>962</v>
      </c>
      <c r="J21" s="120"/>
      <c r="K21" s="35" t="str">
        <f>IFERROR(VLOOKUP(I21,Abilities,4,FALSE),"")</f>
        <v>BLANK</v>
      </c>
      <c r="L21" s="122" t="s">
        <v>234</v>
      </c>
      <c r="M21" s="120"/>
      <c r="N21" s="10" t="str">
        <f>IFERROR(VLOOKUP(L21,Abilities,4,FALSE),"")</f>
        <v>LW2</v>
      </c>
      <c r="O21" s="36" t="s">
        <v>459</v>
      </c>
      <c r="P21" s="37"/>
      <c r="Q21" s="37"/>
      <c r="R21" s="37"/>
      <c r="S21" s="37">
        <v>1</v>
      </c>
      <c r="T21" s="37"/>
      <c r="U21" s="38"/>
      <c r="V21" s="190" t="s">
        <v>871</v>
      </c>
      <c r="W21" s="191"/>
    </row>
    <row r="22" spans="1:24" ht="15.75" thickBot="1" x14ac:dyDescent="0.3">
      <c r="A22" s="181"/>
      <c r="B22" s="182"/>
      <c r="C22" s="182"/>
      <c r="D22" s="182"/>
      <c r="E22" s="183"/>
      <c r="F22" s="144" t="str">
        <f>IFERROR(VLOOKUP(F21,Abilities,7,FALSE),"")</f>
        <v>Gain a bonus move action this turn. &lt;Ability:SelfCooldown/&gt; turn cooldown.</v>
      </c>
      <c r="G22" s="130"/>
      <c r="H22" s="131"/>
      <c r="I22" s="129" t="str">
        <f>IFERROR(VLOOKUP(I21,Abilities,7,FALSE),"")</f>
        <v xml:space="preserve"> </v>
      </c>
      <c r="J22" s="130"/>
      <c r="K22" s="131"/>
      <c r="L22" s="130">
        <f>IFERROR(VLOOKUP(L21,Abilities,7,FALSE),"")</f>
        <v>0</v>
      </c>
      <c r="M22" s="130"/>
      <c r="N22" s="135"/>
      <c r="O22" s="39" t="s">
        <v>460</v>
      </c>
      <c r="P22" s="40"/>
      <c r="Q22" s="41"/>
      <c r="R22" s="41"/>
      <c r="S22" s="40">
        <v>0</v>
      </c>
      <c r="T22" s="40"/>
      <c r="U22" s="42"/>
      <c r="V22" s="192" t="s">
        <v>870</v>
      </c>
      <c r="W22" s="193"/>
      <c r="X22" s="48" t="s">
        <v>869</v>
      </c>
    </row>
    <row r="23" spans="1:24" ht="15.75" thickBot="1" x14ac:dyDescent="0.3">
      <c r="A23" s="184" t="s">
        <v>352</v>
      </c>
      <c r="B23" s="185"/>
      <c r="C23" s="185"/>
      <c r="D23" s="185"/>
      <c r="E23" s="186"/>
      <c r="F23" s="167"/>
      <c r="G23" s="147"/>
      <c r="H23" s="148"/>
      <c r="I23" s="146"/>
      <c r="J23" s="147"/>
      <c r="K23" s="148"/>
      <c r="L23" s="147"/>
      <c r="M23" s="147"/>
      <c r="N23" s="168"/>
      <c r="O23" s="14"/>
      <c r="P23" s="14"/>
      <c r="Q23" s="3"/>
      <c r="V23" s="190" t="s">
        <v>793</v>
      </c>
      <c r="W23" s="191"/>
    </row>
    <row r="24" spans="1:24" ht="18" thickBot="1" x14ac:dyDescent="0.35">
      <c r="A24" s="187"/>
      <c r="B24" s="188"/>
      <c r="C24" s="188"/>
      <c r="D24" s="188"/>
      <c r="E24" s="189"/>
      <c r="F24" s="169" t="s">
        <v>444</v>
      </c>
      <c r="G24" s="170"/>
      <c r="H24" s="170"/>
      <c r="I24" s="170"/>
      <c r="J24" s="170"/>
      <c r="K24" s="170"/>
      <c r="L24" s="170"/>
      <c r="M24" s="170"/>
      <c r="N24" s="171"/>
      <c r="O24" s="14"/>
      <c r="P24" s="14"/>
      <c r="Q24" s="3"/>
      <c r="V24" s="192" t="s">
        <v>794</v>
      </c>
      <c r="W24" s="193"/>
    </row>
    <row r="25" spans="1:24" ht="15.75" thickTop="1" x14ac:dyDescent="0.25">
      <c r="A25" s="50"/>
      <c r="B25" s="51"/>
      <c r="C25" s="51"/>
      <c r="D25" s="51"/>
      <c r="E25" s="52"/>
      <c r="F25" s="119" t="s">
        <v>41</v>
      </c>
      <c r="G25" s="120"/>
      <c r="H25" s="4" t="str">
        <f>IFERROR(VLOOKUP(F25,Abilities,4,FALSE),"")</f>
        <v>XCOM2</v>
      </c>
      <c r="I25" s="121" t="s">
        <v>962</v>
      </c>
      <c r="J25" s="120"/>
      <c r="K25" s="35" t="str">
        <f>IFERROR(VLOOKUP(I25,Abilities,4,FALSE),"")</f>
        <v>BLANK</v>
      </c>
      <c r="L25" s="122" t="s">
        <v>214</v>
      </c>
      <c r="M25" s="120"/>
      <c r="N25" s="10" t="str">
        <f>IFERROR(VLOOKUP(L25,Abilities,4,FALSE),"")</f>
        <v>LW2</v>
      </c>
      <c r="O25" s="14"/>
      <c r="P25" s="14"/>
      <c r="Q25" s="3"/>
      <c r="V25" s="190" t="s">
        <v>872</v>
      </c>
      <c r="W25" s="191"/>
    </row>
    <row r="26" spans="1:24" x14ac:dyDescent="0.25">
      <c r="A26" s="50"/>
      <c r="B26" s="51"/>
      <c r="C26" s="51"/>
      <c r="D26" s="51"/>
      <c r="E26" s="52"/>
      <c r="F26" s="144" t="str">
        <f>IFERROR(VLOOKUP(F25,Abilities,7,FALSE),"")</f>
        <v>If you score a kill during your turn, the next attack against you during the enemy turn will miss.</v>
      </c>
      <c r="G26" s="130"/>
      <c r="H26" s="131"/>
      <c r="I26" s="129" t="str">
        <f>IFERROR(VLOOKUP(I25,Abilities,7,FALSE),"")</f>
        <v xml:space="preserve"> </v>
      </c>
      <c r="J26" s="130"/>
      <c r="K26" s="131"/>
      <c r="L26" s="130">
        <f>IFERROR(VLOOKUP(L25,Abilities,7,FALSE),"")</f>
        <v>0</v>
      </c>
      <c r="M26" s="130"/>
      <c r="N26" s="135"/>
      <c r="O26" s="14"/>
      <c r="P26" s="14"/>
      <c r="Q26" s="3"/>
      <c r="V26" s="190" t="s">
        <v>797</v>
      </c>
      <c r="W26" s="191"/>
    </row>
    <row r="27" spans="1:24" ht="15.75" thickBot="1" x14ac:dyDescent="0.3">
      <c r="A27" s="50"/>
      <c r="B27" s="51"/>
      <c r="C27" s="51"/>
      <c r="D27" s="51"/>
      <c r="E27" s="52"/>
      <c r="F27" s="167"/>
      <c r="G27" s="147"/>
      <c r="H27" s="148"/>
      <c r="I27" s="146"/>
      <c r="J27" s="147"/>
      <c r="K27" s="148"/>
      <c r="L27" s="147"/>
      <c r="M27" s="147"/>
      <c r="N27" s="168"/>
      <c r="O27" s="14"/>
      <c r="P27" s="14"/>
      <c r="Q27" s="3"/>
      <c r="V27" s="192" t="s">
        <v>798</v>
      </c>
      <c r="W27" s="193"/>
    </row>
    <row r="28" spans="1:24" ht="18" thickBot="1" x14ac:dyDescent="0.35">
      <c r="A28" s="50"/>
      <c r="B28" s="51"/>
      <c r="C28" s="51"/>
      <c r="D28" s="51"/>
      <c r="E28" s="52"/>
      <c r="F28" s="169" t="s">
        <v>445</v>
      </c>
      <c r="G28" s="170"/>
      <c r="H28" s="170"/>
      <c r="I28" s="170"/>
      <c r="J28" s="170"/>
      <c r="K28" s="170"/>
      <c r="L28" s="170"/>
      <c r="M28" s="170"/>
      <c r="N28" s="171"/>
      <c r="O28" s="14"/>
      <c r="P28" s="14"/>
      <c r="Q28" s="3"/>
      <c r="V28" s="190" t="s">
        <v>799</v>
      </c>
      <c r="W28" s="191"/>
    </row>
    <row r="29" spans="1:24" ht="15.75" thickTop="1" x14ac:dyDescent="0.25">
      <c r="A29" s="50"/>
      <c r="B29" s="51"/>
      <c r="C29" s="51"/>
      <c r="D29" s="51"/>
      <c r="E29" s="52"/>
      <c r="F29" s="119" t="s">
        <v>1112</v>
      </c>
      <c r="G29" s="120"/>
      <c r="H29" s="4" t="str">
        <f>IFERROR(VLOOKUP(F29,Abilities,4,FALSE),"")</f>
        <v>LWD</v>
      </c>
      <c r="I29" s="121" t="s">
        <v>962</v>
      </c>
      <c r="J29" s="120"/>
      <c r="K29" s="35" t="str">
        <f>IFERROR(VLOOKUP(I29,Abilities,4,FALSE),"")</f>
        <v>BLANK</v>
      </c>
      <c r="L29" s="122" t="s">
        <v>1080</v>
      </c>
      <c r="M29" s="120"/>
      <c r="N29" s="10" t="str">
        <f>IFERROR(VLOOKUP(L29,Abilities,4,FALSE),"")</f>
        <v>LWD</v>
      </c>
      <c r="O29" s="14"/>
      <c r="P29" s="14"/>
      <c r="Q29" s="3"/>
      <c r="V29" s="190" t="s">
        <v>825</v>
      </c>
      <c r="W29" s="191"/>
    </row>
    <row r="30" spans="1:24" x14ac:dyDescent="0.25">
      <c r="A30" s="50"/>
      <c r="B30" s="51"/>
      <c r="C30" s="51"/>
      <c r="D30" s="51"/>
      <c r="E30" s="52"/>
      <c r="F30" s="144" t="str">
        <f>IFERROR(VLOOKUP(F29,Abilities,7,FALSE),"")</f>
        <v>Onslaught and Reave can both hold an extra charge. Misses don't consume charges.</v>
      </c>
      <c r="G30" s="130"/>
      <c r="H30" s="131"/>
      <c r="I30" s="129" t="str">
        <f>IFERROR(VLOOKUP(I29,Abilities,7,FALSE),"")</f>
        <v xml:space="preserve"> </v>
      </c>
      <c r="J30" s="130"/>
      <c r="K30" s="131"/>
      <c r="L30" s="130" t="str">
        <f>IFERROR(VLOOKUP(L29,Abilities,7,FALSE),"")</f>
        <v>Taking damage grants a charge to Onslaught and Reave.</v>
      </c>
      <c r="M30" s="130"/>
      <c r="N30" s="135"/>
      <c r="O30" s="14"/>
      <c r="P30" s="14"/>
      <c r="Q30" s="3"/>
      <c r="V30" s="190" t="s">
        <v>819</v>
      </c>
      <c r="W30" s="191"/>
    </row>
    <row r="31" spans="1:24" ht="15.75" thickBot="1" x14ac:dyDescent="0.3">
      <c r="A31" s="50"/>
      <c r="B31" s="51"/>
      <c r="C31" s="51"/>
      <c r="D31" s="51"/>
      <c r="E31" s="52"/>
      <c r="F31" s="167"/>
      <c r="G31" s="147"/>
      <c r="H31" s="148"/>
      <c r="I31" s="146"/>
      <c r="J31" s="147"/>
      <c r="K31" s="148"/>
      <c r="L31" s="147"/>
      <c r="M31" s="147"/>
      <c r="N31" s="168"/>
      <c r="O31" s="14"/>
      <c r="P31" s="14"/>
      <c r="Q31" s="3"/>
      <c r="V31" s="192" t="s">
        <v>820</v>
      </c>
      <c r="W31" s="193"/>
    </row>
    <row r="32" spans="1:24" ht="18" thickBot="1" x14ac:dyDescent="0.35">
      <c r="A32" s="50"/>
      <c r="B32" s="51"/>
      <c r="C32" s="51"/>
      <c r="D32" s="51"/>
      <c r="E32" s="52"/>
      <c r="F32" s="169" t="s">
        <v>446</v>
      </c>
      <c r="G32" s="170"/>
      <c r="H32" s="170"/>
      <c r="I32" s="170"/>
      <c r="J32" s="170"/>
      <c r="K32" s="170"/>
      <c r="L32" s="170"/>
      <c r="M32" s="170"/>
      <c r="N32" s="171"/>
      <c r="O32" s="14"/>
      <c r="P32" s="14"/>
      <c r="Q32" s="3"/>
      <c r="V32" s="192" t="s">
        <v>815</v>
      </c>
      <c r="W32" s="193"/>
    </row>
    <row r="33" spans="1:23" ht="15.75" thickTop="1" x14ac:dyDescent="0.25">
      <c r="A33" s="50"/>
      <c r="B33" s="51"/>
      <c r="C33" s="51"/>
      <c r="D33" s="51"/>
      <c r="E33" s="52"/>
      <c r="F33" s="121" t="s">
        <v>962</v>
      </c>
      <c r="G33" s="120"/>
      <c r="H33" s="4" t="str">
        <f>IFERROR(VLOOKUP(F33,Abilities,4,FALSE),"")</f>
        <v>BLANK</v>
      </c>
      <c r="I33" s="121" t="s">
        <v>872</v>
      </c>
      <c r="J33" s="120"/>
      <c r="K33" s="35" t="str">
        <f>IFERROR(VLOOKUP(I33,Abilities,4,FALSE),"")</f>
        <v>LWD</v>
      </c>
      <c r="L33" s="121" t="s">
        <v>962</v>
      </c>
      <c r="M33" s="120"/>
      <c r="N33" s="10" t="str">
        <f>IFERROR(VLOOKUP(L33,Abilities,4,FALSE),"")</f>
        <v>BLANK</v>
      </c>
      <c r="O33" s="14"/>
      <c r="P33" s="14"/>
      <c r="Q33" s="3"/>
      <c r="V33" s="192" t="s">
        <v>822</v>
      </c>
      <c r="W33" s="193"/>
    </row>
    <row r="34" spans="1:23" x14ac:dyDescent="0.25">
      <c r="A34" s="50"/>
      <c r="B34" s="51"/>
      <c r="C34" s="51"/>
      <c r="D34" s="51"/>
      <c r="E34" s="52"/>
      <c r="F34" s="144" t="str">
        <f>IFERROR(VLOOKUP(F33,Abilities,7,FALSE),"")</f>
        <v xml:space="preserve"> </v>
      </c>
      <c r="G34" s="130"/>
      <c r="H34" s="131"/>
      <c r="I34" s="129" t="str">
        <f>IFERROR(VLOOKUP(I33,Abilities,7,FALSE),"")</f>
        <v>Charged Onslaught has +10 Aim. Charged Reave has +2 damage.</v>
      </c>
      <c r="J34" s="130"/>
      <c r="K34" s="131"/>
      <c r="L34" s="130" t="str">
        <f>IFERROR(VLOOKUP(L33,Abilities,7,FALSE),"")</f>
        <v xml:space="preserve"> </v>
      </c>
      <c r="M34" s="130"/>
      <c r="N34" s="135"/>
      <c r="O34" s="14"/>
      <c r="P34" s="14"/>
      <c r="Q34" s="3"/>
      <c r="V34" s="190" t="s">
        <v>816</v>
      </c>
      <c r="W34" s="191"/>
    </row>
    <row r="35" spans="1:23" ht="15.75" thickBot="1" x14ac:dyDescent="0.3">
      <c r="A35" s="50"/>
      <c r="B35" s="51"/>
      <c r="C35" s="51"/>
      <c r="D35" s="51"/>
      <c r="E35" s="52"/>
      <c r="F35" s="167"/>
      <c r="G35" s="147"/>
      <c r="H35" s="148"/>
      <c r="I35" s="146"/>
      <c r="J35" s="147"/>
      <c r="K35" s="148"/>
      <c r="L35" s="147"/>
      <c r="M35" s="147"/>
      <c r="N35" s="168"/>
      <c r="O35" s="14"/>
      <c r="P35" s="14"/>
      <c r="Q35" s="3"/>
      <c r="V35" s="194" t="s">
        <v>873</v>
      </c>
      <c r="W35" s="195"/>
    </row>
    <row r="36" spans="1:23" ht="18" thickBot="1" x14ac:dyDescent="0.35">
      <c r="A36" s="50"/>
      <c r="B36" s="51"/>
      <c r="C36" s="51"/>
      <c r="D36" s="51"/>
      <c r="E36" s="52"/>
      <c r="F36" s="169" t="s">
        <v>447</v>
      </c>
      <c r="G36" s="170"/>
      <c r="H36" s="170"/>
      <c r="I36" s="170"/>
      <c r="J36" s="170"/>
      <c r="K36" s="170"/>
      <c r="L36" s="170"/>
      <c r="M36" s="170"/>
      <c r="N36" s="171"/>
    </row>
    <row r="37" spans="1:23" ht="15.75" thickTop="1" x14ac:dyDescent="0.25">
      <c r="A37" s="50"/>
      <c r="B37" s="51"/>
      <c r="C37" s="51"/>
      <c r="D37" s="51"/>
      <c r="E37" s="52"/>
      <c r="F37" s="119" t="s">
        <v>1130</v>
      </c>
      <c r="G37" s="120"/>
      <c r="H37" s="4" t="str">
        <f>IFERROR(VLOOKUP(F37,Abilities,4,FALSE),"")</f>
        <v>LWD</v>
      </c>
      <c r="I37" s="121" t="s">
        <v>962</v>
      </c>
      <c r="J37" s="120"/>
      <c r="K37" s="35" t="str">
        <f>IFERROR(VLOOKUP(I37,Abilities,4,FALSE),"")</f>
        <v>BLANK</v>
      </c>
      <c r="L37" s="122" t="s">
        <v>1132</v>
      </c>
      <c r="M37" s="120"/>
      <c r="N37" s="10" t="str">
        <f>IFERROR(VLOOKUP(L37,Abilities,4,FALSE),"")</f>
        <v>LWD</v>
      </c>
    </row>
    <row r="38" spans="1:23" x14ac:dyDescent="0.25">
      <c r="A38" s="50"/>
      <c r="B38" s="51"/>
      <c r="C38" s="51"/>
      <c r="D38" s="51"/>
      <c r="E38" s="52"/>
      <c r="F38" s="144" t="str">
        <f>IFERROR(VLOOKUP(F37,Abilities,7,FALSE),"")</f>
        <v>Once per turn, a critical hit with charged Onslaught doesn't cost an action.</v>
      </c>
      <c r="G38" s="130"/>
      <c r="H38" s="131"/>
      <c r="I38" s="129" t="str">
        <f>IFERROR(VLOOKUP(I37,Abilities,7,FALSE),"")</f>
        <v xml:space="preserve"> </v>
      </c>
      <c r="J38" s="130"/>
      <c r="K38" s="131"/>
      <c r="L38" s="130" t="str">
        <f>IFERROR(VLOOKUP(L37,Abilities,7,FALSE),"")</f>
        <v>Charged Reave has bonus aim and crit chance the more wounded the target is, up to +50 aim and crit at 10% HP</v>
      </c>
      <c r="M38" s="130"/>
      <c r="N38" s="135"/>
    </row>
    <row r="39" spans="1:23" ht="15.75" thickBot="1" x14ac:dyDescent="0.3">
      <c r="A39" s="53"/>
      <c r="B39" s="54"/>
      <c r="C39" s="54"/>
      <c r="D39" s="54"/>
      <c r="E39" s="55"/>
      <c r="F39" s="167"/>
      <c r="G39" s="147"/>
      <c r="H39" s="148"/>
      <c r="I39" s="146"/>
      <c r="J39" s="147"/>
      <c r="K39" s="148"/>
      <c r="L39" s="147"/>
      <c r="M39" s="147"/>
      <c r="N39" s="168"/>
    </row>
    <row r="40" spans="1:23" ht="15" customHeight="1" x14ac:dyDescent="0.25">
      <c r="A40" s="86" t="s">
        <v>1200</v>
      </c>
      <c r="B40" s="86"/>
      <c r="C40" s="88" t="str">
        <f>SUBSTITUTE(C1," ","")</f>
        <v>Raider</v>
      </c>
      <c r="D40" s="88"/>
      <c r="E40" s="88"/>
      <c r="F40" s="238"/>
      <c r="G40" s="238"/>
      <c r="H40" s="237"/>
      <c r="I40" s="237"/>
      <c r="J40" s="237"/>
    </row>
    <row r="41" spans="1:23" ht="15" customHeight="1" thickBot="1" x14ac:dyDescent="0.3">
      <c r="A41" s="87"/>
      <c r="B41" s="87"/>
      <c r="C41" s="89"/>
      <c r="D41" s="89"/>
      <c r="E41" s="89"/>
      <c r="F41" s="239"/>
      <c r="G41" s="239"/>
      <c r="H41" s="237"/>
      <c r="I41" s="237"/>
      <c r="J41" s="237"/>
    </row>
    <row r="42" spans="1:23" ht="16.5" thickBot="1" x14ac:dyDescent="0.3">
      <c r="A42" s="242" t="s">
        <v>339</v>
      </c>
      <c r="B42" s="244"/>
      <c r="C42" s="253" t="s">
        <v>342</v>
      </c>
      <c r="D42" s="247"/>
      <c r="E42" s="251" t="s">
        <v>343</v>
      </c>
      <c r="F42" s="250"/>
      <c r="G42" s="234"/>
      <c r="H42" s="235"/>
      <c r="I42" s="235"/>
      <c r="J42" s="235"/>
    </row>
    <row r="43" spans="1:23" x14ac:dyDescent="0.25">
      <c r="A43" s="243" t="str">
        <f ca="1">"; "&amp;INDIRECT("C1")&amp;" class data"</f>
        <v>; Raider class data</v>
      </c>
      <c r="B43" s="234" t="s">
        <v>340</v>
      </c>
      <c r="C43" s="254" t="str">
        <f ca="1">"; "&amp;INDIRECT("C1")&amp;" class loadout"</f>
        <v>; Raider class loadout</v>
      </c>
      <c r="D43" s="234" t="s">
        <v>340</v>
      </c>
      <c r="E43" s="252" t="str">
        <f ca="1">"["&amp;INDIRECT("C3")&amp;" X2SoldierClassTemplate]"</f>
        <v>[LWD_Raider X2SoldierClassTemplate]</v>
      </c>
      <c r="F43" s="234" t="s">
        <v>340</v>
      </c>
      <c r="G43" s="234"/>
      <c r="H43" s="235"/>
      <c r="I43" s="235"/>
      <c r="J43" s="235"/>
    </row>
    <row r="44" spans="1:23" x14ac:dyDescent="0.25">
      <c r="A44" s="240"/>
      <c r="B44" s="234"/>
      <c r="C44" s="245"/>
      <c r="D44" s="234" t="s">
        <v>340</v>
      </c>
      <c r="E44" s="248" t="str">
        <f ca="1">"+DisplayName="""&amp;INDIRECT("C1")&amp;""""</f>
        <v>+DisplayName="Raider"</v>
      </c>
      <c r="F44" s="234" t="s">
        <v>340</v>
      </c>
      <c r="G44" s="234"/>
      <c r="H44" s="235"/>
      <c r="I44" s="235"/>
      <c r="J44" s="235"/>
    </row>
    <row r="45" spans="1:23" x14ac:dyDescent="0.25">
      <c r="A45" s="240" t="str">
        <f>"[XComGame.X2SoldierClass_DefaultClasses]"</f>
        <v>[XComGame.X2SoldierClass_DefaultClasses]</v>
      </c>
      <c r="B45" s="234" t="s">
        <v>340</v>
      </c>
      <c r="C45" s="245" t="s">
        <v>341</v>
      </c>
      <c r="D45" s="234" t="s">
        <v>340</v>
      </c>
      <c r="E45" s="248" t="str">
        <f ca="1">"+ClassSummary="""&amp;INDIRECT("A20")&amp;""""</f>
        <v>+ClassSummary="The Raider is a vicious foe, keeping inside the enemy's reach with sword and shotgun, making sure they can never sit comfortable."</v>
      </c>
      <c r="F45" s="234" t="s">
        <v>340</v>
      </c>
      <c r="G45" s="234"/>
      <c r="H45" s="235"/>
      <c r="I45" s="235"/>
      <c r="J45" s="235"/>
    </row>
    <row r="46" spans="1:23" x14ac:dyDescent="0.25">
      <c r="A46" s="240" t="str">
        <f ca="1">"+SoldierClasses="&amp;INDIRECT("C3")</f>
        <v>+SoldierClasses=LWD_Raider</v>
      </c>
      <c r="B46" s="234" t="s">
        <v>340</v>
      </c>
      <c r="C46" s="245"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+Loadouts=(LoadoutName="SquaddieLWD_Raider", Items[0]=(Item="Shotgun_CV"), Items[1]=(Item="Sword_CV"))</v>
      </c>
      <c r="D46" s="234" t="s">
        <v>340</v>
      </c>
      <c r="E46" s="248" t="str">
        <f ca="1">"+LeftAbilityTreeTitle="""&amp;INDIRECT("F11")&amp;""""</f>
        <v>+LeftAbilityTreeTitle="Skirmisher"</v>
      </c>
      <c r="F46" s="234" t="s">
        <v>340</v>
      </c>
      <c r="G46" s="234"/>
      <c r="H46" s="235"/>
      <c r="I46" s="234"/>
      <c r="J46" s="234"/>
    </row>
    <row r="47" spans="1:23" x14ac:dyDescent="0.25">
      <c r="A47" s="240"/>
      <c r="B47" s="234" t="s">
        <v>340</v>
      </c>
      <c r="C47" s="245"/>
      <c r="D47" s="234" t="s">
        <v>340</v>
      </c>
      <c r="E47" s="248" t="str">
        <f ca="1">"+RightAbilityTreeTitle="""&amp;INDIRECT("L11")&amp;""""</f>
        <v>+RightAbilityTreeTitle="Fencer"</v>
      </c>
      <c r="F47" s="234" t="s">
        <v>340</v>
      </c>
      <c r="G47" s="234"/>
      <c r="H47" s="235"/>
      <c r="I47" s="234"/>
      <c r="J47" s="234"/>
    </row>
    <row r="48" spans="1:23" x14ac:dyDescent="0.25">
      <c r="A48" s="240" t="str">
        <f ca="1">"["&amp;INDIRECT("C3")&amp;" X2SoldierClassTemplate]"</f>
        <v>[LWD_Raider X2SoldierClassTemplate]</v>
      </c>
      <c r="B48" s="234" t="s">
        <v>340</v>
      </c>
      <c r="C48" s="245" t="s">
        <v>351</v>
      </c>
      <c r="D48" s="234" t="s">
        <v>340</v>
      </c>
      <c r="E48" s="248" t="str">
        <f>"; Nicknames"</f>
        <v>; Nicknames</v>
      </c>
      <c r="F48" s="234" t="s">
        <v>340</v>
      </c>
      <c r="G48" s="234"/>
      <c r="H48" s="234"/>
      <c r="I48" s="234"/>
      <c r="J48" s="234"/>
    </row>
    <row r="49" spans="1:10" ht="15.75" thickBot="1" x14ac:dyDescent="0.3">
      <c r="A49" s="240" t="str">
        <f ca="1">"+bMultiplayerOnly="&amp;INDIRECT("E6")</f>
        <v>+bMultiplayerOnly=0</v>
      </c>
      <c r="B49" s="234" t="s">
        <v>340</v>
      </c>
      <c r="C49" s="246" t="str">
        <f ca="1">"+DEBUG_StartingSoldierClasses="""&amp;INDIRECT("C3")&amp;""""</f>
        <v>+DEBUG_StartingSoldierClasses="LWD_Raider"</v>
      </c>
      <c r="D49" s="234" t="s">
        <v>340</v>
      </c>
      <c r="E49" s="248" t="str">
        <f ca="1">IF(INDIRECT("V4")&lt;&gt;"","RandomNickNames[0]="""&amp;INDIRECT("V4")&amp;"""","")</f>
        <v>RandomNickNames[0]="Grey Ghost"</v>
      </c>
      <c r="F49" s="234" t="s">
        <v>340</v>
      </c>
      <c r="G49" s="234"/>
      <c r="H49" s="234"/>
      <c r="I49" s="234"/>
      <c r="J49" s="234"/>
    </row>
    <row r="50" spans="1:10" x14ac:dyDescent="0.25">
      <c r="A50" s="240" t="str">
        <f ca="1">"+ClassPoints="&amp;INDIRECT("E7")</f>
        <v>+ClassPoints=4</v>
      </c>
      <c r="B50" s="234" t="s">
        <v>340</v>
      </c>
      <c r="C50" s="234"/>
      <c r="D50" s="234"/>
      <c r="E50" s="248" t="str">
        <f ca="1">IF(INDIRECT("V5")&lt;&gt;"","RandomNickNames[1]="""&amp;INDIRECT("V5")&amp;"""","")</f>
        <v>RandomNickNames[1]="Bargain"</v>
      </c>
      <c r="F50" s="234" t="s">
        <v>340</v>
      </c>
      <c r="G50" s="234"/>
      <c r="H50" s="234"/>
      <c r="I50" s="234"/>
      <c r="J50" s="234"/>
    </row>
    <row r="51" spans="1:10" x14ac:dyDescent="0.25">
      <c r="A51" s="240" t="str">
        <f ca="1">"+IconImage="&amp;""""&amp;INDIRECT("E8")&amp;""""</f>
        <v>+IconImage="img:///UILibrary_LWD.class_raider"</v>
      </c>
      <c r="B51" s="234" t="s">
        <v>340</v>
      </c>
      <c r="C51" s="234"/>
      <c r="D51" s="234"/>
      <c r="E51" s="248" t="str">
        <f ca="1">IF(INDIRECT("V6")&lt;&gt;"","RandomNickNames[2]="""&amp;INDIRECT("V6")&amp;"""","")</f>
        <v>RandomNickNames[2]="Facetime"</v>
      </c>
      <c r="F51" s="234" t="s">
        <v>340</v>
      </c>
      <c r="G51" s="234"/>
      <c r="H51" s="234"/>
      <c r="I51" s="234"/>
      <c r="J51" s="234"/>
    </row>
    <row r="52" spans="1:10" x14ac:dyDescent="0.25">
      <c r="A52" s="240" t="str">
        <f ca="1">"+NumInForcedDeck="&amp;INDIRECT("E9")</f>
        <v>+NumInForcedDeck=1</v>
      </c>
      <c r="B52" s="234" t="s">
        <v>340</v>
      </c>
      <c r="C52" s="234"/>
      <c r="D52" s="234"/>
      <c r="E52" s="248" t="str">
        <f ca="1">IF(INDIRECT("V7")&lt;&gt;"","RandomNickNames[3]="""&amp;INDIRECT("V7")&amp;"""","")</f>
        <v>RandomNickNames[3]="Elvis"</v>
      </c>
      <c r="F52" s="234" t="s">
        <v>340</v>
      </c>
      <c r="G52" s="234"/>
      <c r="H52" s="234"/>
      <c r="I52" s="234"/>
      <c r="J52" s="234"/>
    </row>
    <row r="53" spans="1:10" x14ac:dyDescent="0.25">
      <c r="A53" s="240" t="str">
        <f ca="1">"+NumInDeck="&amp;INDIRECT("E10")</f>
        <v>+NumInDeck=4</v>
      </c>
      <c r="B53" s="234" t="s">
        <v>340</v>
      </c>
      <c r="C53" s="234"/>
      <c r="D53" s="234"/>
      <c r="E53" s="248" t="str">
        <f ca="1">IF(INDIRECT("V8")&lt;&gt;"","RandomNickNames[4]="""&amp;INDIRECT("V8")&amp;"""","")</f>
        <v>RandomNickNames[4]="Bones"</v>
      </c>
      <c r="F53" s="234" t="s">
        <v>340</v>
      </c>
      <c r="G53" s="234"/>
      <c r="H53" s="234"/>
      <c r="I53" s="234"/>
      <c r="J53" s="234"/>
    </row>
    <row r="54" spans="1:10" x14ac:dyDescent="0.25">
      <c r="A54" s="240" t="str">
        <f ca="1">"+KillAssistsPerKill="&amp;INDIRECT("E11")</f>
        <v>+KillAssistsPerKill=5</v>
      </c>
      <c r="B54" s="234" t="s">
        <v>340</v>
      </c>
      <c r="C54" s="234"/>
      <c r="D54" s="234"/>
      <c r="E54" s="248" t="str">
        <f ca="1">IF(INDIRECT("V9")&lt;&gt;"","RandomNickNames[5]="""&amp;INDIRECT("V9")&amp;"""","")</f>
        <v>RandomNickNames[5]="Breaker"</v>
      </c>
      <c r="F54" s="234" t="s">
        <v>340</v>
      </c>
      <c r="G54" s="234"/>
      <c r="H54" s="234"/>
      <c r="I54" s="234"/>
      <c r="J54" s="234"/>
    </row>
    <row r="55" spans="1:10" x14ac:dyDescent="0.25">
      <c r="A55" s="240" t="str">
        <f ca="1">"+SquaddieLoadout=Squaddie"&amp;INDIRECT("C3")</f>
        <v>+SquaddieLoadout=SquaddieLWD_Raider</v>
      </c>
      <c r="B55" s="234" t="s">
        <v>340</v>
      </c>
      <c r="C55" s="234"/>
      <c r="D55" s="234"/>
      <c r="E55" s="248" t="str">
        <f ca="1">IF(INDIRECT("V10")&lt;&gt;"","RandomNickNames[6]="""&amp;INDIRECT("V10")&amp;"""","")</f>
        <v>RandomNickNames[6]="Broker"</v>
      </c>
      <c r="F55" s="234" t="s">
        <v>340</v>
      </c>
      <c r="G55" s="234"/>
      <c r="H55" s="234"/>
      <c r="I55" s="234"/>
      <c r="J55" s="234"/>
    </row>
    <row r="56" spans="1:10" x14ac:dyDescent="0.25">
      <c r="A56" s="240" t="str">
        <f ca="1">";+bAllowAWCAbilities="&amp;INDIRECT("E12")&amp;" ; Not a thing in LW2"</f>
        <v>;+bAllowAWCAbilities=1 ; Not a thing in LW2</v>
      </c>
      <c r="B56" s="234" t="s">
        <v>340</v>
      </c>
      <c r="C56" s="234"/>
      <c r="D56" s="234"/>
      <c r="E56" s="248" t="str">
        <f ca="1">IF(INDIRECT("V11")&lt;&gt;"","RandomNickNames[7]="""&amp;INDIRECT("V11")&amp;"""","")</f>
        <v>RandomNickNames[7]="Conquest"</v>
      </c>
      <c r="F56" s="234" t="s">
        <v>340</v>
      </c>
      <c r="G56" s="234"/>
      <c r="H56" s="234"/>
      <c r="I56" s="234"/>
      <c r="J56" s="234"/>
    </row>
    <row r="57" spans="1:10" x14ac:dyDescent="0.25">
      <c r="A57" s="240" t="str">
        <f ca="1">IF(INDIRECT("B5")=FALSE,";","")&amp;"+AllowedWeapons=(SlotType=eInvSlot_PrimaryWeapon, WeaponType=""rifle"")"</f>
        <v>+AllowedWeapons=(SlotType=eInvSlot_PrimaryWeapon, WeaponType="rifle")</v>
      </c>
      <c r="B57" s="234" t="s">
        <v>340</v>
      </c>
      <c r="C57" s="234"/>
      <c r="D57" s="234"/>
      <c r="E57" s="248" t="str">
        <f ca="1">IF(INDIRECT("V12")&lt;&gt;"","RandomNickNames[8]="""&amp;INDIRECT("V12")&amp;"""","")</f>
        <v>RandomNickNames[8]="Deacon"</v>
      </c>
      <c r="F57" s="234" t="s">
        <v>340</v>
      </c>
      <c r="G57" s="234"/>
      <c r="H57" s="234"/>
      <c r="I57" s="234"/>
      <c r="J57" s="234"/>
    </row>
    <row r="58" spans="1:10" x14ac:dyDescent="0.25">
      <c r="A58" s="240" t="str">
        <f ca="1">IF(INDIRECT("B6")=FALSE,";","")&amp;"+AllowedWeapons=(SlotType=eInvSlot_PrimaryWeapon, WeaponType=""cannon"")"</f>
        <v>;+AllowedWeapons=(SlotType=eInvSlot_PrimaryWeapon, WeaponType="cannon")</v>
      </c>
      <c r="B58" s="234" t="s">
        <v>340</v>
      </c>
      <c r="C58" s="234"/>
      <c r="D58" s="234"/>
      <c r="E58" s="248" t="str">
        <f ca="1">IF(INDIRECT("V13")&lt;&gt;"","RandomNickNames[9]="""&amp;INDIRECT("V13")&amp;"""","")</f>
        <v>RandomNickNames[9]="Doomtrain"</v>
      </c>
      <c r="F58" s="234" t="s">
        <v>340</v>
      </c>
      <c r="G58" s="234"/>
      <c r="H58" s="234"/>
      <c r="I58" s="234"/>
      <c r="J58" s="234"/>
    </row>
    <row r="59" spans="1:10" x14ac:dyDescent="0.25">
      <c r="A59" s="240" t="str">
        <f ca="1">IF(INDIRECT("B7")=FALSE,";","")&amp;"+AllowedWeapons=(SlotType=eInvSlot_PrimaryWeapon, WeaponType=""shotgun"")"</f>
        <v>+AllowedWeapons=(SlotType=eInvSlot_PrimaryWeapon, WeaponType="shotgun")</v>
      </c>
      <c r="B59" s="234" t="s">
        <v>340</v>
      </c>
      <c r="C59" s="234"/>
      <c r="D59" s="234"/>
      <c r="E59" s="248" t="str">
        <f ca="1">IF(INDIRECT("V14")&lt;&gt;"","RandomNickNames[10]="""&amp;INDIRECT("V14")&amp;"""","")</f>
        <v>RandomNickNames[10]="Dr. Feelgood"</v>
      </c>
      <c r="F59" s="234" t="s">
        <v>340</v>
      </c>
      <c r="G59" s="234"/>
      <c r="H59" s="234"/>
      <c r="I59" s="234"/>
      <c r="J59" s="234"/>
    </row>
    <row r="60" spans="1:10" x14ac:dyDescent="0.25">
      <c r="A60" s="240" t="str">
        <f ca="1">IF(INDIRECT("B8")=FALSE,";","")&amp;"+AllowedWeapons=(SlotType=eInvSlot_PrimaryWeapon, WeaponType=""sniper_rifle"")"</f>
        <v>;+AllowedWeapons=(SlotType=eInvSlot_PrimaryWeapon, WeaponType="sniper_rifle")</v>
      </c>
      <c r="B60" s="234" t="s">
        <v>340</v>
      </c>
      <c r="C60" s="234"/>
      <c r="D60" s="234"/>
      <c r="E60" s="248" t="str">
        <f ca="1">IF(INDIRECT("V15")&lt;&gt;"","RandomNickNames[11]="""&amp;INDIRECT("V15")&amp;"""","")</f>
        <v>RandomNickNames[11]="Famine"</v>
      </c>
      <c r="F60" s="234" t="s">
        <v>340</v>
      </c>
      <c r="G60" s="234"/>
      <c r="H60" s="234"/>
      <c r="I60" s="234"/>
      <c r="J60" s="234"/>
    </row>
    <row r="61" spans="1:10" x14ac:dyDescent="0.25">
      <c r="A61" s="240" t="str">
        <f ca="1">IF(INDIRECT("B9")=FALSE,";","")&amp;"+AllowedWeapons=(SlotType=eInvSlot_SecondaryWeapon, WeaponType=""gauntlet"")"</f>
        <v>;+AllowedWeapons=(SlotType=eInvSlot_SecondaryWeapon, WeaponType="gauntlet")</v>
      </c>
      <c r="B61" s="234" t="s">
        <v>340</v>
      </c>
      <c r="C61" s="234"/>
      <c r="D61" s="234"/>
      <c r="E61" s="248" t="str">
        <f ca="1">IF(INDIRECT("V16")&lt;&gt;"","RandomNickNames[12]="""&amp;INDIRECT("V16")&amp;"""","")</f>
        <v>RandomNickNames[12]="Feedback"</v>
      </c>
      <c r="F61" s="234" t="s">
        <v>340</v>
      </c>
      <c r="G61" s="234"/>
      <c r="H61" s="234"/>
      <c r="I61" s="234"/>
      <c r="J61" s="234"/>
    </row>
    <row r="62" spans="1:10" x14ac:dyDescent="0.25">
      <c r="A62" s="240" t="str">
        <f ca="1">IF(INDIRECT("B10")=FALSE,";","")&amp;"+AllowedWeapons=(SlotType=eInvSlot_SecondaryWeapon, WeaponType=""combatknife"")"</f>
        <v>;+AllowedWeapons=(SlotType=eInvSlot_SecondaryWeapon, WeaponType="combatknife")</v>
      </c>
      <c r="B62" s="234" t="s">
        <v>340</v>
      </c>
      <c r="C62" s="234"/>
      <c r="D62" s="234"/>
      <c r="E62" s="248" t="str">
        <f ca="1">IF(INDIRECT("V17")&lt;&gt;"","RandomNickNames[13]="""&amp;INDIRECT("V17")&amp;"""","")</f>
        <v>RandomNickNames[13]="Firewall"</v>
      </c>
      <c r="F62" s="234" t="s">
        <v>340</v>
      </c>
      <c r="G62" s="234"/>
      <c r="H62" s="234"/>
      <c r="I62" s="234"/>
      <c r="J62" s="234"/>
    </row>
    <row r="63" spans="1:10" x14ac:dyDescent="0.25">
      <c r="A63" s="240" t="str">
        <f ca="1">IF(INDIRECT("B11")=FALSE,";","")&amp;"+AllowedWeapons=(SlotType=eInvSlot_SecondaryWeapon, WeaponType=""grenade_launcher"")"</f>
        <v>;+AllowedWeapons=(SlotType=eInvSlot_SecondaryWeapon, WeaponType="grenade_launcher")</v>
      </c>
      <c r="B63" s="234" t="s">
        <v>340</v>
      </c>
      <c r="C63" s="234"/>
      <c r="D63" s="234"/>
      <c r="E63" s="248" t="str">
        <f ca="1">IF(INDIRECT("V18")&lt;&gt;"","RandomNickNames[14]="""&amp;INDIRECT("V18")&amp;"""","")</f>
        <v>RandomNickNames[14]="Genius"</v>
      </c>
      <c r="F63" s="234" t="s">
        <v>340</v>
      </c>
      <c r="G63" s="234"/>
      <c r="H63" s="234"/>
      <c r="I63" s="234"/>
      <c r="J63" s="234"/>
    </row>
    <row r="64" spans="1:10" x14ac:dyDescent="0.25">
      <c r="A64" s="240" t="str">
        <f ca="1">IF(INDIRECT("B12")=FALSE,";","")&amp;"+AllowedWeapons=(SlotType=eInvSlot_SecondaryWeapon, WeaponType=""gremlin"")"</f>
        <v>;+AllowedWeapons=(SlotType=eInvSlot_SecondaryWeapon, WeaponType="gremlin")</v>
      </c>
      <c r="B64" s="234" t="s">
        <v>340</v>
      </c>
      <c r="C64" s="234"/>
      <c r="D64" s="234"/>
      <c r="E64" s="248" t="str">
        <f ca="1">IF(INDIRECT("V19")&lt;&gt;"","RandomNickNames[15]="""&amp;INDIRECT("V19")&amp;"""","")</f>
        <v>RandomNickNames[15]="Gizmo"</v>
      </c>
      <c r="F64" s="234" t="s">
        <v>340</v>
      </c>
      <c r="G64" s="234"/>
      <c r="H64" s="234"/>
      <c r="I64" s="234"/>
      <c r="J64" s="234"/>
    </row>
    <row r="65" spans="1:10" x14ac:dyDescent="0.25">
      <c r="A65" s="240" t="str">
        <f ca="1">IF(INDIRECT("B13")=FALSE,";","")&amp;"+AllowedWeapons=(SlotType=eInvSlot_SecondaryWeapon, WeaponType=""sword"")"</f>
        <v>+AllowedWeapons=(SlotType=eInvSlot_SecondaryWeapon, WeaponType="sword")</v>
      </c>
      <c r="B65" s="234" t="s">
        <v>340</v>
      </c>
      <c r="C65" s="234"/>
      <c r="D65" s="234"/>
      <c r="E65" s="248" t="str">
        <f ca="1">IF(INDIRECT("V20")&lt;&gt;"","RandomNickNames[16]="""&amp;INDIRECT("V20")&amp;"""","")</f>
        <v>RandomNickNames[16]="Jester"</v>
      </c>
      <c r="F65" s="234" t="s">
        <v>340</v>
      </c>
      <c r="G65" s="234"/>
      <c r="H65" s="234"/>
      <c r="I65" s="234"/>
      <c r="J65" s="234"/>
    </row>
    <row r="66" spans="1:10" x14ac:dyDescent="0.25">
      <c r="A66" s="240" t="str">
        <f ca="1">IF(INDIRECT("B14")=FALSE,";","")&amp;"+AllowedWeapons=(SlotType=eInvSlot_SecondaryWeapon, WeaponType=""sawedoffshotgun"")"</f>
        <v>;+AllowedWeapons=(SlotType=eInvSlot_SecondaryWeapon, WeaponType="sawedoffshotgun")</v>
      </c>
      <c r="B66" s="234" t="s">
        <v>340</v>
      </c>
      <c r="C66" s="234"/>
      <c r="D66" s="234"/>
      <c r="E66" s="248" t="str">
        <f ca="1">IF(INDIRECT("V21")&lt;&gt;"","RandomNickNames[17]="""&amp;INDIRECT("V21")&amp;"""","")</f>
        <v>RandomNickNames[17]="Pirate"</v>
      </c>
      <c r="F66" s="234" t="s">
        <v>340</v>
      </c>
      <c r="G66" s="234"/>
      <c r="H66" s="234"/>
      <c r="I66" s="234"/>
      <c r="J66" s="234"/>
    </row>
    <row r="67" spans="1:10" x14ac:dyDescent="0.25">
      <c r="A67" s="240" t="str">
        <f ca="1">IF(INDIRECT("B15")=FALSE,";","")&amp;"+AllowedWeapons=(SlotType=eInvSlot_SecondaryWeapon, WeaponType=""arcthrower"")"</f>
        <v>;+AllowedWeapons=(SlotType=eInvSlot_SecondaryWeapon, WeaponType="arcthrower")</v>
      </c>
      <c r="B67" s="234" t="s">
        <v>340</v>
      </c>
      <c r="C67" s="234"/>
      <c r="D67" s="234"/>
      <c r="E67" s="248" t="str">
        <f ca="1">IF(INDIRECT("V22")&lt;&gt;"","RandomNickNames[18]="""&amp;INDIRECT("V22")&amp;"""","")</f>
        <v>RandomNickNames[18]="Cap'n"</v>
      </c>
      <c r="F67" s="234" t="s">
        <v>340</v>
      </c>
      <c r="G67" s="234"/>
      <c r="H67" s="234"/>
      <c r="I67" s="234"/>
      <c r="J67" s="234"/>
    </row>
    <row r="68" spans="1:10" x14ac:dyDescent="0.25">
      <c r="A68" s="240" t="str">
        <f ca="1">IF(INDIRECT("B16")=FALSE,";","")&amp;"+AllowedWeapons=(SlotType=eInvSlot_SecondaryWeapon, WeaponType=""holotargeter"")"</f>
        <v>;+AllowedWeapons=(SlotType=eInvSlot_SecondaryWeapon, WeaponType="holotargeter")</v>
      </c>
      <c r="B68" s="234" t="s">
        <v>340</v>
      </c>
      <c r="C68" s="234"/>
      <c r="D68" s="234"/>
      <c r="E68" s="248" t="str">
        <f ca="1">IF(INDIRECT("V23")&lt;&gt;"","RandomNickNames[19]="""&amp;INDIRECT("V23")&amp;"""","")</f>
        <v>RandomNickNames[19]="Mayday"</v>
      </c>
      <c r="F68" s="234" t="s">
        <v>340</v>
      </c>
      <c r="G68" s="234"/>
      <c r="H68" s="234"/>
      <c r="I68" s="234"/>
      <c r="J68" s="234"/>
    </row>
    <row r="69" spans="1:10" x14ac:dyDescent="0.25">
      <c r="A69" s="240" t="str">
        <f ca="1">IF(INDIRECT("B17")=FALSE,";","")&amp;"+AllowedWeapons=(SlotType=eInvSlot_SecondaryWeapon, WeaponType=""psiamp"")"</f>
        <v>;+AllowedWeapons=(SlotType=eInvSlot_SecondaryWeapon, WeaponType="psiamp")</v>
      </c>
      <c r="B69" s="234" t="s">
        <v>340</v>
      </c>
      <c r="C69" s="234"/>
      <c r="D69" s="234"/>
      <c r="E69" s="248" t="str">
        <f ca="1">IF(INDIRECT("V24")&lt;&gt;"","RandomNickNames[20]="""&amp;INDIRECT("V24")&amp;"""","")</f>
        <v>RandomNickNames[20]="Mega"</v>
      </c>
      <c r="F69" s="234" t="s">
        <v>340</v>
      </c>
      <c r="G69" s="234"/>
      <c r="H69" s="234"/>
      <c r="I69" s="234"/>
      <c r="J69" s="234"/>
    </row>
    <row r="70" spans="1:10" x14ac:dyDescent="0.25">
      <c r="A70" s="240" t="str">
        <f ca="1">IF(INDIRECT("B9")=FALSE,";","")&amp;"+AllowedWeapons=(SlotType=eInvSlot_HeavyWeapon, WeaponType=""heavyammo"")"</f>
        <v>;+AllowedWeapons=(SlotType=eInvSlot_HeavyWeapon, WeaponType="heavyammo")</v>
      </c>
      <c r="B70" s="234" t="s">
        <v>340</v>
      </c>
      <c r="C70" s="234"/>
      <c r="D70" s="234"/>
      <c r="E70" s="248" t="str">
        <f ca="1">IF(INDIRECT("V25")&lt;&gt;"","RandomNickNames[21]="""&amp;INDIRECT("V25")&amp;"""","")</f>
        <v>RandomNickNames[21]="Viking"</v>
      </c>
      <c r="F70" s="234" t="s">
        <v>340</v>
      </c>
      <c r="G70" s="234"/>
      <c r="H70" s="234"/>
      <c r="I70" s="234"/>
      <c r="J70" s="234"/>
    </row>
    <row r="71" spans="1:10" x14ac:dyDescent="0.25">
      <c r="A71" s="240" t="str">
        <f ca="1">IF(INDIRECT("B9")=TRUE,";","")&amp;"+AllowedWeapons=(SlotType=eInvSlot_HeavyWeapon, WeaponType=""heavy"")"</f>
        <v>+AllowedWeapons=(SlotType=eInvSlot_HeavyWeapon, WeaponType="heavy")</v>
      </c>
      <c r="B71" s="234" t="s">
        <v>340</v>
      </c>
      <c r="C71" s="234"/>
      <c r="D71" s="234"/>
      <c r="E71" s="248" t="str">
        <f ca="1">IF(INDIRECT("V26")&lt;&gt;"","RandomNickNames[22]="""&amp;INDIRECT("V26")&amp;"""","")</f>
        <v>RandomNickNames[22]="Ragtime"</v>
      </c>
      <c r="F71" s="234" t="s">
        <v>340</v>
      </c>
      <c r="G71" s="234"/>
      <c r="H71" s="234"/>
      <c r="I71" s="234"/>
      <c r="J71" s="234"/>
    </row>
    <row r="72" spans="1:10" x14ac:dyDescent="0.25">
      <c r="A72" s="240" t="str">
        <f ca="1">"+AllowedArmors="&amp;INDIRECT("E13")</f>
        <v>+AllowedArmors=soldier</v>
      </c>
      <c r="B72" s="234" t="s">
        <v>340</v>
      </c>
      <c r="C72" s="234"/>
      <c r="D72" s="234"/>
      <c r="E72" s="248" t="str">
        <f ca="1">IF(INDIRECT("V27")&lt;&gt;"","RandomNickNames[23]="""&amp;INDIRECT("V27")&amp;"""","")</f>
        <v>RandomNickNames[23]="Rascal"</v>
      </c>
      <c r="F72" s="234" t="s">
        <v>340</v>
      </c>
      <c r="G72" s="234"/>
      <c r="H72" s="234"/>
      <c r="I72" s="234"/>
      <c r="J72" s="234"/>
    </row>
    <row r="73" spans="1:10" x14ac:dyDescent="0.25">
      <c r="A73" s="240" t="str">
        <f>"; squaddie"</f>
        <v>; squaddie</v>
      </c>
      <c r="B73" s="234" t="s">
        <v>340</v>
      </c>
      <c r="C73" s="234"/>
      <c r="D73" s="234"/>
      <c r="E73" s="248" t="str">
        <f ca="1">IF(INDIRECT("V28")&lt;&gt;"","RandomNickNames[24]="""&amp;INDIRECT("V28")&amp;"""","")</f>
        <v>RandomNickNames[24]="Rattler"</v>
      </c>
      <c r="F73" s="234" t="s">
        <v>340</v>
      </c>
      <c r="G73" s="234"/>
      <c r="H73" s="234"/>
      <c r="I73" s="234"/>
      <c r="J73" s="234"/>
    </row>
    <row r="74" spans="1:10" x14ac:dyDescent="0.25">
      <c r="A74" s="240" t="str">
        <f ca="1">"+SoldierRanks=(  aAbilityTree=( (AbilityName="""&amp;VLOOKUP(INDIRECT("F4"),Abilities,2,FALSE)&amp;""""&amp;IF(VLOOKUP(INDIRECT("F4"),Abilities,3,FALSE)="","",", ApplyToWeaponSlot=eInvSlot_"&amp;VLOOKUP(INDIRECT("F4"),Abilities,3,FALSE))&amp;"), \\"</f>
        <v>+SoldierRanks=(  aAbilityTree=( (AbilityName="LWD_Onslaught", ApplyToWeaponSlot=eInvSlot_PrimaryWeapon), \\</v>
      </c>
      <c r="B74" s="234" t="s">
        <v>340</v>
      </c>
      <c r="C74" s="234"/>
      <c r="D74" s="234"/>
      <c r="E74" s="248" t="str">
        <f ca="1">IF(INDIRECT("V29")&lt;&gt;"","RandomNickNames[25]="""&amp;INDIRECT("V29")&amp;"""","")</f>
        <v>RandomNickNames[25]="Revelation"</v>
      </c>
      <c r="F74" s="234" t="s">
        <v>340</v>
      </c>
      <c r="G74" s="234"/>
      <c r="H74" s="234"/>
      <c r="I74" s="234"/>
      <c r="J74" s="234"/>
    </row>
    <row r="75" spans="1:10" x14ac:dyDescent="0.25">
      <c r="A75" s="240" t="str">
        <f ca="1">IF(INDIRECT("I4")="","\\","(AbilityName="""&amp;VLOOKUP(INDIRECT("I4"),Abilities,2,FALSE)&amp;""""&amp;IF(VLOOKUP(INDIRECT("I4"),Abilities,3,FALSE)="","",", ApplyToWeaponSlot=eInvSlot_"&amp;VLOOKUP(INDIRECT("I4"),Abilities,3,FALSE))&amp;"), \\")</f>
        <v>(AbilityName="LWD_Reave", ApplyToWeaponSlot=eInvSlot_SecondaryWeapon), \\</v>
      </c>
      <c r="B75" s="234" t="s">
        <v>340</v>
      </c>
      <c r="C75" s="234"/>
      <c r="D75" s="234"/>
      <c r="E75" s="248" t="str">
        <f ca="1">IF(INDIRECT("V30")&lt;&gt;"","RandomNickNames[26]="""&amp;INDIRECT("V30")&amp;"""","")</f>
        <v>RandomNickNames[26]="Skipper"</v>
      </c>
      <c r="F75" s="234" t="s">
        <v>340</v>
      </c>
      <c r="G75" s="234"/>
      <c r="H75" s="234"/>
      <c r="I75" s="234"/>
      <c r="J75" s="234"/>
    </row>
    <row r="76" spans="1:10" x14ac:dyDescent="0.25">
      <c r="A76" s="240" t="str">
        <f ca="1">IF(INDIRECT("L4")="","\\","(AbilityName="""&amp;VLOOKUP(INDIRECT("L4"),Abilities,2,FALSE)&amp;""""&amp;IF(VLOOKUP(INDIRECT("L4"),Abilities,3,FALSE)="","",", ApplyToWeaponSlot=eInvSlot_"&amp;VLOOKUP(INDIRECT("L4"),Abilities,3,FALSE))&amp;"), \\")</f>
        <v>\\</v>
      </c>
      <c r="B76" s="234" t="s">
        <v>340</v>
      </c>
      <c r="C76" s="234"/>
      <c r="D76" s="234"/>
      <c r="E76" s="248" t="str">
        <f ca="1">IF(INDIRECT("V31")&lt;&gt;"","RandomNickNames[27]="""&amp;INDIRECT("V31")&amp;"""","")</f>
        <v>RandomNickNames[27]="Thunder"</v>
      </c>
      <c r="F76" s="234" t="s">
        <v>340</v>
      </c>
      <c r="G76" s="234"/>
      <c r="H76" s="234"/>
      <c r="I76" s="234"/>
      <c r="J76" s="234"/>
    </row>
    <row r="77" spans="1:10" x14ac:dyDescent="0.25">
      <c r="A77" s="240" t="str">
        <f ca="1">IF(INDIRECT("F7")="","\\","(AbilityName="""&amp;VLOOKUP(INDIRECT("F7"),Abilities,2,FALSE)&amp;""""&amp;IF(VLOOKUP(INDIRECT("F7"),Abilities,3,FALSE)="","",", ApplyToWeaponSlot=eInvSlot_"&amp;VLOOKUP(INDIRECT("F7"),Abilities,3,FALSE))&amp;"), \\")</f>
        <v>\\</v>
      </c>
      <c r="B77" s="234" t="s">
        <v>340</v>
      </c>
      <c r="C77" s="234"/>
      <c r="D77" s="234"/>
      <c r="E77" s="248" t="str">
        <f ca="1">IF(INDIRECT("V32")&lt;&gt;"","RandomNickNames[28]="""&amp;INDIRECT("V32")&amp;"""","")</f>
        <v>RandomNickNames[28]="Undertaker"</v>
      </c>
      <c r="F77" s="234" t="s">
        <v>340</v>
      </c>
      <c r="G77" s="234"/>
      <c r="H77" s="234"/>
      <c r="I77" s="234"/>
      <c r="J77" s="234"/>
    </row>
    <row r="78" spans="1:10" x14ac:dyDescent="0.25">
      <c r="A78" s="240" t="str">
        <f ca="1">IF(INDIRECT("I7")="","\\","(AbilityName="""&amp;VLOOKUP(INDIRECT("I7"),Abilities,2,FALSE)&amp;""""&amp;IF(VLOOKUP(INDIRECT("I7"),Abilities,3,FALSE)="","",", ApplyToWeaponSlot=eInvSlot_"&amp;VLOOKUP(INDIRECT("I7"),Abilities,3,FALSE))&amp;"), \\")</f>
        <v>\\</v>
      </c>
      <c r="B78" s="234" t="s">
        <v>340</v>
      </c>
      <c r="C78" s="234"/>
      <c r="D78" s="234"/>
      <c r="E78" s="248" t="str">
        <f ca="1">IF(INDIRECT("V33")&lt;&gt;"","RandomNickNames[29]="""&amp;INDIRECT("V33")&amp;"""","")</f>
        <v>RandomNickNames[29]="War"</v>
      </c>
      <c r="F78" s="234" t="s">
        <v>340</v>
      </c>
      <c r="G78" s="234"/>
      <c r="H78" s="234"/>
      <c r="I78" s="234"/>
      <c r="J78" s="234"/>
    </row>
    <row r="79" spans="1:10" x14ac:dyDescent="0.25">
      <c r="A79" s="240" t="str">
        <f ca="1">IF(INDIRECT("L7")="","\\","(AbilityName="""&amp;VLOOKUP(INDIRECT("L7"),Abilities,2,FALSE)&amp;""""&amp;IF(VLOOKUP(INDIRECT("L7"),Abilities,3,FALSE)="","",", ApplyToWeaponSlot=eInvSlot_"&amp;VLOOKUP(INDIRECT("L7"),Abilities,3,FALSE))&amp;"), \\")</f>
        <v>\\</v>
      </c>
      <c r="B79" s="234" t="s">
        <v>340</v>
      </c>
      <c r="C79" s="234"/>
      <c r="D79" s="234"/>
      <c r="E79" s="248" t="str">
        <f ca="1">IF(INDIRECT("V34")&lt;&gt;"","RandomNickNames[30]="""&amp;INDIRECT("V34")&amp;"""","")</f>
        <v>RandomNickNames[30]="Whoopsie"</v>
      </c>
      <c r="F79" s="234" t="s">
        <v>340</v>
      </c>
      <c r="G79" s="234"/>
      <c r="H79" s="234"/>
      <c r="I79" s="234"/>
      <c r="J79" s="234"/>
    </row>
    <row r="80" spans="1:10" x14ac:dyDescent="0.25">
      <c r="A80" s="240" t="s">
        <v>337</v>
      </c>
      <c r="B80" s="234" t="s">
        <v>340</v>
      </c>
      <c r="C80" s="234"/>
      <c r="D80" s="234"/>
      <c r="E80" s="248" t="str">
        <f ca="1">IF(INDIRECT("V35")&lt;&gt;"","RandomNickNames[31]="""&amp;INDIRECT("V35")&amp;"""","")</f>
        <v>RandomNickNames[31]="Berserk"</v>
      </c>
      <c r="F80" s="234" t="s">
        <v>340</v>
      </c>
      <c r="G80" s="234"/>
      <c r="H80" s="234"/>
      <c r="I80" s="234"/>
      <c r="J80" s="234"/>
    </row>
    <row r="81" spans="1:10" x14ac:dyDescent="0.25">
      <c r="A81" s="240"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(StatType=eStat_Will,StatAmount=4), (StatType=eStat_Dodge,StatAmount=1)),\\</v>
      </c>
      <c r="B81" s="234" t="s">
        <v>340</v>
      </c>
      <c r="C81" s="234"/>
      <c r="D81" s="234"/>
      <c r="E81" s="248" t="str">
        <f>"; Male Nicknames"</f>
        <v>; Male Nicknames</v>
      </c>
      <c r="F81" s="234" t="s">
        <v>340</v>
      </c>
      <c r="G81" s="234"/>
      <c r="H81" s="234"/>
      <c r="I81" s="234"/>
      <c r="J81" s="234"/>
    </row>
    <row r="82" spans="1:10" x14ac:dyDescent="0.25">
      <c r="A82" s="240" t="s">
        <v>338</v>
      </c>
      <c r="B82" s="234" t="s">
        <v>340</v>
      </c>
      <c r="C82" s="234"/>
      <c r="D82" s="234"/>
      <c r="E82" s="248" t="str">
        <f ca="1">IF(INDIRECT("X4")&lt;&gt;"","RandomNickNames_Male[0]="""&amp;INDIRECT("X4")&amp;"""","")</f>
        <v>RandomNickNames_Male[0]="Candyman"</v>
      </c>
      <c r="F82" s="234" t="s">
        <v>340</v>
      </c>
      <c r="G82" s="234"/>
      <c r="H82" s="234"/>
      <c r="I82" s="234"/>
      <c r="J82" s="234"/>
    </row>
    <row r="83" spans="1:10" x14ac:dyDescent="0.25">
      <c r="A83" s="240" t="str">
        <f>"; lance corporal"</f>
        <v>; lance corporal</v>
      </c>
      <c r="B83" s="234" t="s">
        <v>340</v>
      </c>
      <c r="C83" s="234"/>
      <c r="D83" s="234"/>
      <c r="E83" s="248" t="str">
        <f ca="1">IF(INDIRECT("X5")&lt;&gt;"","RandomNickNames_Male[1]="""&amp;INDIRECT("X5")&amp;"""","")</f>
        <v>RandomNickNames_Male[1]="Magic Man"</v>
      </c>
      <c r="F83" s="234" t="s">
        <v>340</v>
      </c>
      <c r="G83" s="234"/>
      <c r="H83" s="234"/>
      <c r="I83" s="234"/>
      <c r="J83" s="234"/>
    </row>
    <row r="84" spans="1:10" x14ac:dyDescent="0.25">
      <c r="A84" s="240" t="str">
        <f ca="1">"+SoldierRanks=(  aAbilityTree=( (AbilityName="""&amp;VLOOKUP(INDIRECT("F13"),Abilities,2,FALSE)&amp;""""&amp;IF(VLOOKUP(INDIRECT("F13"),Abilities,3,FALSE)="","",", ApplyToWeaponSlot=eInvSlot_"&amp;VLOOKUP(INDIRECT("F13"),Abilities,3,FALSE))&amp;"), \\"</f>
        <v>+SoldierRanks=(  aAbilityTree=( (AbilityName="LWD_BattleFocus", ApplyToWeaponSlot=eInvSlot_PrimaryWeapon), \\</v>
      </c>
      <c r="B84" s="234" t="s">
        <v>340</v>
      </c>
      <c r="C84" s="234"/>
      <c r="D84" s="234"/>
      <c r="E84" s="248" t="str">
        <f ca="1">IF(INDIRECT("X6")&lt;&gt;"","RandomNickNames_Male[2]="""&amp;INDIRECT("X6")&amp;"""","")</f>
        <v>RandomNickNames_Male[2]="Priest"</v>
      </c>
      <c r="F84" s="234" t="s">
        <v>340</v>
      </c>
      <c r="G84" s="234"/>
      <c r="H84" s="234"/>
      <c r="I84" s="234"/>
      <c r="J84" s="234"/>
    </row>
    <row r="85" spans="1:10" x14ac:dyDescent="0.25">
      <c r="A85" s="240" t="str">
        <f ca="1">IF(INDIRECT("I13")="","\\","(AbilityName="""&amp;VLOOKUP(INDIRECT("I13"),Abilities,2,FALSE)&amp;""""&amp;IF(VLOOKUP(INDIRECT("I13"),Abilities,3,FALSE)="","",", ApplyToWeaponSlot=eInvSlot_"&amp;VLOOKUP(INDIRECT("I13"),Abilities,3,FALSE))&amp;"), \\")</f>
        <v>(AbilityName=" "), \\</v>
      </c>
      <c r="B85" s="234" t="s">
        <v>340</v>
      </c>
      <c r="C85" s="234"/>
      <c r="D85" s="234"/>
      <c r="E85" s="248" t="str">
        <f ca="1">IF(INDIRECT("X7")&lt;&gt;"","RandomNickNames_Male[3]="""&amp;INDIRECT("X7")&amp;"""","")</f>
        <v>RandomNickNames_Male[3]="Rainman"</v>
      </c>
      <c r="F85" s="234" t="s">
        <v>340</v>
      </c>
      <c r="G85" s="234"/>
      <c r="H85" s="234"/>
      <c r="I85" s="234"/>
      <c r="J85" s="234"/>
    </row>
    <row r="86" spans="1:10" x14ac:dyDescent="0.25">
      <c r="A86" s="240" t="str">
        <f ca="1">IF(INDIRECT("L13")="","\\","(AbilityName="""&amp;VLOOKUP(INDIRECT("L13"),Abilities,2,FALSE)&amp;""""&amp;IF(VLOOKUP(INDIRECT("L13"),Abilities,3,FALSE)="","",", ApplyToWeaponSlot=eInvSlot_"&amp;VLOOKUP(INDIRECT("L13"),Abilities,3,FALSE))&amp;"), \\")</f>
        <v>(AbilityName="LWD_BattleFury", ApplyToWeaponSlot=eInvSlot_SecondaryWeapon), \\</v>
      </c>
      <c r="B86" s="234" t="s">
        <v>340</v>
      </c>
      <c r="C86" s="234"/>
      <c r="D86" s="234"/>
      <c r="E86" s="248" t="str">
        <f ca="1">IF(INDIRECT("X8")&lt;&gt;"","RandomNickNames_Male[4]="""&amp;INDIRECT("X8")&amp;"""","")</f>
        <v>RandomNickNames_Male[4]="Rooster"</v>
      </c>
      <c r="F86" s="234" t="s">
        <v>340</v>
      </c>
      <c r="G86" s="234"/>
      <c r="H86" s="234"/>
      <c r="I86" s="234"/>
      <c r="J86" s="234"/>
    </row>
    <row r="87" spans="1:10" x14ac:dyDescent="0.25">
      <c r="A87" s="240" t="s">
        <v>337</v>
      </c>
      <c r="B87" s="234" t="s">
        <v>340</v>
      </c>
      <c r="C87" s="234"/>
      <c r="D87" s="234"/>
      <c r="E87" s="248" t="str">
        <f>"; Female Nicknames"</f>
        <v>; Female Nicknames</v>
      </c>
      <c r="F87" s="234" t="s">
        <v>340</v>
      </c>
      <c r="G87" s="234"/>
      <c r="H87" s="234"/>
      <c r="I87" s="234"/>
      <c r="J87" s="234"/>
    </row>
    <row r="88" spans="1:10" x14ac:dyDescent="0.25">
      <c r="A88" s="240"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(StatType=eStat_Will,StatAmount=4), (StatType=eStat_Dodge,StatAmount=1)),\\</v>
      </c>
      <c r="B88" s="234" t="s">
        <v>340</v>
      </c>
      <c r="C88" s="234"/>
      <c r="D88" s="234"/>
      <c r="E88" s="248" t="str">
        <f ca="1">IF(INDIRECT("X10")&lt;&gt;"","RandomNickNames_Female[0]="""&amp;INDIRECT("X10")&amp;"""","")</f>
        <v>RandomNickNames_Female[0]="Priestess"</v>
      </c>
      <c r="F88" s="234" t="s">
        <v>340</v>
      </c>
      <c r="G88" s="234"/>
      <c r="H88" s="234"/>
      <c r="I88" s="234"/>
      <c r="J88" s="234"/>
    </row>
    <row r="89" spans="1:10" x14ac:dyDescent="0.25">
      <c r="A89" s="240" t="s">
        <v>338</v>
      </c>
      <c r="B89" s="234" t="s">
        <v>340</v>
      </c>
      <c r="C89" s="234"/>
      <c r="D89" s="234"/>
      <c r="E89" s="248" t="str">
        <f ca="1">IF(INDIRECT("X11")&lt;&gt;"","RandomNickNames_Female[1]="""&amp;INDIRECT("X11")&amp;"""","")</f>
        <v>RandomNickNames_Female[1]="Wolfmother"</v>
      </c>
      <c r="F89" s="234" t="s">
        <v>340</v>
      </c>
      <c r="G89" s="234"/>
      <c r="H89" s="234"/>
      <c r="I89" s="234"/>
      <c r="J89" s="234"/>
    </row>
    <row r="90" spans="1:10" x14ac:dyDescent="0.25">
      <c r="A90" s="240" t="str">
        <f>"; corporal"</f>
        <v>; corporal</v>
      </c>
      <c r="B90" s="234" t="s">
        <v>340</v>
      </c>
      <c r="C90" s="234"/>
      <c r="D90" s="234"/>
      <c r="E90" s="248" t="str">
        <f ca="1">IF(INDIRECT("X12")&lt;&gt;"","RandomNickNames_Female[2]="""&amp;INDIRECT("X12")&amp;"""","")</f>
        <v>RandomNickNames_Female[2]="Black Widow"</v>
      </c>
      <c r="F90" s="234" t="s">
        <v>340</v>
      </c>
      <c r="G90" s="234"/>
      <c r="H90" s="234"/>
      <c r="I90" s="234"/>
      <c r="J90" s="234"/>
    </row>
    <row r="91" spans="1:10" x14ac:dyDescent="0.25">
      <c r="A91" s="240" t="str">
        <f ca="1">"+SoldierRanks=(  aAbilityTree=( (AbilityName="""&amp;VLOOKUP(INDIRECT("F17"),Abilities,2,FALSE)&amp;""""&amp;IF(VLOOKUP(INDIRECT("F17"),Abilities,3,FALSE)="","",", ApplyToWeaponSlot=eInvSlot_"&amp;VLOOKUP(INDIRECT("F17"),Abilities,3,FALSE))&amp;"), \\"</f>
        <v>+SoldierRanks=(  aAbilityTree=( (AbilityName=" "), \\</v>
      </c>
      <c r="B91" s="234" t="s">
        <v>340</v>
      </c>
      <c r="C91" s="234"/>
      <c r="D91" s="234"/>
      <c r="E91" s="248" t="str">
        <f ca="1">IF(INDIRECT("X13")&lt;&gt;"","RandomNickNames_Female[3]="""&amp;INDIRECT("X13")&amp;"""","")</f>
        <v>RandomNickNames_Female[3]="Duchess"</v>
      </c>
      <c r="F91" s="234" t="s">
        <v>340</v>
      </c>
      <c r="G91" s="234"/>
      <c r="H91" s="234"/>
      <c r="I91" s="234"/>
      <c r="J91" s="234"/>
    </row>
    <row r="92" spans="1:10" ht="15.75" thickBot="1" x14ac:dyDescent="0.3">
      <c r="A92" s="240" t="str">
        <f ca="1">IF(INDIRECT("I17")="","\\","(AbilityName="""&amp;VLOOKUP(INDIRECT("I17"),Abilities,2,FALSE)&amp;""""&amp;IF(VLOOKUP(INDIRECT("I17"),Abilities,3,FALSE)="","",", ApplyToWeaponSlot=eInvSlot_"&amp;VLOOKUP(INDIRECT("I17"),Abilities,3,FALSE))&amp;"), \\")</f>
        <v>(AbilityName="LWD_CombatStance"), \\</v>
      </c>
      <c r="B92" s="234" t="s">
        <v>340</v>
      </c>
      <c r="C92" s="234"/>
      <c r="D92" s="234"/>
      <c r="E92" s="249" t="str">
        <f ca="1">IF(INDIRECT("X14")&lt;&gt;"","RandomNickNames_Female[4]="""&amp;INDIRECT("X14")&amp;"""","")</f>
        <v>RandomNickNames_Female[4]="Queen"</v>
      </c>
      <c r="F92" s="234" t="s">
        <v>340</v>
      </c>
      <c r="G92" s="234"/>
      <c r="H92" s="234"/>
      <c r="I92" s="234"/>
      <c r="J92" s="234"/>
    </row>
    <row r="93" spans="1:10" x14ac:dyDescent="0.25">
      <c r="A93" s="240" t="str">
        <f ca="1">IF(INDIRECT("L17")="","\\","(AbilityName="""&amp;VLOOKUP(INDIRECT("L17"),Abilities,2,FALSE)&amp;""""&amp;IF(VLOOKUP(INDIRECT("L17"),Abilities,3,FALSE)="","",", ApplyToWeaponSlot=eInvSlot_"&amp;VLOOKUP(INDIRECT("L17"),Abilities,3,FALSE))&amp;"), \\")</f>
        <v>(AbilityName=" "), \\</v>
      </c>
      <c r="B93" s="234" t="s">
        <v>340</v>
      </c>
      <c r="C93" s="234"/>
      <c r="D93" s="234"/>
      <c r="E93" s="234"/>
      <c r="F93" s="234"/>
      <c r="G93" s="234"/>
      <c r="H93" s="234"/>
      <c r="I93" s="234"/>
      <c r="J93" s="234"/>
    </row>
    <row r="94" spans="1:10" x14ac:dyDescent="0.25">
      <c r="A94" s="240" t="s">
        <v>337</v>
      </c>
      <c r="B94" s="234" t="s">
        <v>340</v>
      </c>
      <c r="C94" s="234"/>
      <c r="D94" s="234"/>
      <c r="E94" s="234"/>
      <c r="F94" s="234"/>
      <c r="G94" s="234"/>
      <c r="H94" s="234"/>
      <c r="I94" s="234"/>
      <c r="J94" s="234"/>
    </row>
    <row r="95" spans="1:10" x14ac:dyDescent="0.25">
      <c r="A95" s="240"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 (StatType=eStat_Dodge,StatAmount=1)),\\</v>
      </c>
      <c r="B95" s="234" t="s">
        <v>340</v>
      </c>
      <c r="C95" s="234"/>
      <c r="D95" s="234"/>
      <c r="E95" s="234"/>
      <c r="F95" s="234"/>
      <c r="G95" s="234"/>
      <c r="H95" s="234"/>
      <c r="I95" s="234"/>
      <c r="J95" s="234"/>
    </row>
    <row r="96" spans="1:10" x14ac:dyDescent="0.25">
      <c r="A96" s="240" t="s">
        <v>338</v>
      </c>
      <c r="B96" s="234" t="s">
        <v>340</v>
      </c>
      <c r="C96" s="234"/>
      <c r="D96" s="234"/>
      <c r="E96" s="234"/>
      <c r="F96" s="234"/>
      <c r="G96" s="234"/>
      <c r="H96" s="234"/>
      <c r="I96" s="234"/>
      <c r="J96" s="234"/>
    </row>
    <row r="97" spans="1:10" x14ac:dyDescent="0.25">
      <c r="A97" s="240" t="str">
        <f>"; sergeant"</f>
        <v>; sergeant</v>
      </c>
      <c r="B97" s="234" t="s">
        <v>340</v>
      </c>
      <c r="C97" s="234"/>
      <c r="D97" s="234"/>
      <c r="E97" s="234"/>
      <c r="F97" s="234"/>
      <c r="G97" s="234"/>
      <c r="H97" s="234"/>
      <c r="I97" s="234"/>
      <c r="J97" s="234"/>
    </row>
    <row r="98" spans="1:10" x14ac:dyDescent="0.25">
      <c r="A98" s="240" t="str">
        <f ca="1">"+SoldierRanks=(  aAbilityTree=( (AbilityName="""&amp;VLOOKUP(INDIRECT("F21"),Abilities,2,FALSE)&amp;""""&amp;IF(VLOOKUP(INDIRECT("F21"),Abilities,3,FALSE)="","",", ApplyToWeaponSlot=eInvSlot_"&amp;VLOOKUP(INDIRECT("F21"),Abilities,3,FALSE))&amp;"), \\"</f>
        <v>+SoldierRanks=(  aAbilityTree=( (AbilityName="ShadowOps_Sprint"), \\</v>
      </c>
      <c r="B98" s="234" t="s">
        <v>340</v>
      </c>
      <c r="C98" s="234"/>
      <c r="D98" s="234"/>
      <c r="E98" s="234"/>
      <c r="F98" s="234"/>
      <c r="G98" s="234"/>
      <c r="H98" s="234"/>
      <c r="I98" s="234"/>
      <c r="J98" s="234"/>
    </row>
    <row r="99" spans="1:10" x14ac:dyDescent="0.25">
      <c r="A99" s="240" t="str">
        <f ca="1">IF(INDIRECT("I21")="","\\","(AbilityName="""&amp;VLOOKUP(INDIRECT("I21"),Abilities,2,FALSE)&amp;""""&amp;IF(VLOOKUP(INDIRECT("I21"),Abilities,3,FALSE)="","",", ApplyToWeaponSlot=eInvSlot_"&amp;VLOOKUP(INDIRECT("I21"),Abilities,3,FALSE))&amp;"), \\")</f>
        <v>(AbilityName=" "), \\</v>
      </c>
      <c r="B99" s="234" t="s">
        <v>340</v>
      </c>
      <c r="C99" s="234"/>
      <c r="D99" s="234"/>
      <c r="E99" s="234"/>
      <c r="F99" s="234"/>
      <c r="G99" s="234"/>
      <c r="H99" s="234"/>
      <c r="I99" s="234"/>
      <c r="J99" s="234"/>
    </row>
    <row r="100" spans="1:10" x14ac:dyDescent="0.25">
      <c r="A100" s="240" t="str">
        <f ca="1">IF(INDIRECT("L21")="","\\","(AbilityName="""&amp;VLOOKUP(INDIRECT("L21"),Abilities,2,FALSE)&amp;""""&amp;IF(VLOOKUP(INDIRECT("L21"),Abilities,3,FALSE)="","",", ApplyToWeaponSlot=eInvSlot_"&amp;VLOOKUP(INDIRECT("L21"),Abilities,3,FALSE))&amp;"), \\")</f>
        <v>(AbilityName="Cutthroat", ApplyToWeaponSlot=eInvSlot_SecondaryWeapon), \\</v>
      </c>
      <c r="B100" s="234" t="s">
        <v>340</v>
      </c>
      <c r="C100" s="234"/>
      <c r="D100" s="234"/>
      <c r="E100" s="234"/>
      <c r="F100" s="234"/>
      <c r="G100" s="234"/>
      <c r="H100" s="234"/>
      <c r="I100" s="234"/>
      <c r="J100" s="234"/>
    </row>
    <row r="101" spans="1:10" x14ac:dyDescent="0.25">
      <c r="A101" s="240" t="s">
        <v>337</v>
      </c>
      <c r="B101" s="234" t="s">
        <v>340</v>
      </c>
      <c r="C101" s="234"/>
      <c r="D101" s="234"/>
      <c r="E101" s="234"/>
      <c r="F101" s="234"/>
      <c r="G101" s="234"/>
      <c r="H101" s="234"/>
      <c r="I101" s="234"/>
      <c r="J101" s="234"/>
    </row>
    <row r="102" spans="1:10" x14ac:dyDescent="0.25">
      <c r="A102" s="240"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234" t="s">
        <v>340</v>
      </c>
      <c r="C102" s="234"/>
      <c r="D102" s="234"/>
      <c r="E102" s="234"/>
      <c r="F102" s="234"/>
      <c r="G102" s="234"/>
      <c r="H102" s="234"/>
      <c r="I102" s="234"/>
      <c r="J102" s="234"/>
    </row>
    <row r="103" spans="1:10" x14ac:dyDescent="0.25">
      <c r="A103" s="240" t="s">
        <v>338</v>
      </c>
      <c r="B103" s="234" t="s">
        <v>340</v>
      </c>
      <c r="C103" s="234"/>
      <c r="D103" s="234"/>
      <c r="E103" s="234"/>
      <c r="F103" s="234"/>
      <c r="G103" s="234"/>
      <c r="H103" s="234"/>
      <c r="I103" s="234"/>
      <c r="J103" s="234"/>
    </row>
    <row r="104" spans="1:10" x14ac:dyDescent="0.25">
      <c r="A104" s="240" t="str">
        <f>"; staff sergeant"</f>
        <v>; staff sergeant</v>
      </c>
      <c r="B104" s="234" t="s">
        <v>340</v>
      </c>
      <c r="C104" s="234"/>
      <c r="D104" s="234"/>
      <c r="E104" s="234"/>
      <c r="F104" s="234"/>
      <c r="G104" s="234"/>
      <c r="H104" s="234"/>
      <c r="I104" s="234"/>
      <c r="J104" s="234"/>
    </row>
    <row r="105" spans="1:10" x14ac:dyDescent="0.25">
      <c r="A105" s="240" t="str">
        <f ca="1">"+SoldierRanks=(  aAbilityTree=( (AbilityName="""&amp;VLOOKUP(INDIRECT("F25"),Abilities,2,FALSE)&amp;""""&amp;IF(VLOOKUP(INDIRECT("F25"),Abilities,3,FALSE)="","",", ApplyToWeaponSlot=eInvSlot_"&amp;VLOOKUP(INDIRECT("F25"),Abilities,3,FALSE))&amp;"), \\"</f>
        <v>+SoldierRanks=(  aAbilityTree=( (AbilityName="Untouchable"), \\</v>
      </c>
      <c r="B105" s="234" t="s">
        <v>340</v>
      </c>
      <c r="C105" s="234"/>
      <c r="D105" s="234"/>
      <c r="E105" s="234"/>
      <c r="F105" s="234"/>
      <c r="G105" s="234"/>
      <c r="H105" s="234"/>
      <c r="I105" s="234"/>
      <c r="J105" s="234"/>
    </row>
    <row r="106" spans="1:10" x14ac:dyDescent="0.25">
      <c r="A106" s="240" t="str">
        <f ca="1">IF(INDIRECT("I25")="","\\","(AbilityName="""&amp;VLOOKUP(INDIRECT("I25"),Abilities,2,FALSE)&amp;""""&amp;IF(VLOOKUP(INDIRECT("I25"),Abilities,3,FALSE)="","",", ApplyToWeaponSlot=eInvSlot_"&amp;VLOOKUP(INDIRECT("I25"),Abilities,3,FALSE))&amp;"), \\")</f>
        <v>(AbilityName=" "), \\</v>
      </c>
      <c r="B106" s="234" t="s">
        <v>340</v>
      </c>
      <c r="C106" s="234"/>
      <c r="D106" s="234"/>
      <c r="E106" s="234"/>
      <c r="F106" s="234"/>
      <c r="G106" s="234"/>
      <c r="H106" s="234"/>
      <c r="I106" s="234"/>
      <c r="J106" s="234"/>
    </row>
    <row r="107" spans="1:10" x14ac:dyDescent="0.25">
      <c r="A107" s="240" t="str">
        <f ca="1">IF(INDIRECT("L25")="","\\","(AbilityName="""&amp;VLOOKUP(INDIRECT("L25"),Abilities,2,FALSE)&amp;""""&amp;IF(VLOOKUP(INDIRECT("L25"),Abilities,3,FALSE)="","",", ApplyToWeaponSlot=eInvSlot_"&amp;VLOOKUP(INDIRECT("L25"),Abilities,3,FALSE))&amp;"), \\")</f>
        <v>(AbilityName="CloseAndPersonal", ApplyToWeaponSlot=eInvSlot_Unknown), \\</v>
      </c>
      <c r="B107" s="234" t="s">
        <v>340</v>
      </c>
      <c r="C107" s="234"/>
      <c r="D107" s="234"/>
      <c r="E107" s="234"/>
      <c r="F107" s="234"/>
      <c r="G107" s="234"/>
      <c r="H107" s="234"/>
      <c r="I107" s="234"/>
      <c r="J107" s="234"/>
    </row>
    <row r="108" spans="1:10" x14ac:dyDescent="0.25">
      <c r="A108" s="240" t="s">
        <v>337</v>
      </c>
      <c r="B108" s="234" t="s">
        <v>340</v>
      </c>
      <c r="C108" s="234"/>
      <c r="D108" s="234"/>
      <c r="E108" s="234"/>
      <c r="F108" s="234"/>
      <c r="G108" s="234"/>
      <c r="H108" s="234"/>
      <c r="I108" s="234"/>
      <c r="J108" s="234"/>
    </row>
    <row r="109" spans="1:10" x14ac:dyDescent="0.25">
      <c r="A109" s="240"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 (StatType=eStat_Dodge,StatAmount=1)),\\</v>
      </c>
      <c r="B109" s="234" t="s">
        <v>340</v>
      </c>
      <c r="C109" s="234"/>
      <c r="D109" s="234"/>
      <c r="E109" s="234"/>
      <c r="F109" s="234"/>
      <c r="G109" s="234"/>
      <c r="H109" s="234"/>
      <c r="I109" s="234"/>
      <c r="J109" s="234"/>
    </row>
    <row r="110" spans="1:10" x14ac:dyDescent="0.25">
      <c r="A110" s="240" t="s">
        <v>338</v>
      </c>
      <c r="B110" s="234" t="s">
        <v>340</v>
      </c>
      <c r="C110" s="234"/>
      <c r="D110" s="234"/>
      <c r="E110" s="234"/>
      <c r="F110" s="234"/>
      <c r="G110" s="234"/>
      <c r="H110" s="234"/>
      <c r="I110" s="234"/>
      <c r="J110" s="234"/>
    </row>
    <row r="111" spans="1:10" x14ac:dyDescent="0.25">
      <c r="A111" s="240" t="str">
        <f>"; tech sergeant"</f>
        <v>; tech sergeant</v>
      </c>
      <c r="B111" s="234" t="s">
        <v>340</v>
      </c>
      <c r="C111" s="234"/>
      <c r="D111" s="234"/>
      <c r="E111" s="234"/>
      <c r="F111" s="234"/>
      <c r="G111" s="234"/>
      <c r="H111" s="234"/>
      <c r="I111" s="234"/>
      <c r="J111" s="234"/>
    </row>
    <row r="112" spans="1:10" x14ac:dyDescent="0.25">
      <c r="A112" s="240" t="str">
        <f ca="1">"+SoldierRanks=(  aAbilityTree=( (AbilityName="""&amp;VLOOKUP(INDIRECT("F29"),Abilities,2,FALSE)&amp;""""&amp;IF(VLOOKUP(INDIRECT("F29"),Abilities,3,FALSE)="","",", ApplyToWeaponSlot=eInvSlot_"&amp;VLOOKUP(INDIRECT("F29"),Abilities,3,FALSE))&amp;"), \\"</f>
        <v>+SoldierRanks=(  aAbilityTree=( (AbilityName="LWD_Warlord"), \\</v>
      </c>
      <c r="B112" s="234" t="s">
        <v>340</v>
      </c>
      <c r="C112" s="234"/>
      <c r="D112" s="234"/>
      <c r="E112" s="234"/>
      <c r="F112" s="234"/>
      <c r="G112" s="234"/>
      <c r="H112" s="234"/>
      <c r="I112" s="234"/>
      <c r="J112" s="234"/>
    </row>
    <row r="113" spans="1:10" x14ac:dyDescent="0.25">
      <c r="A113" s="240" t="str">
        <f ca="1">IF(INDIRECT("I29")="","\\","(AbilityName="""&amp;VLOOKUP(INDIRECT("I29"),Abilities,2,FALSE)&amp;""""&amp;IF(VLOOKUP(INDIRECT("I29"),Abilities,3,FALSE)="","",", ApplyToWeaponSlot=eInvSlot_"&amp;VLOOKUP(INDIRECT("I29"),Abilities,3,FALSE))&amp;"), \\")</f>
        <v>(AbilityName=" "), \\</v>
      </c>
      <c r="B113" s="234" t="s">
        <v>340</v>
      </c>
      <c r="C113" s="234"/>
      <c r="D113" s="234"/>
      <c r="E113" s="234"/>
      <c r="F113" s="234"/>
      <c r="G113" s="234"/>
      <c r="H113" s="234"/>
      <c r="I113" s="234"/>
      <c r="J113" s="234"/>
    </row>
    <row r="114" spans="1:10" x14ac:dyDescent="0.25">
      <c r="A114" s="240" t="str">
        <f ca="1">IF(INDIRECT("L29")="","\\","(AbilityName="""&amp;VLOOKUP(INDIRECT("L29"),Abilities,2,FALSE)&amp;""""&amp;IF(VLOOKUP(INDIRECT("L29"),Abilities,3,FALSE)="","",", ApplyToWeaponSlot=eInvSlot_"&amp;VLOOKUP(INDIRECT("L29"),Abilities,3,FALSE))&amp;"), \\")</f>
        <v>(AbilityName="LWD_Berserker"), \\</v>
      </c>
      <c r="B114" s="234" t="s">
        <v>340</v>
      </c>
      <c r="C114" s="234"/>
      <c r="D114" s="234"/>
      <c r="E114" s="234"/>
      <c r="F114" s="234"/>
      <c r="G114" s="234"/>
      <c r="H114" s="234"/>
      <c r="I114" s="234"/>
      <c r="J114" s="234"/>
    </row>
    <row r="115" spans="1:10" x14ac:dyDescent="0.25">
      <c r="A115" s="240" t="s">
        <v>337</v>
      </c>
      <c r="B115" s="234" t="s">
        <v>340</v>
      </c>
      <c r="C115" s="234"/>
      <c r="D115" s="234"/>
      <c r="E115" s="234"/>
      <c r="F115" s="234"/>
      <c r="G115" s="234"/>
      <c r="H115" s="234"/>
      <c r="I115" s="234"/>
      <c r="J115" s="234"/>
    </row>
    <row r="116" spans="1:10" x14ac:dyDescent="0.25">
      <c r="A116" s="240"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(StatType=eStat_HP,StatAmount=1), (StatType=eStat_Hacking,StatAmount=0)),\\</v>
      </c>
      <c r="B116" s="234" t="s">
        <v>340</v>
      </c>
      <c r="C116" s="234"/>
      <c r="D116" s="234"/>
      <c r="E116" s="234"/>
      <c r="F116" s="234"/>
      <c r="G116" s="234"/>
      <c r="H116" s="234"/>
      <c r="I116" s="234"/>
      <c r="J116" s="234"/>
    </row>
    <row r="117" spans="1:10" x14ac:dyDescent="0.25">
      <c r="A117" s="240" t="s">
        <v>338</v>
      </c>
      <c r="B117" s="234" t="s">
        <v>340</v>
      </c>
      <c r="C117" s="234"/>
      <c r="D117" s="234"/>
      <c r="E117" s="234"/>
      <c r="F117" s="234"/>
      <c r="G117" s="234"/>
      <c r="H117" s="234"/>
      <c r="I117" s="234"/>
      <c r="J117" s="234"/>
    </row>
    <row r="118" spans="1:10" x14ac:dyDescent="0.25">
      <c r="A118" s="240" t="str">
        <f>";  gunnery sergeant"</f>
        <v>;  gunnery sergeant</v>
      </c>
      <c r="B118" s="234" t="s">
        <v>340</v>
      </c>
      <c r="C118" s="234"/>
      <c r="D118" s="234"/>
      <c r="E118" s="234"/>
      <c r="F118" s="234"/>
      <c r="G118" s="234"/>
      <c r="H118" s="234"/>
      <c r="I118" s="234"/>
      <c r="J118" s="234"/>
    </row>
    <row r="119" spans="1:10" x14ac:dyDescent="0.25">
      <c r="A119" s="240" t="str">
        <f ca="1">"+SoldierRanks=(  aAbilityTree=( (AbilityName="""&amp;VLOOKUP(INDIRECT("F33"),Abilities,2,FALSE)&amp;""""&amp;IF(VLOOKUP(INDIRECT("F33"),Abilities,3,FALSE)="","",", ApplyToWeaponSlot=eInvSlot_"&amp;VLOOKUP(INDIRECT("F33"),Abilities,3,FALSE))&amp;"), \\"</f>
        <v>+SoldierRanks=(  aAbilityTree=( (AbilityName=" "), \\</v>
      </c>
      <c r="B119" s="234" t="s">
        <v>340</v>
      </c>
      <c r="C119" s="234"/>
      <c r="D119" s="234"/>
      <c r="E119" s="234"/>
      <c r="F119" s="234"/>
      <c r="G119" s="234"/>
      <c r="H119" s="234"/>
      <c r="I119" s="234"/>
      <c r="J119" s="234"/>
    </row>
    <row r="120" spans="1:10" x14ac:dyDescent="0.25">
      <c r="A120" s="240" t="str">
        <f ca="1">IF(INDIRECT("I33")="","\\","(AbilityName="""&amp;VLOOKUP(INDIRECT("I33"),Abilities,2,FALSE)&amp;""""&amp;IF(VLOOKUP(INDIRECT("I33"),Abilities,3,FALSE)="","",", ApplyToWeaponSlot=eInvSlot_"&amp;VLOOKUP(INDIRECT("I33"),Abilities,3,FALSE))&amp;"), \\")</f>
        <v>(AbilityName="LWD_Viking"), \\</v>
      </c>
      <c r="B120" s="234" t="s">
        <v>340</v>
      </c>
      <c r="C120" s="234"/>
      <c r="D120" s="234"/>
      <c r="E120" s="234"/>
      <c r="F120" s="234"/>
      <c r="G120" s="234"/>
      <c r="H120" s="234"/>
      <c r="I120" s="234"/>
      <c r="J120" s="234"/>
    </row>
    <row r="121" spans="1:10" x14ac:dyDescent="0.25">
      <c r="A121" s="240" t="str">
        <f ca="1">IF(INDIRECT("L33")="","\\","(AbilityName="""&amp;VLOOKUP(INDIRECT("L33"),Abilities,2,FALSE)&amp;""""&amp;IF(VLOOKUP(INDIRECT("L33"),Abilities,3,FALSE)="","",", ApplyToWeaponSlot=eInvSlot_"&amp;VLOOKUP(INDIRECT("L33"),Abilities,3,FALSE))&amp;"), \\")</f>
        <v>(AbilityName=" "), \\</v>
      </c>
      <c r="B121" s="234" t="s">
        <v>340</v>
      </c>
      <c r="C121" s="234"/>
      <c r="D121" s="234"/>
      <c r="E121" s="234"/>
      <c r="F121" s="234"/>
      <c r="G121" s="234"/>
      <c r="H121" s="234"/>
      <c r="I121" s="234"/>
      <c r="J121" s="234"/>
    </row>
    <row r="122" spans="1:10" x14ac:dyDescent="0.25">
      <c r="A122" s="240" t="s">
        <v>337</v>
      </c>
      <c r="B122" s="234" t="s">
        <v>340</v>
      </c>
      <c r="C122" s="234"/>
      <c r="D122" s="234"/>
      <c r="E122" s="234"/>
      <c r="F122" s="234"/>
      <c r="G122" s="234"/>
      <c r="H122" s="234"/>
      <c r="I122" s="234"/>
      <c r="J122" s="234"/>
    </row>
    <row r="123" spans="1:10" x14ac:dyDescent="0.25">
      <c r="A123" s="240"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 (StatType=eStat_Dodge,StatAmount=1)),\\</v>
      </c>
      <c r="B123" s="234" t="s">
        <v>340</v>
      </c>
      <c r="C123" s="234"/>
      <c r="D123" s="234"/>
      <c r="E123" s="234"/>
      <c r="F123" s="234"/>
      <c r="G123" s="234"/>
      <c r="H123" s="234"/>
      <c r="I123" s="234"/>
      <c r="J123" s="234"/>
    </row>
    <row r="124" spans="1:10" x14ac:dyDescent="0.25">
      <c r="A124" s="240" t="s">
        <v>338</v>
      </c>
      <c r="B124" s="234" t="s">
        <v>340</v>
      </c>
      <c r="C124" s="234"/>
      <c r="D124" s="234"/>
      <c r="E124" s="234"/>
      <c r="F124" s="234"/>
      <c r="G124" s="234"/>
      <c r="H124" s="234"/>
      <c r="I124" s="234"/>
      <c r="J124" s="234"/>
    </row>
    <row r="125" spans="1:10" x14ac:dyDescent="0.25">
      <c r="A125" s="240" t="str">
        <f>"; master sergeant"</f>
        <v>; master sergeant</v>
      </c>
      <c r="B125" s="234" t="s">
        <v>340</v>
      </c>
      <c r="C125" s="234"/>
      <c r="D125" s="234"/>
      <c r="E125" s="234"/>
      <c r="F125" s="234"/>
      <c r="G125" s="234"/>
      <c r="H125" s="234"/>
      <c r="I125" s="234"/>
      <c r="J125" s="234"/>
    </row>
    <row r="126" spans="1:10" x14ac:dyDescent="0.25">
      <c r="A126" s="240" t="str">
        <f ca="1">"+SoldierRanks=(  aAbilityTree=( (AbilityName="""&amp;VLOOKUP(INDIRECT("F37"),Abilities,2,FALSE)&amp;""""&amp;IF(VLOOKUP(INDIRECT("F37"),Abilities,3,FALSE)="","",", ApplyToWeaponSlot=eInvSlot_"&amp;VLOOKUP(INDIRECT("F37"),Abilities,3,FALSE))&amp;"), \\"</f>
        <v>+SoldierRanks=(  aAbilityTree=( (AbilityName="LWD_Ravager", ApplyToWeaponSlot=eInvSlot_PrimaryWeapon), \\</v>
      </c>
      <c r="B126" s="234" t="s">
        <v>340</v>
      </c>
      <c r="C126" s="234"/>
      <c r="D126" s="234"/>
      <c r="E126" s="234"/>
      <c r="F126" s="234"/>
      <c r="G126" s="234"/>
      <c r="H126" s="234"/>
      <c r="I126" s="234"/>
      <c r="J126" s="234"/>
    </row>
    <row r="127" spans="1:10" x14ac:dyDescent="0.25">
      <c r="A127" s="240" t="str">
        <f ca="1">IF(INDIRECT("I37")="","\\","(AbilityName="""&amp;VLOOKUP(INDIRECT("I37"),Abilities,2,FALSE)&amp;""""&amp;IF(VLOOKUP(INDIRECT("I37"),Abilities,3,FALSE)="","",", ApplyToWeaponSlot=eInvSlot_"&amp;VLOOKUP(INDIRECT("I37"),Abilities,3,FALSE))&amp;"), \\")</f>
        <v>(AbilityName=" "), \\</v>
      </c>
      <c r="B127" s="234" t="s">
        <v>340</v>
      </c>
      <c r="C127" s="234"/>
      <c r="D127" s="234"/>
      <c r="E127" s="234"/>
      <c r="F127" s="234"/>
      <c r="G127" s="234"/>
      <c r="H127" s="234"/>
      <c r="I127" s="234"/>
      <c r="J127" s="234"/>
    </row>
    <row r="128" spans="1:10" x14ac:dyDescent="0.25">
      <c r="A128" s="240" t="str">
        <f ca="1">IF(INDIRECT("L37")="","\\","(AbilityName="""&amp;VLOOKUP(INDIRECT("L37"),Abilities,2,FALSE)&amp;""""&amp;IF(VLOOKUP(INDIRECT("L37"),Abilities,3,FALSE)="","",", ApplyToWeaponSlot=eInvSlot_"&amp;VLOOKUP(INDIRECT("L37"),Abilities,3,FALSE))&amp;"), \\")</f>
        <v>(AbilityName="LWD_Reaver", ApplyToWeaponSlot=eInvSlot_SecondaryWeapon), \\</v>
      </c>
      <c r="B128" s="234" t="s">
        <v>340</v>
      </c>
      <c r="C128" s="234"/>
      <c r="D128" s="234"/>
      <c r="E128" s="234"/>
      <c r="F128" s="234"/>
      <c r="G128" s="234"/>
      <c r="H128" s="234"/>
      <c r="I128" s="234"/>
      <c r="J128" s="234"/>
    </row>
    <row r="129" spans="1:10" x14ac:dyDescent="0.25">
      <c r="A129" s="240" t="s">
        <v>337</v>
      </c>
      <c r="B129" s="234" t="s">
        <v>340</v>
      </c>
      <c r="C129" s="234"/>
      <c r="D129" s="234"/>
      <c r="E129" s="234"/>
      <c r="F129" s="234"/>
      <c r="G129" s="234"/>
      <c r="H129" s="234"/>
      <c r="I129" s="234"/>
      <c r="J129" s="234"/>
    </row>
    <row r="130" spans="1:10" x14ac:dyDescent="0.25">
      <c r="A130" s="240"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234" t="s">
        <v>340</v>
      </c>
      <c r="C130" s="234"/>
      <c r="D130" s="234"/>
      <c r="E130" s="234"/>
      <c r="F130" s="234"/>
      <c r="G130" s="234"/>
      <c r="H130" s="234"/>
      <c r="I130" s="234"/>
      <c r="J130" s="234"/>
    </row>
    <row r="131" spans="1:10" ht="15.75" thickBot="1" x14ac:dyDescent="0.3">
      <c r="A131" s="241" t="s">
        <v>338</v>
      </c>
      <c r="B131" s="234" t="s">
        <v>340</v>
      </c>
      <c r="C131" s="234"/>
      <c r="D131" s="234"/>
      <c r="E131" s="234"/>
      <c r="F131" s="234"/>
      <c r="G131" s="234"/>
      <c r="H131" s="234"/>
      <c r="I131" s="234"/>
      <c r="J131" s="234"/>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I37:J37"/>
    <mergeCell ref="F17:G17"/>
    <mergeCell ref="I17:J17"/>
    <mergeCell ref="L17:M1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L37:M37"/>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A40:B41"/>
    <mergeCell ref="C40:E41"/>
    <mergeCell ref="A42:B42"/>
    <mergeCell ref="C42:D42"/>
    <mergeCell ref="E42:F42"/>
    <mergeCell ref="F38:H39"/>
    <mergeCell ref="I38:K39"/>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7761"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7762"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7763"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7764"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7765"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7766"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7767"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7768"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7769"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7770"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7771"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7772"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7773"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90" t="s">
        <v>308</v>
      </c>
      <c r="B1" s="91"/>
      <c r="C1" s="94" t="s">
        <v>11</v>
      </c>
      <c r="D1" s="95"/>
      <c r="E1" s="95"/>
      <c r="F1" s="98" t="s">
        <v>324</v>
      </c>
      <c r="G1" s="99"/>
      <c r="H1" s="99"/>
      <c r="I1" s="99"/>
      <c r="J1" s="99"/>
      <c r="K1" s="99"/>
      <c r="L1" s="99"/>
      <c r="M1" s="99"/>
      <c r="N1" s="99"/>
      <c r="O1" s="100" t="s">
        <v>325</v>
      </c>
      <c r="P1" s="101"/>
      <c r="Q1" s="101"/>
      <c r="R1" s="101"/>
      <c r="S1" s="101"/>
      <c r="T1" s="101"/>
      <c r="U1" s="102"/>
      <c r="V1" s="196" t="s">
        <v>776</v>
      </c>
      <c r="W1" s="197"/>
      <c r="X1" s="197"/>
      <c r="Y1" s="197"/>
    </row>
    <row r="2" spans="1:25" ht="15" customHeight="1" thickBot="1" x14ac:dyDescent="0.3">
      <c r="A2" s="92"/>
      <c r="B2" s="93"/>
      <c r="C2" s="96"/>
      <c r="D2" s="97"/>
      <c r="E2" s="97"/>
      <c r="F2" s="98"/>
      <c r="G2" s="99"/>
      <c r="H2" s="99"/>
      <c r="I2" s="99"/>
      <c r="J2" s="99"/>
      <c r="K2" s="99"/>
      <c r="L2" s="99"/>
      <c r="M2" s="99"/>
      <c r="N2" s="99"/>
      <c r="O2" s="103"/>
      <c r="P2" s="104"/>
      <c r="Q2" s="104"/>
      <c r="R2" s="104"/>
      <c r="S2" s="104"/>
      <c r="T2" s="104"/>
      <c r="U2" s="105"/>
      <c r="V2" s="198"/>
      <c r="W2" s="199"/>
      <c r="X2" s="199"/>
      <c r="Y2" s="199"/>
    </row>
    <row r="3" spans="1:25" ht="18" thickBot="1" x14ac:dyDescent="0.35">
      <c r="A3" s="106" t="s">
        <v>309</v>
      </c>
      <c r="B3" s="107"/>
      <c r="C3" s="108" t="str">
        <f>Output!$L$1&amp;SUBSTITUTE(C1," ","")</f>
        <v>LWD_Ranger</v>
      </c>
      <c r="D3" s="109"/>
      <c r="E3" s="109"/>
      <c r="F3" s="110" t="s">
        <v>12</v>
      </c>
      <c r="G3" s="111"/>
      <c r="H3" s="111"/>
      <c r="I3" s="111"/>
      <c r="J3" s="111"/>
      <c r="K3" s="111"/>
      <c r="L3" s="111"/>
      <c r="M3" s="111"/>
      <c r="N3" s="112"/>
      <c r="O3" s="15"/>
      <c r="P3" s="16" t="s">
        <v>79</v>
      </c>
      <c r="Q3" s="17" t="s">
        <v>326</v>
      </c>
      <c r="R3" s="17" t="s">
        <v>328</v>
      </c>
      <c r="S3" s="17" t="s">
        <v>327</v>
      </c>
      <c r="T3" s="17" t="s">
        <v>330</v>
      </c>
      <c r="U3" s="18" t="s">
        <v>329</v>
      </c>
      <c r="V3" s="200" t="s">
        <v>810</v>
      </c>
      <c r="W3" s="201"/>
      <c r="X3" s="200" t="s">
        <v>811</v>
      </c>
      <c r="Y3" s="201"/>
    </row>
    <row r="4" spans="1:25" ht="18" thickTop="1" x14ac:dyDescent="0.3">
      <c r="A4" s="113" t="s">
        <v>310</v>
      </c>
      <c r="B4" s="114"/>
      <c r="C4" s="115" t="s">
        <v>314</v>
      </c>
      <c r="D4" s="116"/>
      <c r="E4" s="116"/>
      <c r="F4" s="119" t="s">
        <v>422</v>
      </c>
      <c r="G4" s="120"/>
      <c r="H4" s="4" t="str">
        <f>IFERROR(VLOOKUP(F4,Abilities,4,FALSE),"")</f>
        <v>LW2</v>
      </c>
      <c r="I4" s="121" t="s">
        <v>423</v>
      </c>
      <c r="J4" s="120"/>
      <c r="K4" s="35" t="str">
        <f>IFERROR(VLOOKUP(I4,Abilities,4,FALSE),"")</f>
        <v>LW2</v>
      </c>
      <c r="L4" s="122" t="s">
        <v>259</v>
      </c>
      <c r="M4" s="120"/>
      <c r="N4" s="10" t="str">
        <f>IFERROR(VLOOKUP(L4,Abilities,4,FALSE),"")</f>
        <v>LW2</v>
      </c>
      <c r="O4" s="19" t="s">
        <v>12</v>
      </c>
      <c r="P4" s="4">
        <v>3</v>
      </c>
      <c r="Q4" s="20">
        <v>0</v>
      </c>
      <c r="R4" s="20"/>
      <c r="S4" s="4">
        <v>0</v>
      </c>
      <c r="T4" s="4">
        <v>1</v>
      </c>
      <c r="U4" s="10"/>
      <c r="V4" s="192" t="s">
        <v>777</v>
      </c>
      <c r="W4" s="193"/>
      <c r="X4" s="192" t="s">
        <v>801</v>
      </c>
      <c r="Y4" s="193"/>
    </row>
    <row r="5" spans="1:25" ht="15" customHeight="1" x14ac:dyDescent="0.25">
      <c r="A5" s="6"/>
      <c r="B5" s="5" t="b">
        <v>1</v>
      </c>
      <c r="C5" s="117"/>
      <c r="D5" s="118"/>
      <c r="E5" s="118"/>
      <c r="F5" s="123">
        <f>IFERROR(VLOOKUP(F4,Abilities,7,FALSE),"")</f>
        <v>0</v>
      </c>
      <c r="G5" s="124"/>
      <c r="H5" s="125"/>
      <c r="I5" s="129">
        <f>IFERROR(VLOOKUP(I4,Abilities,7,FALSE),"")</f>
        <v>0</v>
      </c>
      <c r="J5" s="130"/>
      <c r="K5" s="131"/>
      <c r="L5" s="130">
        <f>IFERROR(VLOOKUP(L4,Abilities,7,FALSE),"")</f>
        <v>0</v>
      </c>
      <c r="M5" s="130"/>
      <c r="N5" s="135"/>
      <c r="O5" s="26" t="s">
        <v>456</v>
      </c>
      <c r="P5" s="27">
        <v>2</v>
      </c>
      <c r="Q5" s="28">
        <v>1</v>
      </c>
      <c r="R5" s="28"/>
      <c r="S5" s="27">
        <v>0</v>
      </c>
      <c r="T5" s="27"/>
      <c r="U5" s="29"/>
      <c r="V5" s="190" t="s">
        <v>821</v>
      </c>
      <c r="W5" s="191"/>
      <c r="X5" s="190" t="s">
        <v>802</v>
      </c>
      <c r="Y5" s="191"/>
    </row>
    <row r="6" spans="1:25" ht="15" customHeight="1" x14ac:dyDescent="0.25">
      <c r="A6" s="6"/>
      <c r="B6" s="5" t="b">
        <v>0</v>
      </c>
      <c r="C6" s="137" t="s">
        <v>315</v>
      </c>
      <c r="D6" s="138"/>
      <c r="E6" s="11">
        <v>0</v>
      </c>
      <c r="F6" s="126"/>
      <c r="G6" s="127"/>
      <c r="H6" s="128"/>
      <c r="I6" s="132"/>
      <c r="J6" s="133"/>
      <c r="K6" s="134"/>
      <c r="L6" s="133"/>
      <c r="M6" s="133"/>
      <c r="N6" s="136"/>
      <c r="O6" s="19" t="s">
        <v>15</v>
      </c>
      <c r="P6" s="4">
        <v>3</v>
      </c>
      <c r="Q6" s="20">
        <v>0</v>
      </c>
      <c r="R6" s="20"/>
      <c r="S6" s="4">
        <v>0</v>
      </c>
      <c r="T6" s="4"/>
      <c r="U6" s="10"/>
      <c r="V6" s="190" t="s">
        <v>778</v>
      </c>
      <c r="W6" s="191"/>
      <c r="X6" s="192" t="s">
        <v>803</v>
      </c>
      <c r="Y6" s="193"/>
    </row>
    <row r="7" spans="1:25" ht="15" customHeight="1" x14ac:dyDescent="0.25">
      <c r="A7" s="6"/>
      <c r="B7" s="5" t="b">
        <v>0</v>
      </c>
      <c r="C7" s="137" t="s">
        <v>316</v>
      </c>
      <c r="D7" s="138"/>
      <c r="E7" s="11">
        <v>4</v>
      </c>
      <c r="F7" s="139"/>
      <c r="G7" s="140"/>
      <c r="H7" s="4" t="str">
        <f>IFERROR(VLOOKUP(F7,Abilities,4,FALSE),"")</f>
        <v/>
      </c>
      <c r="I7" s="141"/>
      <c r="J7" s="140"/>
      <c r="K7" s="4" t="str">
        <f>IFERROR(VLOOKUP(I7,Abilities,4,FALSE),"")</f>
        <v/>
      </c>
      <c r="L7" s="142"/>
      <c r="M7" s="140"/>
      <c r="N7" s="10" t="str">
        <f>IFERROR(VLOOKUP(L7,Abilities,4,FALSE),"")</f>
        <v/>
      </c>
      <c r="O7" s="26" t="s">
        <v>21</v>
      </c>
      <c r="P7" s="27">
        <v>2</v>
      </c>
      <c r="Q7" s="28">
        <v>0</v>
      </c>
      <c r="R7" s="28"/>
      <c r="S7" s="27">
        <v>0</v>
      </c>
      <c r="T7" s="27"/>
      <c r="U7" s="29"/>
      <c r="V7" s="192" t="s">
        <v>779</v>
      </c>
      <c r="W7" s="193"/>
      <c r="X7" s="190" t="s">
        <v>804</v>
      </c>
      <c r="Y7" s="191"/>
    </row>
    <row r="8" spans="1:25" ht="15" customHeight="1" thickBot="1" x14ac:dyDescent="0.3">
      <c r="A8" s="6"/>
      <c r="B8" s="5" t="b">
        <v>0</v>
      </c>
      <c r="C8" s="137" t="s">
        <v>317</v>
      </c>
      <c r="D8" s="143"/>
      <c r="E8" s="12" t="s">
        <v>636</v>
      </c>
      <c r="F8" s="144" t="str">
        <f>IFERROR(VLOOKUP(F7,Abilities,7,FALSE),"")</f>
        <v/>
      </c>
      <c r="G8" s="130"/>
      <c r="H8" s="131"/>
      <c r="I8" s="129" t="str">
        <f>IFERROR(VLOOKUP(I7,Abilities,7,FALSE),"")</f>
        <v/>
      </c>
      <c r="J8" s="130"/>
      <c r="K8" s="131"/>
      <c r="L8" s="130" t="str">
        <f>IFERROR(VLOOKUP(L7,Abilities,7,FALSE),"")</f>
        <v/>
      </c>
      <c r="M8" s="130"/>
      <c r="N8" s="135"/>
      <c r="O8" s="21" t="s">
        <v>457</v>
      </c>
      <c r="P8" s="4">
        <v>3</v>
      </c>
      <c r="Q8" s="20">
        <v>1</v>
      </c>
      <c r="R8" s="20"/>
      <c r="S8" s="4">
        <v>0</v>
      </c>
      <c r="T8" s="4"/>
      <c r="U8" s="10"/>
      <c r="V8" s="190" t="s">
        <v>780</v>
      </c>
      <c r="W8" s="191"/>
      <c r="X8" s="192" t="s">
        <v>805</v>
      </c>
      <c r="Y8" s="193"/>
    </row>
    <row r="9" spans="1:25" ht="15.75" thickBot="1" x14ac:dyDescent="0.3">
      <c r="A9" s="6"/>
      <c r="B9" s="5" t="b">
        <v>0</v>
      </c>
      <c r="C9" s="137" t="s">
        <v>319</v>
      </c>
      <c r="D9" s="143"/>
      <c r="E9" s="12">
        <v>1</v>
      </c>
      <c r="F9" s="145"/>
      <c r="G9" s="133"/>
      <c r="H9" s="134"/>
      <c r="I9" s="146"/>
      <c r="J9" s="147"/>
      <c r="K9" s="148"/>
      <c r="L9" s="133"/>
      <c r="M9" s="133"/>
      <c r="N9" s="136"/>
      <c r="O9" s="26" t="s">
        <v>458</v>
      </c>
      <c r="P9" s="27">
        <v>2</v>
      </c>
      <c r="Q9" s="28">
        <v>0</v>
      </c>
      <c r="R9" s="28"/>
      <c r="S9" s="27">
        <v>0</v>
      </c>
      <c r="T9" s="27"/>
      <c r="U9" s="29"/>
      <c r="V9" s="192" t="s">
        <v>781</v>
      </c>
      <c r="W9" s="193"/>
      <c r="X9" s="200" t="s">
        <v>812</v>
      </c>
      <c r="Y9" s="201"/>
    </row>
    <row r="10" spans="1:25" ht="18.75" x14ac:dyDescent="0.3">
      <c r="A10" s="6"/>
      <c r="B10" s="5" t="b">
        <v>0</v>
      </c>
      <c r="C10" s="137" t="s">
        <v>318</v>
      </c>
      <c r="D10" s="143"/>
      <c r="E10" s="12">
        <v>4</v>
      </c>
      <c r="F10" s="157" t="s">
        <v>311</v>
      </c>
      <c r="G10" s="158"/>
      <c r="H10" s="159"/>
      <c r="I10" s="160" t="s">
        <v>349</v>
      </c>
      <c r="J10" s="158"/>
      <c r="K10" s="159"/>
      <c r="L10" s="158" t="s">
        <v>312</v>
      </c>
      <c r="M10" s="158"/>
      <c r="N10" s="161"/>
      <c r="O10" s="36" t="s">
        <v>459</v>
      </c>
      <c r="P10" s="37">
        <v>3</v>
      </c>
      <c r="Q10" s="37">
        <v>0</v>
      </c>
      <c r="R10" s="37"/>
      <c r="S10" s="37">
        <v>0</v>
      </c>
      <c r="T10" s="37"/>
      <c r="U10" s="38"/>
      <c r="V10" s="190" t="s">
        <v>782</v>
      </c>
      <c r="W10" s="191"/>
      <c r="X10" s="192" t="s">
        <v>806</v>
      </c>
      <c r="Y10" s="193"/>
    </row>
    <row r="11" spans="1:25" ht="15.75" customHeight="1" thickBot="1" x14ac:dyDescent="0.3">
      <c r="A11" s="6"/>
      <c r="B11" s="5" t="b">
        <v>0</v>
      </c>
      <c r="C11" s="137" t="s">
        <v>320</v>
      </c>
      <c r="D11" s="143"/>
      <c r="E11" s="12">
        <v>4</v>
      </c>
      <c r="F11" s="162" t="s">
        <v>464</v>
      </c>
      <c r="G11" s="163"/>
      <c r="H11" s="164"/>
      <c r="I11" s="165"/>
      <c r="J11" s="163"/>
      <c r="K11" s="164"/>
      <c r="L11" s="163" t="s">
        <v>465</v>
      </c>
      <c r="M11" s="163"/>
      <c r="N11" s="166"/>
      <c r="O11" s="39" t="s">
        <v>460</v>
      </c>
      <c r="P11" s="40">
        <v>2</v>
      </c>
      <c r="Q11" s="41">
        <v>1</v>
      </c>
      <c r="R11" s="41"/>
      <c r="S11" s="40">
        <v>0</v>
      </c>
      <c r="T11" s="40"/>
      <c r="U11" s="42"/>
      <c r="V11" s="192" t="s">
        <v>824</v>
      </c>
      <c r="W11" s="193"/>
      <c r="X11" s="190" t="s">
        <v>807</v>
      </c>
      <c r="Y11" s="191"/>
    </row>
    <row r="12" spans="1:25" ht="18" customHeight="1" thickBot="1" x14ac:dyDescent="0.35">
      <c r="A12" s="6"/>
      <c r="B12" s="5" t="b">
        <v>0</v>
      </c>
      <c r="C12" s="137" t="s">
        <v>321</v>
      </c>
      <c r="D12" s="143"/>
      <c r="E12" s="12">
        <v>1</v>
      </c>
      <c r="F12" s="169" t="s">
        <v>443</v>
      </c>
      <c r="G12" s="170"/>
      <c r="H12" s="170"/>
      <c r="I12" s="170"/>
      <c r="J12" s="170"/>
      <c r="K12" s="170"/>
      <c r="L12" s="170"/>
      <c r="M12" s="170"/>
      <c r="N12" s="171"/>
      <c r="O12" s="149" t="s">
        <v>813</v>
      </c>
      <c r="P12" s="150"/>
      <c r="Q12" s="150"/>
      <c r="R12" s="150"/>
      <c r="S12" s="150"/>
      <c r="T12" s="150"/>
      <c r="U12" s="151"/>
      <c r="V12" s="192" t="s">
        <v>783</v>
      </c>
      <c r="W12" s="193"/>
      <c r="X12" s="192" t="s">
        <v>808</v>
      </c>
      <c r="Y12" s="193"/>
    </row>
    <row r="13" spans="1:25" ht="16.5" thickTop="1" thickBot="1" x14ac:dyDescent="0.3">
      <c r="A13" s="6"/>
      <c r="B13" s="5" t="b">
        <v>0</v>
      </c>
      <c r="C13" s="155" t="s">
        <v>322</v>
      </c>
      <c r="D13" s="156"/>
      <c r="E13" s="13" t="s">
        <v>323</v>
      </c>
      <c r="F13" s="119" t="s">
        <v>263</v>
      </c>
      <c r="G13" s="120"/>
      <c r="H13" s="4" t="str">
        <f>IFERROR(VLOOKUP(F13,Abilities,4,FALSE),"")</f>
        <v>LW2</v>
      </c>
      <c r="I13" s="121" t="s">
        <v>962</v>
      </c>
      <c r="J13" s="120"/>
      <c r="K13" s="35" t="str">
        <f>IFERROR(VLOOKUP(I13,Abilities,4,FALSE),"")</f>
        <v>BLANK</v>
      </c>
      <c r="L13" s="122" t="s">
        <v>146</v>
      </c>
      <c r="M13" s="120"/>
      <c r="N13" s="10" t="str">
        <f>IFERROR(VLOOKUP(L13,Abilities,4,FALSE),"")</f>
        <v>XCOM2</v>
      </c>
      <c r="O13" s="152"/>
      <c r="P13" s="153"/>
      <c r="Q13" s="153"/>
      <c r="R13" s="153"/>
      <c r="S13" s="153"/>
      <c r="T13" s="153"/>
      <c r="U13" s="154"/>
      <c r="V13" s="192" t="s">
        <v>818</v>
      </c>
      <c r="W13" s="193"/>
      <c r="X13" s="190" t="s">
        <v>809</v>
      </c>
      <c r="Y13" s="191"/>
    </row>
    <row r="14" spans="1:25" ht="15.75" thickBot="1" x14ac:dyDescent="0.3">
      <c r="A14" s="6"/>
      <c r="B14" s="7" t="b">
        <v>1</v>
      </c>
      <c r="F14" s="144">
        <f>IFERROR(VLOOKUP(F13,Abilities,7,FALSE),"")</f>
        <v>0</v>
      </c>
      <c r="G14" s="130"/>
      <c r="H14" s="131"/>
      <c r="I14" s="129" t="str">
        <f>IFERROR(VLOOKUP(I13,Abilities,7,FALSE),"")</f>
        <v xml:space="preserve"> </v>
      </c>
      <c r="J14" s="130"/>
      <c r="K14" s="131"/>
      <c r="L14" s="130" t="str">
        <f>IFERROR(VLOOKUP(L13,Abilities,7,FALSE),"")</f>
        <v>Overwatch shots can now be triggered by enemy actions, not just movement.</v>
      </c>
      <c r="M14" s="130"/>
      <c r="N14" s="135"/>
      <c r="O14" s="22"/>
      <c r="P14" s="23" t="s">
        <v>331</v>
      </c>
      <c r="Q14" s="24" t="s">
        <v>332</v>
      </c>
      <c r="R14" s="24" t="s">
        <v>333</v>
      </c>
      <c r="S14" s="24" t="s">
        <v>334</v>
      </c>
      <c r="T14" s="24" t="s">
        <v>336</v>
      </c>
      <c r="U14" s="25" t="s">
        <v>335</v>
      </c>
      <c r="V14" s="190" t="s">
        <v>784</v>
      </c>
      <c r="W14" s="191"/>
      <c r="X14" s="194" t="s">
        <v>814</v>
      </c>
      <c r="Y14" s="195"/>
    </row>
    <row r="15" spans="1:25" ht="15.75" thickBot="1" x14ac:dyDescent="0.3">
      <c r="A15" s="6"/>
      <c r="B15" s="7" t="b">
        <v>0</v>
      </c>
      <c r="F15" s="167"/>
      <c r="G15" s="147"/>
      <c r="H15" s="148"/>
      <c r="I15" s="146"/>
      <c r="J15" s="147"/>
      <c r="K15" s="148"/>
      <c r="L15" s="147"/>
      <c r="M15" s="147"/>
      <c r="N15" s="168"/>
      <c r="O15" s="19" t="s">
        <v>12</v>
      </c>
      <c r="P15" s="4"/>
      <c r="Q15" s="20">
        <v>4</v>
      </c>
      <c r="R15" s="20"/>
      <c r="S15" s="4"/>
      <c r="T15" s="4"/>
      <c r="U15" s="10"/>
      <c r="V15" s="190" t="s">
        <v>823</v>
      </c>
      <c r="W15" s="191"/>
    </row>
    <row r="16" spans="1:25" ht="18" thickBot="1" x14ac:dyDescent="0.35">
      <c r="A16" s="6"/>
      <c r="B16" s="7" t="b">
        <v>0</v>
      </c>
      <c r="F16" s="169" t="s">
        <v>15</v>
      </c>
      <c r="G16" s="170"/>
      <c r="H16" s="170"/>
      <c r="I16" s="170"/>
      <c r="J16" s="170"/>
      <c r="K16" s="170"/>
      <c r="L16" s="170"/>
      <c r="M16" s="170"/>
      <c r="N16" s="171"/>
      <c r="O16" s="26" t="s">
        <v>456</v>
      </c>
      <c r="P16" s="27"/>
      <c r="Q16" s="28">
        <v>4</v>
      </c>
      <c r="R16" s="28"/>
      <c r="S16" s="27"/>
      <c r="T16" s="27"/>
      <c r="U16" s="29"/>
      <c r="V16" s="190" t="s">
        <v>786</v>
      </c>
      <c r="W16" s="191"/>
    </row>
    <row r="17" spans="1:23" ht="16.5" thickTop="1" thickBot="1" x14ac:dyDescent="0.3">
      <c r="A17" s="8"/>
      <c r="B17" s="9" t="b">
        <v>0</v>
      </c>
      <c r="F17" s="121" t="s">
        <v>962</v>
      </c>
      <c r="G17" s="120"/>
      <c r="H17" s="4" t="str">
        <f>IFERROR(VLOOKUP(F17,Abilities,4,FALSE),"")</f>
        <v>BLANK</v>
      </c>
      <c r="I17" s="121" t="s">
        <v>265</v>
      </c>
      <c r="J17" s="120"/>
      <c r="K17" s="35" t="str">
        <f>IFERROR(VLOOKUP(I17,Abilities,4,FALSE),"")</f>
        <v>LW2</v>
      </c>
      <c r="L17" s="121" t="s">
        <v>962</v>
      </c>
      <c r="M17" s="120"/>
      <c r="N17" s="10" t="str">
        <f>IFERROR(VLOOKUP(L17,Abilities,4,FALSE),"")</f>
        <v>BLANK</v>
      </c>
      <c r="O17" s="19" t="s">
        <v>15</v>
      </c>
      <c r="P17" s="4"/>
      <c r="Q17" s="20"/>
      <c r="R17" s="20"/>
      <c r="S17" s="4"/>
      <c r="T17" s="4"/>
      <c r="U17" s="10"/>
      <c r="V17" s="192" t="s">
        <v>787</v>
      </c>
      <c r="W17" s="193"/>
    </row>
    <row r="18" spans="1:23" x14ac:dyDescent="0.25">
      <c r="A18" s="172" t="s">
        <v>344</v>
      </c>
      <c r="B18" s="173"/>
      <c r="F18" s="144" t="str">
        <f>IFERROR(VLOOKUP(F17,Abilities,7,FALSE),"")</f>
        <v xml:space="preserve"> </v>
      </c>
      <c r="G18" s="130"/>
      <c r="H18" s="131"/>
      <c r="I18" s="129">
        <f>IFERROR(VLOOKUP(I17,Abilities,7,FALSE),"")</f>
        <v>0</v>
      </c>
      <c r="J18" s="130"/>
      <c r="K18" s="131"/>
      <c r="L18" s="130" t="str">
        <f>IFERROR(VLOOKUP(L17,Abilities,7,FALSE),"")</f>
        <v xml:space="preserve"> </v>
      </c>
      <c r="M18" s="130"/>
      <c r="N18" s="135"/>
      <c r="O18" s="26" t="s">
        <v>21</v>
      </c>
      <c r="P18" s="27"/>
      <c r="Q18" s="28"/>
      <c r="R18" s="28"/>
      <c r="S18" s="27"/>
      <c r="T18" s="27"/>
      <c r="U18" s="29"/>
      <c r="V18" s="190" t="s">
        <v>788</v>
      </c>
      <c r="W18" s="191"/>
    </row>
    <row r="19" spans="1:23" ht="15.75" thickBot="1" x14ac:dyDescent="0.3">
      <c r="A19" s="174"/>
      <c r="B19" s="175"/>
      <c r="D19" s="3"/>
      <c r="F19" s="167"/>
      <c r="G19" s="147"/>
      <c r="H19" s="148"/>
      <c r="I19" s="146"/>
      <c r="J19" s="147"/>
      <c r="K19" s="148"/>
      <c r="L19" s="147"/>
      <c r="M19" s="147"/>
      <c r="N19" s="168"/>
      <c r="O19" s="21" t="s">
        <v>457</v>
      </c>
      <c r="P19" s="4"/>
      <c r="Q19" s="20"/>
      <c r="R19" s="20"/>
      <c r="S19" s="4"/>
      <c r="T19" s="4"/>
      <c r="U19" s="10"/>
      <c r="V19" s="192" t="s">
        <v>789</v>
      </c>
      <c r="W19" s="193"/>
    </row>
    <row r="20" spans="1:23" ht="18" thickBot="1" x14ac:dyDescent="0.35">
      <c r="A20" s="176" t="s">
        <v>973</v>
      </c>
      <c r="B20" s="177"/>
      <c r="C20" s="178"/>
      <c r="D20" s="178"/>
      <c r="E20" s="179"/>
      <c r="F20" s="169" t="s">
        <v>21</v>
      </c>
      <c r="G20" s="170"/>
      <c r="H20" s="170"/>
      <c r="I20" s="170"/>
      <c r="J20" s="170"/>
      <c r="K20" s="170"/>
      <c r="L20" s="170"/>
      <c r="M20" s="170"/>
      <c r="N20" s="171"/>
      <c r="O20" s="26" t="s">
        <v>458</v>
      </c>
      <c r="P20" s="27"/>
      <c r="Q20" s="28"/>
      <c r="R20" s="28"/>
      <c r="S20" s="27"/>
      <c r="T20" s="27"/>
      <c r="U20" s="29"/>
      <c r="V20" s="192" t="s">
        <v>790</v>
      </c>
      <c r="W20" s="193"/>
    </row>
    <row r="21" spans="1:23" ht="15.75" thickTop="1" x14ac:dyDescent="0.25">
      <c r="A21" s="176"/>
      <c r="B21" s="177"/>
      <c r="C21" s="177"/>
      <c r="D21" s="177"/>
      <c r="E21" s="180"/>
      <c r="F21" s="119" t="s">
        <v>267</v>
      </c>
      <c r="G21" s="120"/>
      <c r="H21" s="4" t="str">
        <f>IFERROR(VLOOKUP(F21,Abilities,4,FALSE),"")</f>
        <v>LW2</v>
      </c>
      <c r="I21" s="121" t="s">
        <v>962</v>
      </c>
      <c r="J21" s="120"/>
      <c r="K21" s="35" t="str">
        <f>IFERROR(VLOOKUP(I21,Abilities,4,FALSE),"")</f>
        <v>BLANK</v>
      </c>
      <c r="L21" s="122" t="s">
        <v>99</v>
      </c>
      <c r="M21" s="120"/>
      <c r="N21" s="10" t="str">
        <f>IFERROR(VLOOKUP(L21,Abilities,4,FALSE),"")</f>
        <v>LW2</v>
      </c>
      <c r="O21" s="36" t="s">
        <v>459</v>
      </c>
      <c r="P21" s="37"/>
      <c r="Q21" s="37"/>
      <c r="R21" s="37"/>
      <c r="S21" s="37"/>
      <c r="T21" s="37"/>
      <c r="U21" s="38"/>
      <c r="V21" s="190" t="s">
        <v>791</v>
      </c>
      <c r="W21" s="191"/>
    </row>
    <row r="22" spans="1:23" ht="15.75" thickBot="1" x14ac:dyDescent="0.3">
      <c r="A22" s="181"/>
      <c r="B22" s="182"/>
      <c r="C22" s="182"/>
      <c r="D22" s="182"/>
      <c r="E22" s="183"/>
      <c r="F22" s="144">
        <f>IFERROR(VLOOKUP(F21,Abilities,7,FALSE),"")</f>
        <v>0</v>
      </c>
      <c r="G22" s="130"/>
      <c r="H22" s="131"/>
      <c r="I22" s="129" t="str">
        <f>IFERROR(VLOOKUP(I21,Abilities,7,FALSE),"")</f>
        <v xml:space="preserve"> </v>
      </c>
      <c r="J22" s="130"/>
      <c r="K22" s="131"/>
      <c r="L22" s="130" t="str">
        <f>IFERROR(VLOOKUP(L21,Abilities,7,FALSE),"")</f>
        <v>Fire a barrage that pins down a target, grants reaction fire against it if it moves, restricts the use of many abilities, and imposes a -30 penalty to the target's aim.</v>
      </c>
      <c r="M22" s="130"/>
      <c r="N22" s="135"/>
      <c r="O22" s="39" t="s">
        <v>460</v>
      </c>
      <c r="P22" s="40"/>
      <c r="Q22" s="41"/>
      <c r="R22" s="41"/>
      <c r="S22" s="40"/>
      <c r="T22" s="40"/>
      <c r="U22" s="42"/>
      <c r="V22" s="192" t="s">
        <v>792</v>
      </c>
      <c r="W22" s="193"/>
    </row>
    <row r="23" spans="1:23" ht="15.75" thickBot="1" x14ac:dyDescent="0.3">
      <c r="A23" s="184" t="s">
        <v>352</v>
      </c>
      <c r="B23" s="185"/>
      <c r="C23" s="185"/>
      <c r="D23" s="185"/>
      <c r="E23" s="186"/>
      <c r="F23" s="167"/>
      <c r="G23" s="147"/>
      <c r="H23" s="148"/>
      <c r="I23" s="146"/>
      <c r="J23" s="147"/>
      <c r="K23" s="148"/>
      <c r="L23" s="147"/>
      <c r="M23" s="147"/>
      <c r="N23" s="168"/>
      <c r="O23" s="14"/>
      <c r="P23" s="14"/>
      <c r="Q23" s="3"/>
      <c r="V23" s="190" t="s">
        <v>793</v>
      </c>
      <c r="W23" s="191"/>
    </row>
    <row r="24" spans="1:23" ht="18" thickBot="1" x14ac:dyDescent="0.35">
      <c r="A24" s="187"/>
      <c r="B24" s="188"/>
      <c r="C24" s="188"/>
      <c r="D24" s="188"/>
      <c r="E24" s="189"/>
      <c r="F24" s="169" t="s">
        <v>444</v>
      </c>
      <c r="G24" s="170"/>
      <c r="H24" s="170"/>
      <c r="I24" s="170"/>
      <c r="J24" s="170"/>
      <c r="K24" s="170"/>
      <c r="L24" s="170"/>
      <c r="M24" s="170"/>
      <c r="N24" s="171"/>
      <c r="O24" s="14"/>
      <c r="P24" s="14"/>
      <c r="Q24" s="3"/>
      <c r="V24" s="192" t="s">
        <v>794</v>
      </c>
      <c r="W24" s="193"/>
    </row>
    <row r="25" spans="1:23" ht="15.75" thickTop="1" x14ac:dyDescent="0.25">
      <c r="A25" s="50"/>
      <c r="B25" s="51"/>
      <c r="C25" s="51"/>
      <c r="D25" s="51"/>
      <c r="E25" s="52"/>
      <c r="F25" s="119" t="s">
        <v>413</v>
      </c>
      <c r="G25" s="120"/>
      <c r="H25" s="4" t="str">
        <f>IFERROR(VLOOKUP(F25,Abilities,4,FALSE),"")</f>
        <v>LW2</v>
      </c>
      <c r="I25" s="121" t="s">
        <v>962</v>
      </c>
      <c r="J25" s="120"/>
      <c r="K25" s="35" t="str">
        <f>IFERROR(VLOOKUP(I25,Abilities,4,FALSE),"")</f>
        <v>BLANK</v>
      </c>
      <c r="L25" s="122" t="s">
        <v>306</v>
      </c>
      <c r="M25" s="120"/>
      <c r="N25" s="10" t="str">
        <f>IFERROR(VLOOKUP(L25,Abilities,4,FALSE),"")</f>
        <v>LW2</v>
      </c>
      <c r="O25" s="14"/>
      <c r="P25" s="14"/>
      <c r="Q25" s="3"/>
      <c r="V25" s="190" t="s">
        <v>795</v>
      </c>
      <c r="W25" s="191"/>
    </row>
    <row r="26" spans="1:23" x14ac:dyDescent="0.25">
      <c r="A26" s="50"/>
      <c r="B26" s="51"/>
      <c r="C26" s="51"/>
      <c r="D26" s="51"/>
      <c r="E26" s="52"/>
      <c r="F26" s="144">
        <f>IFERROR(VLOOKUP(F25,Abilities,7,FALSE),"")</f>
        <v>0</v>
      </c>
      <c r="G26" s="130"/>
      <c r="H26" s="131"/>
      <c r="I26" s="129" t="str">
        <f>IFERROR(VLOOKUP(I25,Abilities,7,FALSE),"")</f>
        <v xml:space="preserve"> </v>
      </c>
      <c r="J26" s="130"/>
      <c r="K26" s="131"/>
      <c r="L26" s="130" t="str">
        <f>IFERROR(VLOOKUP(L25,Abilities,7,FALSE),"")</f>
        <v>Activate to grant +20 defense until the beginning of the next turn. Does not cost an action. Has a 5-turn cooldown.</v>
      </c>
      <c r="M26" s="130"/>
      <c r="N26" s="135"/>
      <c r="O26" s="14"/>
      <c r="P26" s="14"/>
      <c r="Q26" s="3"/>
      <c r="V26" s="190" t="s">
        <v>797</v>
      </c>
      <c r="W26" s="191"/>
    </row>
    <row r="27" spans="1:23" ht="15.75" thickBot="1" x14ac:dyDescent="0.3">
      <c r="A27" s="50"/>
      <c r="B27" s="51"/>
      <c r="C27" s="51"/>
      <c r="D27" s="51"/>
      <c r="E27" s="52"/>
      <c r="F27" s="167"/>
      <c r="G27" s="147"/>
      <c r="H27" s="148"/>
      <c r="I27" s="146"/>
      <c r="J27" s="147"/>
      <c r="K27" s="148"/>
      <c r="L27" s="147"/>
      <c r="M27" s="147"/>
      <c r="N27" s="168"/>
      <c r="O27" s="14"/>
      <c r="P27" s="14"/>
      <c r="Q27" s="3"/>
      <c r="V27" s="192" t="s">
        <v>798</v>
      </c>
      <c r="W27" s="193"/>
    </row>
    <row r="28" spans="1:23" ht="18" thickBot="1" x14ac:dyDescent="0.35">
      <c r="A28" s="50"/>
      <c r="B28" s="51"/>
      <c r="C28" s="51"/>
      <c r="D28" s="51"/>
      <c r="E28" s="52"/>
      <c r="F28" s="169" t="s">
        <v>445</v>
      </c>
      <c r="G28" s="170"/>
      <c r="H28" s="170"/>
      <c r="I28" s="170"/>
      <c r="J28" s="170"/>
      <c r="K28" s="170"/>
      <c r="L28" s="170"/>
      <c r="M28" s="170"/>
      <c r="N28" s="171"/>
      <c r="O28" s="14"/>
      <c r="P28" s="14"/>
      <c r="Q28" s="3"/>
      <c r="V28" s="190" t="s">
        <v>799</v>
      </c>
      <c r="W28" s="191"/>
    </row>
    <row r="29" spans="1:23" ht="15.75" thickTop="1" x14ac:dyDescent="0.25">
      <c r="A29" s="50"/>
      <c r="B29" s="51"/>
      <c r="C29" s="51"/>
      <c r="D29" s="51"/>
      <c r="E29" s="52"/>
      <c r="F29" s="119" t="s">
        <v>236</v>
      </c>
      <c r="G29" s="120"/>
      <c r="H29" s="4" t="str">
        <f>IFERROR(VLOOKUP(F29,Abilities,4,FALSE),"")</f>
        <v>LW2</v>
      </c>
      <c r="I29" s="121" t="s">
        <v>962</v>
      </c>
      <c r="J29" s="120"/>
      <c r="K29" s="35" t="str">
        <f>IFERROR(VLOOKUP(I29,Abilities,4,FALSE),"")</f>
        <v>BLANK</v>
      </c>
      <c r="L29" s="122" t="s">
        <v>917</v>
      </c>
      <c r="M29" s="120"/>
      <c r="N29" s="10" t="str">
        <f>IFERROR(VLOOKUP(L29,Abilities,4,FALSE),"")</f>
        <v>SOLW</v>
      </c>
      <c r="O29" s="14"/>
      <c r="P29" s="14"/>
      <c r="Q29" s="3"/>
      <c r="V29" s="190" t="s">
        <v>825</v>
      </c>
      <c r="W29" s="191"/>
    </row>
    <row r="30" spans="1:23" x14ac:dyDescent="0.25">
      <c r="A30" s="50"/>
      <c r="B30" s="51"/>
      <c r="C30" s="51"/>
      <c r="D30" s="51"/>
      <c r="E30" s="52"/>
      <c r="F30" s="144">
        <f>IFERROR(VLOOKUP(F29,Abilities,7,FALSE),"")</f>
        <v>0</v>
      </c>
      <c r="G30" s="130"/>
      <c r="H30" s="131"/>
      <c r="I30" s="129" t="str">
        <f>IFERROR(VLOOKUP(I29,Abilities,7,FALSE),"")</f>
        <v xml:space="preserve"> </v>
      </c>
      <c r="J30" s="130"/>
      <c r="K30" s="131"/>
      <c r="L30" s="130" t="str">
        <f>IFERROR(VLOOKUP(L29,Abilities,7,FALSE),"")</f>
        <v>When you make a standard attack with your &lt;Ability:WeaponName/&gt; you automatically enter overwatch.</v>
      </c>
      <c r="M30" s="130"/>
      <c r="N30" s="135"/>
      <c r="O30" s="14"/>
      <c r="P30" s="14"/>
      <c r="Q30" s="3"/>
      <c r="V30" s="190" t="s">
        <v>819</v>
      </c>
      <c r="W30" s="191"/>
    </row>
    <row r="31" spans="1:23" ht="15.75" thickBot="1" x14ac:dyDescent="0.3">
      <c r="A31" s="50"/>
      <c r="B31" s="51"/>
      <c r="C31" s="51"/>
      <c r="D31" s="51"/>
      <c r="E31" s="52"/>
      <c r="F31" s="167"/>
      <c r="G31" s="147"/>
      <c r="H31" s="148"/>
      <c r="I31" s="146"/>
      <c r="J31" s="147"/>
      <c r="K31" s="148"/>
      <c r="L31" s="147"/>
      <c r="M31" s="147"/>
      <c r="N31" s="168"/>
      <c r="O31" s="14"/>
      <c r="P31" s="14"/>
      <c r="Q31" s="3"/>
      <c r="V31" s="192" t="s">
        <v>820</v>
      </c>
      <c r="W31" s="193"/>
    </row>
    <row r="32" spans="1:23" ht="18" thickBot="1" x14ac:dyDescent="0.35">
      <c r="A32" s="50"/>
      <c r="B32" s="51"/>
      <c r="C32" s="51"/>
      <c r="D32" s="51"/>
      <c r="E32" s="52"/>
      <c r="F32" s="169" t="s">
        <v>446</v>
      </c>
      <c r="G32" s="170"/>
      <c r="H32" s="170"/>
      <c r="I32" s="170"/>
      <c r="J32" s="170"/>
      <c r="K32" s="170"/>
      <c r="L32" s="170"/>
      <c r="M32" s="170"/>
      <c r="N32" s="171"/>
      <c r="O32" s="14"/>
      <c r="P32" s="14"/>
      <c r="Q32" s="3"/>
      <c r="V32" s="192" t="s">
        <v>815</v>
      </c>
      <c r="W32" s="193"/>
    </row>
    <row r="33" spans="1:23" ht="15.75" thickTop="1" x14ac:dyDescent="0.25">
      <c r="A33" s="50"/>
      <c r="B33" s="51"/>
      <c r="C33" s="51"/>
      <c r="D33" s="51"/>
      <c r="E33" s="52"/>
      <c r="F33" s="121" t="s">
        <v>962</v>
      </c>
      <c r="G33" s="120"/>
      <c r="H33" s="4" t="str">
        <f>IFERROR(VLOOKUP(F33,Abilities,4,FALSE),"")</f>
        <v>BLANK</v>
      </c>
      <c r="I33" s="121" t="s">
        <v>43</v>
      </c>
      <c r="J33" s="120"/>
      <c r="K33" s="35" t="str">
        <f>IFERROR(VLOOKUP(I33,Abilities,4,FALSE),"")</f>
        <v>XCOM2</v>
      </c>
      <c r="L33" s="121" t="s">
        <v>962</v>
      </c>
      <c r="M33" s="120"/>
      <c r="N33" s="10" t="str">
        <f>IFERROR(VLOOKUP(L33,Abilities,4,FALSE),"")</f>
        <v>BLANK</v>
      </c>
      <c r="O33" s="14"/>
      <c r="P33" s="14"/>
      <c r="Q33" s="3"/>
      <c r="V33" s="192" t="s">
        <v>822</v>
      </c>
      <c r="W33" s="193"/>
    </row>
    <row r="34" spans="1:23" x14ac:dyDescent="0.25">
      <c r="A34" s="50"/>
      <c r="B34" s="51"/>
      <c r="C34" s="51"/>
      <c r="D34" s="51"/>
      <c r="E34" s="52"/>
      <c r="F34" s="144" t="str">
        <f>IFERROR(VLOOKUP(F33,Abilities,7,FALSE),"")</f>
        <v xml:space="preserve"> </v>
      </c>
      <c r="G34" s="130"/>
      <c r="H34" s="131"/>
      <c r="I34" s="129" t="str">
        <f>IFERROR(VLOOKUP(I33,Abilities,7,FALSE),"")</f>
        <v>Fire twice in a row at an enemy. Each shot suffers an Aim penalty of -15. There is no cooldown on this ability.</v>
      </c>
      <c r="J34" s="130"/>
      <c r="K34" s="131"/>
      <c r="L34" s="130" t="str">
        <f>IFERROR(VLOOKUP(L33,Abilities,7,FALSE),"")</f>
        <v xml:space="preserve"> </v>
      </c>
      <c r="M34" s="130"/>
      <c r="N34" s="135"/>
      <c r="O34" s="14"/>
      <c r="P34" s="14"/>
      <c r="Q34" s="3"/>
      <c r="V34" s="190" t="s">
        <v>816</v>
      </c>
      <c r="W34" s="191"/>
    </row>
    <row r="35" spans="1:23" ht="15.75" thickBot="1" x14ac:dyDescent="0.3">
      <c r="A35" s="50"/>
      <c r="B35" s="51"/>
      <c r="C35" s="51"/>
      <c r="D35" s="51"/>
      <c r="E35" s="52"/>
      <c r="F35" s="167"/>
      <c r="G35" s="147"/>
      <c r="H35" s="148"/>
      <c r="I35" s="146"/>
      <c r="J35" s="147"/>
      <c r="K35" s="148"/>
      <c r="L35" s="147"/>
      <c r="M35" s="147"/>
      <c r="N35" s="168"/>
      <c r="O35" s="14"/>
      <c r="P35" s="14"/>
      <c r="Q35" s="3"/>
      <c r="V35" s="194" t="s">
        <v>800</v>
      </c>
      <c r="W35" s="195"/>
    </row>
    <row r="36" spans="1:23" ht="18" thickBot="1" x14ac:dyDescent="0.35">
      <c r="A36" s="50"/>
      <c r="B36" s="51"/>
      <c r="C36" s="51"/>
      <c r="D36" s="51"/>
      <c r="E36" s="52"/>
      <c r="F36" s="169" t="s">
        <v>447</v>
      </c>
      <c r="G36" s="170"/>
      <c r="H36" s="170"/>
      <c r="I36" s="170"/>
      <c r="J36" s="170"/>
      <c r="K36" s="170"/>
      <c r="L36" s="170"/>
      <c r="M36" s="170"/>
      <c r="N36" s="171"/>
    </row>
    <row r="37" spans="1:23" ht="15.75" thickTop="1" x14ac:dyDescent="0.25">
      <c r="A37" s="50"/>
      <c r="B37" s="51"/>
      <c r="C37" s="51"/>
      <c r="D37" s="51"/>
      <c r="E37" s="52"/>
      <c r="F37" s="119" t="s">
        <v>421</v>
      </c>
      <c r="G37" s="120"/>
      <c r="H37" s="4" t="str">
        <f>IFERROR(VLOOKUP(F37,Abilities,4,FALSE),"")</f>
        <v>LW2</v>
      </c>
      <c r="I37" s="121" t="s">
        <v>962</v>
      </c>
      <c r="J37" s="120"/>
      <c r="K37" s="35" t="str">
        <f>IFERROR(VLOOKUP(I37,Abilities,4,FALSE),"")</f>
        <v>BLANK</v>
      </c>
      <c r="L37" s="122" t="s">
        <v>271</v>
      </c>
      <c r="M37" s="120"/>
      <c r="N37" s="10" t="str">
        <f>IFERROR(VLOOKUP(L37,Abilities,4,FALSE),"")</f>
        <v>LW2</v>
      </c>
    </row>
    <row r="38" spans="1:23" x14ac:dyDescent="0.25">
      <c r="A38" s="50"/>
      <c r="B38" s="51"/>
      <c r="C38" s="51"/>
      <c r="D38" s="51"/>
      <c r="E38" s="52"/>
      <c r="F38" s="144">
        <f>IFERROR(VLOOKUP(F37,Abilities,7,FALSE),"")</f>
        <v>0</v>
      </c>
      <c r="G38" s="130"/>
      <c r="H38" s="131"/>
      <c r="I38" s="129" t="str">
        <f>IFERROR(VLOOKUP(I37,Abilities,7,FALSE),"")</f>
        <v xml:space="preserve"> </v>
      </c>
      <c r="J38" s="130"/>
      <c r="K38" s="131"/>
      <c r="L38" s="130">
        <f>IFERROR(VLOOKUP(L37,Abilities,7,FALSE),"")</f>
        <v>0</v>
      </c>
      <c r="M38" s="130"/>
      <c r="N38" s="135"/>
    </row>
    <row r="39" spans="1:23" ht="15.75" thickBot="1" x14ac:dyDescent="0.3">
      <c r="A39" s="53"/>
      <c r="B39" s="54"/>
      <c r="C39" s="54"/>
      <c r="D39" s="54"/>
      <c r="E39" s="55"/>
      <c r="F39" s="167"/>
      <c r="G39" s="147"/>
      <c r="H39" s="148"/>
      <c r="I39" s="146"/>
      <c r="J39" s="147"/>
      <c r="K39" s="148"/>
      <c r="L39" s="147"/>
      <c r="M39" s="147"/>
      <c r="N39" s="168"/>
    </row>
    <row r="40" spans="1:23" ht="15" customHeight="1" x14ac:dyDescent="0.25">
      <c r="A40" s="86" t="s">
        <v>1200</v>
      </c>
      <c r="B40" s="86"/>
      <c r="C40" s="88" t="str">
        <f>SUBSTITUTE(C1," ","")</f>
        <v>Ranger</v>
      </c>
      <c r="D40" s="88"/>
      <c r="E40" s="88"/>
      <c r="F40" s="238"/>
      <c r="G40" s="238"/>
      <c r="H40" s="237"/>
      <c r="I40" s="237"/>
      <c r="J40" s="237"/>
    </row>
    <row r="41" spans="1:23" ht="15" customHeight="1" thickBot="1" x14ac:dyDescent="0.3">
      <c r="A41" s="87"/>
      <c r="B41" s="87"/>
      <c r="C41" s="89"/>
      <c r="D41" s="89"/>
      <c r="E41" s="89"/>
      <c r="F41" s="239"/>
      <c r="G41" s="239"/>
      <c r="H41" s="237"/>
      <c r="I41" s="237"/>
      <c r="J41" s="237"/>
    </row>
    <row r="42" spans="1:23" ht="16.5" thickBot="1" x14ac:dyDescent="0.3">
      <c r="A42" s="242" t="s">
        <v>339</v>
      </c>
      <c r="B42" s="244"/>
      <c r="C42" s="253" t="s">
        <v>342</v>
      </c>
      <c r="D42" s="247"/>
      <c r="E42" s="251" t="s">
        <v>343</v>
      </c>
      <c r="F42" s="250"/>
      <c r="G42" s="234"/>
      <c r="H42" s="235"/>
      <c r="I42" s="235"/>
      <c r="J42" s="235"/>
    </row>
    <row r="43" spans="1:23" x14ac:dyDescent="0.25">
      <c r="A43" s="243" t="str">
        <f ca="1">"; "&amp;INDIRECT("C1")&amp;" class data"</f>
        <v>; Ranger class data</v>
      </c>
      <c r="B43" s="234" t="s">
        <v>340</v>
      </c>
      <c r="C43" s="254" t="str">
        <f ca="1">"; "&amp;INDIRECT("C1")&amp;" class loadout"</f>
        <v>; Ranger class loadout</v>
      </c>
      <c r="D43" s="234" t="s">
        <v>340</v>
      </c>
      <c r="E43" s="252" t="str">
        <f ca="1">"["&amp;INDIRECT("C3")&amp;" X2SoldierClassTemplate]"</f>
        <v>[LWD_Ranger X2SoldierClassTemplate]</v>
      </c>
      <c r="F43" s="234" t="s">
        <v>340</v>
      </c>
      <c r="G43" s="234"/>
      <c r="H43" s="235"/>
      <c r="I43" s="235"/>
      <c r="J43" s="235"/>
    </row>
    <row r="44" spans="1:23" x14ac:dyDescent="0.25">
      <c r="A44" s="240"/>
      <c r="B44" s="234"/>
      <c r="C44" s="245"/>
      <c r="D44" s="234" t="s">
        <v>340</v>
      </c>
      <c r="E44" s="248" t="str">
        <f ca="1">"+DisplayName="""&amp;INDIRECT("C1")&amp;""""</f>
        <v>+DisplayName="Ranger"</v>
      </c>
      <c r="F44" s="234" t="s">
        <v>340</v>
      </c>
      <c r="G44" s="234"/>
      <c r="H44" s="235"/>
      <c r="I44" s="235"/>
      <c r="J44" s="235"/>
    </row>
    <row r="45" spans="1:23" x14ac:dyDescent="0.25">
      <c r="A45" s="240" t="str">
        <f>"[XComGame.X2SoldierClass_DefaultClasses]"</f>
        <v>[XComGame.X2SoldierClass_DefaultClasses]</v>
      </c>
      <c r="B45" s="234" t="s">
        <v>340</v>
      </c>
      <c r="C45" s="245" t="s">
        <v>341</v>
      </c>
      <c r="D45" s="234" t="s">
        <v>340</v>
      </c>
      <c r="E45" s="248" t="str">
        <f ca="1">"+ClassSummary="""&amp;INDIRECT("A20")&amp;""""</f>
        <v>+ClassSummary="The Ranger is the master of the rifle and may be trained to use it in offensive and defensive capacities. They carry a sawed-off shotgun as a backup as well."</v>
      </c>
      <c r="F45" s="234" t="s">
        <v>340</v>
      </c>
      <c r="G45" s="234"/>
      <c r="H45" s="235"/>
      <c r="I45" s="235"/>
      <c r="J45" s="235"/>
    </row>
    <row r="46" spans="1:23" x14ac:dyDescent="0.25">
      <c r="A46" s="240" t="str">
        <f ca="1">"+SoldierClasses="&amp;INDIRECT("C3")</f>
        <v>+SoldierClasses=LWD_Ranger</v>
      </c>
      <c r="B46" s="234" t="s">
        <v>340</v>
      </c>
      <c r="C46" s="245"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+Loadouts=(LoadoutName="SquaddieLWD_Ranger", Items[0]=(Item="AssaultRifle_CV"), Items[1]=(Item="SawedOffShotgun_CV"))</v>
      </c>
      <c r="D46" s="234" t="s">
        <v>340</v>
      </c>
      <c r="E46" s="248" t="str">
        <f ca="1">"+LeftAbilityTreeTitle="""&amp;INDIRECT("F11")&amp;""""</f>
        <v>+LeftAbilityTreeTitle="Infantry"</v>
      </c>
      <c r="F46" s="234" t="s">
        <v>340</v>
      </c>
      <c r="G46" s="234"/>
      <c r="H46" s="235"/>
      <c r="I46" s="234"/>
      <c r="J46" s="234"/>
    </row>
    <row r="47" spans="1:23" x14ac:dyDescent="0.25">
      <c r="A47" s="240"/>
      <c r="B47" s="234" t="s">
        <v>340</v>
      </c>
      <c r="C47" s="245"/>
      <c r="D47" s="234" t="s">
        <v>340</v>
      </c>
      <c r="E47" s="248" t="str">
        <f ca="1">"+RightAbilityTreeTitle="""&amp;INDIRECT("L11")&amp;""""</f>
        <v>+RightAbilityTreeTitle="Defender"</v>
      </c>
      <c r="F47" s="234" t="s">
        <v>340</v>
      </c>
      <c r="G47" s="234"/>
      <c r="H47" s="235"/>
      <c r="I47" s="234"/>
      <c r="J47" s="234"/>
    </row>
    <row r="48" spans="1:23" x14ac:dyDescent="0.25">
      <c r="A48" s="240" t="str">
        <f ca="1">"["&amp;INDIRECT("C3")&amp;" X2SoldierClassTemplate]"</f>
        <v>[LWD_Ranger X2SoldierClassTemplate]</v>
      </c>
      <c r="B48" s="234" t="s">
        <v>340</v>
      </c>
      <c r="C48" s="245" t="s">
        <v>351</v>
      </c>
      <c r="D48" s="234" t="s">
        <v>340</v>
      </c>
      <c r="E48" s="248" t="str">
        <f>"; Nicknames"</f>
        <v>; Nicknames</v>
      </c>
      <c r="F48" s="234" t="s">
        <v>340</v>
      </c>
      <c r="G48" s="234"/>
      <c r="H48" s="234"/>
      <c r="I48" s="234"/>
      <c r="J48" s="234"/>
    </row>
    <row r="49" spans="1:10" ht="15.75" thickBot="1" x14ac:dyDescent="0.3">
      <c r="A49" s="240" t="str">
        <f ca="1">"+bMultiplayerOnly="&amp;INDIRECT("E6")</f>
        <v>+bMultiplayerOnly=0</v>
      </c>
      <c r="B49" s="234" t="s">
        <v>340</v>
      </c>
      <c r="C49" s="246" t="str">
        <f ca="1">"+DEBUG_StartingSoldierClasses="""&amp;INDIRECT("C3")&amp;""""</f>
        <v>+DEBUG_StartingSoldierClasses="LWD_Ranger"</v>
      </c>
      <c r="D49" s="234" t="s">
        <v>340</v>
      </c>
      <c r="E49" s="248" t="str">
        <f ca="1">IF(INDIRECT("V4")&lt;&gt;"","RandomNickNames[0]="""&amp;INDIRECT("V4")&amp;"""","")</f>
        <v>RandomNickNames[0]="Angel"</v>
      </c>
      <c r="F49" s="234" t="s">
        <v>340</v>
      </c>
      <c r="G49" s="234"/>
      <c r="H49" s="234"/>
      <c r="I49" s="234"/>
      <c r="J49" s="234"/>
    </row>
    <row r="50" spans="1:10" x14ac:dyDescent="0.25">
      <c r="A50" s="240" t="str">
        <f ca="1">"+ClassPoints="&amp;INDIRECT("E7")</f>
        <v>+ClassPoints=4</v>
      </c>
      <c r="B50" s="234" t="s">
        <v>340</v>
      </c>
      <c r="C50" s="234"/>
      <c r="D50" s="234"/>
      <c r="E50" s="248" t="str">
        <f ca="1">IF(INDIRECT("V5")&lt;&gt;"","RandomNickNames[1]="""&amp;INDIRECT("V5")&amp;"""","")</f>
        <v>RandomNickNames[1]="Bargain"</v>
      </c>
      <c r="F50" s="234" t="s">
        <v>340</v>
      </c>
      <c r="G50" s="234"/>
      <c r="H50" s="234"/>
      <c r="I50" s="234"/>
      <c r="J50" s="234"/>
    </row>
    <row r="51" spans="1:10" x14ac:dyDescent="0.25">
      <c r="A51" s="240" t="str">
        <f ca="1">"+IconImage="&amp;""""&amp;INDIRECT("E8")&amp;""""</f>
        <v>+IconImage="img:///UILibrary_Common.class_ranger"</v>
      </c>
      <c r="B51" s="234" t="s">
        <v>340</v>
      </c>
      <c r="C51" s="234"/>
      <c r="D51" s="234"/>
      <c r="E51" s="248" t="str">
        <f ca="1">IF(INDIRECT("V6")&lt;&gt;"","RandomNickNames[2]="""&amp;INDIRECT("V6")&amp;"""","")</f>
        <v>RandomNickNames[2]="Beta"</v>
      </c>
      <c r="F51" s="234" t="s">
        <v>340</v>
      </c>
      <c r="G51" s="234"/>
      <c r="H51" s="234"/>
      <c r="I51" s="234"/>
      <c r="J51" s="234"/>
    </row>
    <row r="52" spans="1:10" x14ac:dyDescent="0.25">
      <c r="A52" s="240" t="str">
        <f ca="1">"+NumInForcedDeck="&amp;INDIRECT("E9")</f>
        <v>+NumInForcedDeck=1</v>
      </c>
      <c r="B52" s="234" t="s">
        <v>340</v>
      </c>
      <c r="C52" s="234"/>
      <c r="D52" s="234"/>
      <c r="E52" s="248" t="str">
        <f ca="1">IF(INDIRECT("V7")&lt;&gt;"","RandomNickNames[3]="""&amp;INDIRECT("V7")&amp;"""","")</f>
        <v>RandomNickNames[3]="Bishop"</v>
      </c>
      <c r="F52" s="234" t="s">
        <v>340</v>
      </c>
      <c r="G52" s="234"/>
      <c r="H52" s="234"/>
      <c r="I52" s="234"/>
      <c r="J52" s="234"/>
    </row>
    <row r="53" spans="1:10" x14ac:dyDescent="0.25">
      <c r="A53" s="240" t="str">
        <f ca="1">"+NumInDeck="&amp;INDIRECT("E10")</f>
        <v>+NumInDeck=4</v>
      </c>
      <c r="B53" s="234" t="s">
        <v>340</v>
      </c>
      <c r="C53" s="234"/>
      <c r="D53" s="234"/>
      <c r="E53" s="248" t="str">
        <f ca="1">IF(INDIRECT("V8")&lt;&gt;"","RandomNickNames[4]="""&amp;INDIRECT("V8")&amp;"""","")</f>
        <v>RandomNickNames[4]="Bones"</v>
      </c>
      <c r="F53" s="234" t="s">
        <v>340</v>
      </c>
      <c r="G53" s="234"/>
      <c r="H53" s="234"/>
      <c r="I53" s="234"/>
      <c r="J53" s="234"/>
    </row>
    <row r="54" spans="1:10" x14ac:dyDescent="0.25">
      <c r="A54" s="240" t="str">
        <f ca="1">"+KillAssistsPerKill="&amp;INDIRECT("E11")</f>
        <v>+KillAssistsPerKill=4</v>
      </c>
      <c r="B54" s="234" t="s">
        <v>340</v>
      </c>
      <c r="C54" s="234"/>
      <c r="D54" s="234"/>
      <c r="E54" s="248" t="str">
        <f ca="1">IF(INDIRECT("V9")&lt;&gt;"","RandomNickNames[5]="""&amp;INDIRECT("V9")&amp;"""","")</f>
        <v>RandomNickNames[5]="Breaker"</v>
      </c>
      <c r="F54" s="234" t="s">
        <v>340</v>
      </c>
      <c r="G54" s="234"/>
      <c r="H54" s="234"/>
      <c r="I54" s="234"/>
      <c r="J54" s="234"/>
    </row>
    <row r="55" spans="1:10" x14ac:dyDescent="0.25">
      <c r="A55" s="240" t="str">
        <f ca="1">"+SquaddieLoadout=Squaddie"&amp;INDIRECT("C3")</f>
        <v>+SquaddieLoadout=SquaddieLWD_Ranger</v>
      </c>
      <c r="B55" s="234" t="s">
        <v>340</v>
      </c>
      <c r="C55" s="234"/>
      <c r="D55" s="234"/>
      <c r="E55" s="248" t="str">
        <f ca="1">IF(INDIRECT("V10")&lt;&gt;"","RandomNickNames[6]="""&amp;INDIRECT("V10")&amp;"""","")</f>
        <v>RandomNickNames[6]="Broker"</v>
      </c>
      <c r="F55" s="234" t="s">
        <v>340</v>
      </c>
      <c r="G55" s="234"/>
      <c r="H55" s="234"/>
      <c r="I55" s="234"/>
      <c r="J55" s="234"/>
    </row>
    <row r="56" spans="1:10" x14ac:dyDescent="0.25">
      <c r="A56" s="240" t="str">
        <f ca="1">";+bAllowAWCAbilities="&amp;INDIRECT("E12")&amp;" ; Not a thing in LW2"</f>
        <v>;+bAllowAWCAbilities=1 ; Not a thing in LW2</v>
      </c>
      <c r="B56" s="234" t="s">
        <v>340</v>
      </c>
      <c r="C56" s="234"/>
      <c r="D56" s="234"/>
      <c r="E56" s="248" t="str">
        <f ca="1">IF(INDIRECT("V11")&lt;&gt;"","RandomNickNames[7]="""&amp;INDIRECT("V11")&amp;"""","")</f>
        <v>RandomNickNames[7]="Conquest"</v>
      </c>
      <c r="F56" s="234" t="s">
        <v>340</v>
      </c>
      <c r="G56" s="234"/>
      <c r="H56" s="234"/>
      <c r="I56" s="234"/>
      <c r="J56" s="234"/>
    </row>
    <row r="57" spans="1:10" x14ac:dyDescent="0.25">
      <c r="A57" s="240" t="str">
        <f ca="1">IF(INDIRECT("B5")=FALSE,";","")&amp;"+AllowedWeapons=(SlotType=eInvSlot_PrimaryWeapon, WeaponType=""rifle"")"</f>
        <v>+AllowedWeapons=(SlotType=eInvSlot_PrimaryWeapon, WeaponType="rifle")</v>
      </c>
      <c r="B57" s="234" t="s">
        <v>340</v>
      </c>
      <c r="C57" s="234"/>
      <c r="D57" s="234"/>
      <c r="E57" s="248" t="str">
        <f ca="1">IF(INDIRECT("V12")&lt;&gt;"","RandomNickNames[8]="""&amp;INDIRECT("V12")&amp;"""","")</f>
        <v>RandomNickNames[8]="Deacon"</v>
      </c>
      <c r="F57" s="234" t="s">
        <v>340</v>
      </c>
      <c r="G57" s="234"/>
      <c r="H57" s="234"/>
      <c r="I57" s="234"/>
      <c r="J57" s="234"/>
    </row>
    <row r="58" spans="1:10" x14ac:dyDescent="0.25">
      <c r="A58" s="240" t="str">
        <f ca="1">IF(INDIRECT("B6")=FALSE,";","")&amp;"+AllowedWeapons=(SlotType=eInvSlot_PrimaryWeapon, WeaponType=""cannon"")"</f>
        <v>;+AllowedWeapons=(SlotType=eInvSlot_PrimaryWeapon, WeaponType="cannon")</v>
      </c>
      <c r="B58" s="234" t="s">
        <v>340</v>
      </c>
      <c r="C58" s="234"/>
      <c r="D58" s="234"/>
      <c r="E58" s="248" t="str">
        <f ca="1">IF(INDIRECT("V13")&lt;&gt;"","RandomNickNames[9]="""&amp;INDIRECT("V13")&amp;"""","")</f>
        <v>RandomNickNames[9]="Doomtrain"</v>
      </c>
      <c r="F58" s="234" t="s">
        <v>340</v>
      </c>
      <c r="G58" s="234"/>
      <c r="H58" s="234"/>
      <c r="I58" s="234"/>
      <c r="J58" s="234"/>
    </row>
    <row r="59" spans="1:10" x14ac:dyDescent="0.25">
      <c r="A59" s="240" t="str">
        <f ca="1">IF(INDIRECT("B7")=FALSE,";","")&amp;"+AllowedWeapons=(SlotType=eInvSlot_PrimaryWeapon, WeaponType=""shotgun"")"</f>
        <v>;+AllowedWeapons=(SlotType=eInvSlot_PrimaryWeapon, WeaponType="shotgun")</v>
      </c>
      <c r="B59" s="234" t="s">
        <v>340</v>
      </c>
      <c r="C59" s="234"/>
      <c r="D59" s="234"/>
      <c r="E59" s="248" t="str">
        <f ca="1">IF(INDIRECT("V14")&lt;&gt;"","RandomNickNames[10]="""&amp;INDIRECT("V14")&amp;"""","")</f>
        <v>RandomNickNames[10]="Dr. Feelgood"</v>
      </c>
      <c r="F59" s="234" t="s">
        <v>340</v>
      </c>
      <c r="G59" s="234"/>
      <c r="H59" s="234"/>
      <c r="I59" s="234"/>
      <c r="J59" s="234"/>
    </row>
    <row r="60" spans="1:10" x14ac:dyDescent="0.25">
      <c r="A60" s="240" t="str">
        <f ca="1">IF(INDIRECT("B8")=FALSE,";","")&amp;"+AllowedWeapons=(SlotType=eInvSlot_PrimaryWeapon, WeaponType=""sniper_rifle"")"</f>
        <v>;+AllowedWeapons=(SlotType=eInvSlot_PrimaryWeapon, WeaponType="sniper_rifle")</v>
      </c>
      <c r="B60" s="234" t="s">
        <v>340</v>
      </c>
      <c r="C60" s="234"/>
      <c r="D60" s="234"/>
      <c r="E60" s="248" t="str">
        <f ca="1">IF(INDIRECT("V15")&lt;&gt;"","RandomNickNames[11]="""&amp;INDIRECT("V15")&amp;"""","")</f>
        <v>RandomNickNames[11]="Famine"</v>
      </c>
      <c r="F60" s="234" t="s">
        <v>340</v>
      </c>
      <c r="G60" s="234"/>
      <c r="H60" s="234"/>
      <c r="I60" s="234"/>
      <c r="J60" s="234"/>
    </row>
    <row r="61" spans="1:10" x14ac:dyDescent="0.25">
      <c r="A61" s="240" t="str">
        <f ca="1">IF(INDIRECT("B9")=FALSE,";","")&amp;"+AllowedWeapons=(SlotType=eInvSlot_SecondaryWeapon, WeaponType=""gauntlet"")"</f>
        <v>;+AllowedWeapons=(SlotType=eInvSlot_SecondaryWeapon, WeaponType="gauntlet")</v>
      </c>
      <c r="B61" s="234" t="s">
        <v>340</v>
      </c>
      <c r="C61" s="234"/>
      <c r="D61" s="234"/>
      <c r="E61" s="248" t="str">
        <f ca="1">IF(INDIRECT("V16")&lt;&gt;"","RandomNickNames[12]="""&amp;INDIRECT("V16")&amp;"""","")</f>
        <v>RandomNickNames[12]="Feedback"</v>
      </c>
      <c r="F61" s="234" t="s">
        <v>340</v>
      </c>
      <c r="G61" s="234"/>
      <c r="H61" s="234"/>
      <c r="I61" s="234"/>
      <c r="J61" s="234"/>
    </row>
    <row r="62" spans="1:10" x14ac:dyDescent="0.25">
      <c r="A62" s="240" t="str">
        <f ca="1">IF(INDIRECT("B10")=FALSE,";","")&amp;"+AllowedWeapons=(SlotType=eInvSlot_SecondaryWeapon, WeaponType=""combatknife"")"</f>
        <v>;+AllowedWeapons=(SlotType=eInvSlot_SecondaryWeapon, WeaponType="combatknife")</v>
      </c>
      <c r="B62" s="234" t="s">
        <v>340</v>
      </c>
      <c r="C62" s="234"/>
      <c r="D62" s="234"/>
      <c r="E62" s="248" t="str">
        <f ca="1">IF(INDIRECT("V17")&lt;&gt;"","RandomNickNames[13]="""&amp;INDIRECT("V17")&amp;"""","")</f>
        <v>RandomNickNames[13]="Firewall"</v>
      </c>
      <c r="F62" s="234" t="s">
        <v>340</v>
      </c>
      <c r="G62" s="234"/>
      <c r="H62" s="234"/>
      <c r="I62" s="234"/>
      <c r="J62" s="234"/>
    </row>
    <row r="63" spans="1:10" x14ac:dyDescent="0.25">
      <c r="A63" s="240" t="str">
        <f ca="1">IF(INDIRECT("B11")=FALSE,";","")&amp;"+AllowedWeapons=(SlotType=eInvSlot_SecondaryWeapon, WeaponType=""grenade_launcher"")"</f>
        <v>;+AllowedWeapons=(SlotType=eInvSlot_SecondaryWeapon, WeaponType="grenade_launcher")</v>
      </c>
      <c r="B63" s="234" t="s">
        <v>340</v>
      </c>
      <c r="C63" s="234"/>
      <c r="D63" s="234"/>
      <c r="E63" s="248" t="str">
        <f ca="1">IF(INDIRECT("V18")&lt;&gt;"","RandomNickNames[14]="""&amp;INDIRECT("V18")&amp;"""","")</f>
        <v>RandomNickNames[14]="Genius"</v>
      </c>
      <c r="F63" s="234" t="s">
        <v>340</v>
      </c>
      <c r="G63" s="234"/>
      <c r="H63" s="234"/>
      <c r="I63" s="234"/>
      <c r="J63" s="234"/>
    </row>
    <row r="64" spans="1:10" x14ac:dyDescent="0.25">
      <c r="A64" s="240" t="str">
        <f ca="1">IF(INDIRECT("B12")=FALSE,";","")&amp;"+AllowedWeapons=(SlotType=eInvSlot_SecondaryWeapon, WeaponType=""gremlin"")"</f>
        <v>;+AllowedWeapons=(SlotType=eInvSlot_SecondaryWeapon, WeaponType="gremlin")</v>
      </c>
      <c r="B64" s="234" t="s">
        <v>340</v>
      </c>
      <c r="C64" s="234"/>
      <c r="D64" s="234"/>
      <c r="E64" s="248" t="str">
        <f ca="1">IF(INDIRECT("V19")&lt;&gt;"","RandomNickNames[15]="""&amp;INDIRECT("V19")&amp;"""","")</f>
        <v>RandomNickNames[15]="Gizmo"</v>
      </c>
      <c r="F64" s="234" t="s">
        <v>340</v>
      </c>
      <c r="G64" s="234"/>
      <c r="H64" s="234"/>
      <c r="I64" s="234"/>
      <c r="J64" s="234"/>
    </row>
    <row r="65" spans="1:10" x14ac:dyDescent="0.25">
      <c r="A65" s="240" t="str">
        <f ca="1">IF(INDIRECT("B13")=FALSE,";","")&amp;"+AllowedWeapons=(SlotType=eInvSlot_SecondaryWeapon, WeaponType=""sword"")"</f>
        <v>;+AllowedWeapons=(SlotType=eInvSlot_SecondaryWeapon, WeaponType="sword")</v>
      </c>
      <c r="B65" s="234" t="s">
        <v>340</v>
      </c>
      <c r="C65" s="234"/>
      <c r="D65" s="234"/>
      <c r="E65" s="248" t="str">
        <f ca="1">IF(INDIRECT("V20")&lt;&gt;"","RandomNickNames[16]="""&amp;INDIRECT("V20")&amp;"""","")</f>
        <v>RandomNickNames[16]="Jester"</v>
      </c>
      <c r="F65" s="234" t="s">
        <v>340</v>
      </c>
      <c r="G65" s="234"/>
      <c r="H65" s="234"/>
      <c r="I65" s="234"/>
      <c r="J65" s="234"/>
    </row>
    <row r="66" spans="1:10" x14ac:dyDescent="0.25">
      <c r="A66" s="240" t="str">
        <f ca="1">IF(INDIRECT("B14")=FALSE,";","")&amp;"+AllowedWeapons=(SlotType=eInvSlot_SecondaryWeapon, WeaponType=""sawedoffshotgun"")"</f>
        <v>+AllowedWeapons=(SlotType=eInvSlot_SecondaryWeapon, WeaponType="sawedoffshotgun")</v>
      </c>
      <c r="B66" s="234" t="s">
        <v>340</v>
      </c>
      <c r="C66" s="234"/>
      <c r="D66" s="234"/>
      <c r="E66" s="248" t="str">
        <f ca="1">IF(INDIRECT("V21")&lt;&gt;"","RandomNickNames[17]="""&amp;INDIRECT("V21")&amp;"""","")</f>
        <v>RandomNickNames[17]="Jolt"</v>
      </c>
      <c r="F66" s="234" t="s">
        <v>340</v>
      </c>
      <c r="G66" s="234"/>
      <c r="H66" s="234"/>
      <c r="I66" s="234"/>
      <c r="J66" s="234"/>
    </row>
    <row r="67" spans="1:10" x14ac:dyDescent="0.25">
      <c r="A67" s="240" t="str">
        <f ca="1">IF(INDIRECT("B15")=FALSE,";","")&amp;"+AllowedWeapons=(SlotType=eInvSlot_SecondaryWeapon, WeaponType=""arcthrower"")"</f>
        <v>;+AllowedWeapons=(SlotType=eInvSlot_SecondaryWeapon, WeaponType="arcthrower")</v>
      </c>
      <c r="B67" s="234" t="s">
        <v>340</v>
      </c>
      <c r="C67" s="234"/>
      <c r="D67" s="234"/>
      <c r="E67" s="248" t="str">
        <f ca="1">IF(INDIRECT("V22")&lt;&gt;"","RandomNickNames[18]="""&amp;INDIRECT("V22")&amp;"""","")</f>
        <v>RandomNickNames[18]="Lightning"</v>
      </c>
      <c r="F67" s="234" t="s">
        <v>340</v>
      </c>
      <c r="G67" s="234"/>
      <c r="H67" s="234"/>
      <c r="I67" s="234"/>
      <c r="J67" s="234"/>
    </row>
    <row r="68" spans="1:10" x14ac:dyDescent="0.25">
      <c r="A68" s="240" t="str">
        <f ca="1">IF(INDIRECT("B16")=FALSE,";","")&amp;"+AllowedWeapons=(SlotType=eInvSlot_SecondaryWeapon, WeaponType=""holotargeter"")"</f>
        <v>;+AllowedWeapons=(SlotType=eInvSlot_SecondaryWeapon, WeaponType="holotargeter")</v>
      </c>
      <c r="B68" s="234" t="s">
        <v>340</v>
      </c>
      <c r="C68" s="234"/>
      <c r="D68" s="234"/>
      <c r="E68" s="248" t="str">
        <f ca="1">IF(INDIRECT("V23")&lt;&gt;"","RandomNickNames[19]="""&amp;INDIRECT("V23")&amp;"""","")</f>
        <v>RandomNickNames[19]="Mayday"</v>
      </c>
      <c r="F68" s="234" t="s">
        <v>340</v>
      </c>
      <c r="G68" s="234"/>
      <c r="H68" s="234"/>
      <c r="I68" s="234"/>
      <c r="J68" s="234"/>
    </row>
    <row r="69" spans="1:10" x14ac:dyDescent="0.25">
      <c r="A69" s="240" t="str">
        <f ca="1">IF(INDIRECT("B17")=FALSE,";","")&amp;"+AllowedWeapons=(SlotType=eInvSlot_SecondaryWeapon, WeaponType=""psiamp"")"</f>
        <v>;+AllowedWeapons=(SlotType=eInvSlot_SecondaryWeapon, WeaponType="psiamp")</v>
      </c>
      <c r="B69" s="234" t="s">
        <v>340</v>
      </c>
      <c r="C69" s="234"/>
      <c r="D69" s="234"/>
      <c r="E69" s="248" t="str">
        <f ca="1">IF(INDIRECT("V24")&lt;&gt;"","RandomNickNames[20]="""&amp;INDIRECT("V24")&amp;"""","")</f>
        <v>RandomNickNames[20]="Mega"</v>
      </c>
      <c r="F69" s="234" t="s">
        <v>340</v>
      </c>
      <c r="G69" s="234"/>
      <c r="H69" s="234"/>
      <c r="I69" s="234"/>
      <c r="J69" s="234"/>
    </row>
    <row r="70" spans="1:10" x14ac:dyDescent="0.25">
      <c r="A70" s="240" t="str">
        <f ca="1">IF(INDIRECT("B9")=FALSE,";","")&amp;"+AllowedWeapons=(SlotType=eInvSlot_HeavyWeapon, WeaponType=""heavyammo"")"</f>
        <v>;+AllowedWeapons=(SlotType=eInvSlot_HeavyWeapon, WeaponType="heavyammo")</v>
      </c>
      <c r="B70" s="234" t="s">
        <v>340</v>
      </c>
      <c r="C70" s="234"/>
      <c r="D70" s="234"/>
      <c r="E70" s="248" t="str">
        <f ca="1">IF(INDIRECT("V25")&lt;&gt;"","RandomNickNames[21]="""&amp;INDIRECT("V25")&amp;"""","")</f>
        <v>RandomNickNames[21]="Newton"</v>
      </c>
      <c r="F70" s="234" t="s">
        <v>340</v>
      </c>
      <c r="G70" s="234"/>
      <c r="H70" s="234"/>
      <c r="I70" s="234"/>
      <c r="J70" s="234"/>
    </row>
    <row r="71" spans="1:10" x14ac:dyDescent="0.25">
      <c r="A71" s="240" t="str">
        <f ca="1">IF(INDIRECT("B9")=TRUE,";","")&amp;"+AllowedWeapons=(SlotType=eInvSlot_HeavyWeapon, WeaponType=""heavy"")"</f>
        <v>+AllowedWeapons=(SlotType=eInvSlot_HeavyWeapon, WeaponType="heavy")</v>
      </c>
      <c r="B71" s="234" t="s">
        <v>340</v>
      </c>
      <c r="C71" s="234"/>
      <c r="D71" s="234"/>
      <c r="E71" s="248" t="str">
        <f ca="1">IF(INDIRECT("V26")&lt;&gt;"","RandomNickNames[22]="""&amp;INDIRECT("V26")&amp;"""","")</f>
        <v>RandomNickNames[22]="Ragtime"</v>
      </c>
      <c r="F71" s="234" t="s">
        <v>340</v>
      </c>
      <c r="G71" s="234"/>
      <c r="H71" s="234"/>
      <c r="I71" s="234"/>
      <c r="J71" s="234"/>
    </row>
    <row r="72" spans="1:10" x14ac:dyDescent="0.25">
      <c r="A72" s="240" t="str">
        <f ca="1">"+AllowedArmors="&amp;INDIRECT("E13")</f>
        <v>+AllowedArmors=soldier</v>
      </c>
      <c r="B72" s="234" t="s">
        <v>340</v>
      </c>
      <c r="C72" s="234"/>
      <c r="D72" s="234"/>
      <c r="E72" s="248" t="str">
        <f ca="1">IF(INDIRECT("V27")&lt;&gt;"","RandomNickNames[23]="""&amp;INDIRECT("V27")&amp;"""","")</f>
        <v>RandomNickNames[23]="Rascal"</v>
      </c>
      <c r="F72" s="234" t="s">
        <v>340</v>
      </c>
      <c r="G72" s="234"/>
      <c r="H72" s="234"/>
      <c r="I72" s="234"/>
      <c r="J72" s="234"/>
    </row>
    <row r="73" spans="1:10" x14ac:dyDescent="0.25">
      <c r="A73" s="240" t="str">
        <f>"; squaddie"</f>
        <v>; squaddie</v>
      </c>
      <c r="B73" s="234" t="s">
        <v>340</v>
      </c>
      <c r="C73" s="234"/>
      <c r="D73" s="234"/>
      <c r="E73" s="248" t="str">
        <f ca="1">IF(INDIRECT("V28")&lt;&gt;"","RandomNickNames[24]="""&amp;INDIRECT("V28")&amp;"""","")</f>
        <v>RandomNickNames[24]="Rattler"</v>
      </c>
      <c r="F73" s="234" t="s">
        <v>340</v>
      </c>
      <c r="G73" s="234"/>
      <c r="H73" s="234"/>
      <c r="I73" s="234"/>
      <c r="J73" s="234"/>
    </row>
    <row r="74" spans="1:10" x14ac:dyDescent="0.25">
      <c r="A74" s="240" t="str">
        <f ca="1">"+SoldierRanks=(  aAbilityTree=( (AbilityName="""&amp;VLOOKUP(INDIRECT("F4"),Abilities,2,FALSE)&amp;""""&amp;IF(VLOOKUP(INDIRECT("F4"),Abilities,3,FALSE)="","",", ApplyToWeaponSlot=eInvSlot_"&amp;VLOOKUP(INDIRECT("F4"),Abilities,3,FALSE))&amp;"), \\"</f>
        <v>+SoldierRanks=(  aAbilityTree=( (AbilityName="PointBlank", ApplyToWeaponSlot=eInvSlot_SecondaryWeapon), \\</v>
      </c>
      <c r="B74" s="234" t="s">
        <v>340</v>
      </c>
      <c r="C74" s="234"/>
      <c r="D74" s="234"/>
      <c r="E74" s="248" t="str">
        <f ca="1">IF(INDIRECT("V29")&lt;&gt;"","RandomNickNames[25]="""&amp;INDIRECT("V29")&amp;"""","")</f>
        <v>RandomNickNames[25]="Revelation"</v>
      </c>
      <c r="F74" s="234" t="s">
        <v>340</v>
      </c>
      <c r="G74" s="234"/>
      <c r="H74" s="234"/>
      <c r="I74" s="234"/>
      <c r="J74" s="234"/>
    </row>
    <row r="75" spans="1:10" x14ac:dyDescent="0.25">
      <c r="A75" s="240" t="str">
        <f ca="1">IF(INDIRECT("I4")="","\\","(AbilityName="""&amp;VLOOKUP(INDIRECT("I4"),Abilities,2,FALSE)&amp;""""&amp;IF(VLOOKUP(INDIRECT("I4"),Abilities,3,FALSE)="","",", ApplyToWeaponSlot=eInvSlot_"&amp;VLOOKUP(INDIRECT("I4"),Abilities,3,FALSE))&amp;"), \\")</f>
        <v>(AbilityName="BothBarrels", ApplyToWeaponSlot=eInvSlot_SecondaryWeapon), \\</v>
      </c>
      <c r="B75" s="234" t="s">
        <v>340</v>
      </c>
      <c r="C75" s="234"/>
      <c r="D75" s="234"/>
      <c r="E75" s="248" t="str">
        <f ca="1">IF(INDIRECT("V30")&lt;&gt;"","RandomNickNames[26]="""&amp;INDIRECT("V30")&amp;"""","")</f>
        <v>RandomNickNames[26]="Skipper"</v>
      </c>
      <c r="F75" s="234" t="s">
        <v>340</v>
      </c>
      <c r="G75" s="234"/>
      <c r="H75" s="234"/>
      <c r="I75" s="234"/>
      <c r="J75" s="234"/>
    </row>
    <row r="76" spans="1:10" x14ac:dyDescent="0.25">
      <c r="A76" s="240" t="str">
        <f ca="1">IF(INDIRECT("L4")="","\\","(AbilityName="""&amp;VLOOKUP(INDIRECT("L4"),Abilities,2,FALSE)&amp;""""&amp;IF(VLOOKUP(INDIRECT("L4"),Abilities,3,FALSE)="","",", ApplyToWeaponSlot=eInvSlot_"&amp;VLOOKUP(INDIRECT("L4"),Abilities,3,FALSE))&amp;"), \\")</f>
        <v>(AbilityName="LightEmUp", ApplyToWeaponSlot=eInvSlot_PrimaryWeapon), \\</v>
      </c>
      <c r="B76" s="234" t="s">
        <v>340</v>
      </c>
      <c r="C76" s="234"/>
      <c r="D76" s="234"/>
      <c r="E76" s="248" t="str">
        <f ca="1">IF(INDIRECT("V31")&lt;&gt;"","RandomNickNames[27]="""&amp;INDIRECT("V31")&amp;"""","")</f>
        <v>RandomNickNames[27]="Thunder"</v>
      </c>
      <c r="F76" s="234" t="s">
        <v>340</v>
      </c>
      <c r="G76" s="234"/>
      <c r="H76" s="234"/>
      <c r="I76" s="234"/>
      <c r="J76" s="234"/>
    </row>
    <row r="77" spans="1:10" x14ac:dyDescent="0.25">
      <c r="A77" s="240" t="str">
        <f ca="1">IF(INDIRECT("F7")="","\\","(AbilityName="""&amp;VLOOKUP(INDIRECT("F7"),Abilities,2,FALSE)&amp;""""&amp;IF(VLOOKUP(INDIRECT("F7"),Abilities,3,FALSE)="","",", ApplyToWeaponSlot=eInvSlot_"&amp;VLOOKUP(INDIRECT("F7"),Abilities,3,FALSE))&amp;"), \\")</f>
        <v>\\</v>
      </c>
      <c r="B77" s="234" t="s">
        <v>340</v>
      </c>
      <c r="C77" s="234"/>
      <c r="D77" s="234"/>
      <c r="E77" s="248" t="str">
        <f ca="1">IF(INDIRECT("V32")&lt;&gt;"","RandomNickNames[28]="""&amp;INDIRECT("V32")&amp;"""","")</f>
        <v>RandomNickNames[28]="Undertaker"</v>
      </c>
      <c r="F77" s="234" t="s">
        <v>340</v>
      </c>
      <c r="G77" s="234"/>
      <c r="H77" s="234"/>
      <c r="I77" s="234"/>
      <c r="J77" s="234"/>
    </row>
    <row r="78" spans="1:10" x14ac:dyDescent="0.25">
      <c r="A78" s="240" t="str">
        <f ca="1">IF(INDIRECT("I7")="","\\","(AbilityName="""&amp;VLOOKUP(INDIRECT("I7"),Abilities,2,FALSE)&amp;""""&amp;IF(VLOOKUP(INDIRECT("I7"),Abilities,3,FALSE)="","",", ApplyToWeaponSlot=eInvSlot_"&amp;VLOOKUP(INDIRECT("I7"),Abilities,3,FALSE))&amp;"), \\")</f>
        <v>\\</v>
      </c>
      <c r="B78" s="234" t="s">
        <v>340</v>
      </c>
      <c r="C78" s="234"/>
      <c r="D78" s="234"/>
      <c r="E78" s="248" t="str">
        <f ca="1">IF(INDIRECT("V33")&lt;&gt;"","RandomNickNames[29]="""&amp;INDIRECT("V33")&amp;"""","")</f>
        <v>RandomNickNames[29]="War"</v>
      </c>
      <c r="F78" s="234" t="s">
        <v>340</v>
      </c>
      <c r="G78" s="234"/>
      <c r="H78" s="234"/>
      <c r="I78" s="234"/>
      <c r="J78" s="234"/>
    </row>
    <row r="79" spans="1:10" x14ac:dyDescent="0.25">
      <c r="A79" s="240" t="str">
        <f ca="1">IF(INDIRECT("L7")="","\\","(AbilityName="""&amp;VLOOKUP(INDIRECT("L7"),Abilities,2,FALSE)&amp;""""&amp;IF(VLOOKUP(INDIRECT("L7"),Abilities,3,FALSE)="","",", ApplyToWeaponSlot=eInvSlot_"&amp;VLOOKUP(INDIRECT("L7"),Abilities,3,FALSE))&amp;"), \\")</f>
        <v>\\</v>
      </c>
      <c r="B79" s="234" t="s">
        <v>340</v>
      </c>
      <c r="C79" s="234"/>
      <c r="D79" s="234"/>
      <c r="E79" s="248" t="str">
        <f ca="1">IF(INDIRECT("V34")&lt;&gt;"","RandomNickNames[30]="""&amp;INDIRECT("V34")&amp;"""","")</f>
        <v>RandomNickNames[30]="Whoopsie"</v>
      </c>
      <c r="F79" s="234" t="s">
        <v>340</v>
      </c>
      <c r="G79" s="234"/>
      <c r="H79" s="234"/>
      <c r="I79" s="234"/>
      <c r="J79" s="234"/>
    </row>
    <row r="80" spans="1:10" x14ac:dyDescent="0.25">
      <c r="A80" s="240" t="s">
        <v>337</v>
      </c>
      <c r="B80" s="234" t="s">
        <v>340</v>
      </c>
      <c r="C80" s="234"/>
      <c r="D80" s="234"/>
      <c r="E80" s="248" t="str">
        <f ca="1">IF(INDIRECT("V35")&lt;&gt;"","RandomNickNames[31]="""&amp;INDIRECT("V35")&amp;"""","")</f>
        <v>RandomNickNames[31]="Zulu"</v>
      </c>
      <c r="F80" s="234" t="s">
        <v>340</v>
      </c>
      <c r="G80" s="234"/>
      <c r="H80" s="234"/>
      <c r="I80" s="234"/>
      <c r="J80" s="234"/>
    </row>
    <row r="81" spans="1:10" x14ac:dyDescent="0.25">
      <c r="A81" s="240"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aStatProgression=((StatType=eStat_Offense,StatAmount=3), (StatType=eStat_HP,StatAmount=0), (StatType=eStat_Hacking,StatAmount=0), (StatType=eStat_CombatSims,StatAmount=1), (StatType=eStat_Will,StatAmount=4)),\\</v>
      </c>
      <c r="B81" s="234" t="s">
        <v>340</v>
      </c>
      <c r="C81" s="234"/>
      <c r="D81" s="234"/>
      <c r="E81" s="248" t="str">
        <f>"; Male Nicknames"</f>
        <v>; Male Nicknames</v>
      </c>
      <c r="F81" s="234" t="s">
        <v>340</v>
      </c>
      <c r="G81" s="234"/>
      <c r="H81" s="234"/>
      <c r="I81" s="234"/>
      <c r="J81" s="234"/>
    </row>
    <row r="82" spans="1:10" x14ac:dyDescent="0.25">
      <c r="A82" s="240" t="s">
        <v>338</v>
      </c>
      <c r="B82" s="234" t="s">
        <v>340</v>
      </c>
      <c r="C82" s="234"/>
      <c r="D82" s="234"/>
      <c r="E82" s="248" t="str">
        <f ca="1">IF(INDIRECT("X4")&lt;&gt;"","RandomNickNames_Male[0]="""&amp;INDIRECT("X4")&amp;"""","")</f>
        <v>RandomNickNames_Male[0]="Candyman"</v>
      </c>
      <c r="F82" s="234" t="s">
        <v>340</v>
      </c>
      <c r="G82" s="234"/>
      <c r="H82" s="234"/>
      <c r="I82" s="234"/>
      <c r="J82" s="234"/>
    </row>
    <row r="83" spans="1:10" x14ac:dyDescent="0.25">
      <c r="A83" s="240" t="str">
        <f>"; lance corporal"</f>
        <v>; lance corporal</v>
      </c>
      <c r="B83" s="234" t="s">
        <v>340</v>
      </c>
      <c r="C83" s="234"/>
      <c r="D83" s="234"/>
      <c r="E83" s="248" t="str">
        <f ca="1">IF(INDIRECT("X5")&lt;&gt;"","RandomNickNames_Male[1]="""&amp;INDIRECT("X5")&amp;"""","")</f>
        <v>RandomNickNames_Male[1]="Magic Man"</v>
      </c>
      <c r="F83" s="234" t="s">
        <v>340</v>
      </c>
      <c r="G83" s="234"/>
      <c r="H83" s="234"/>
      <c r="I83" s="234"/>
      <c r="J83" s="234"/>
    </row>
    <row r="84" spans="1:10" x14ac:dyDescent="0.25">
      <c r="A84" s="240" t="str">
        <f ca="1">"+SoldierRanks=(  aAbilityTree=( (AbilityName="""&amp;VLOOKUP(INDIRECT("F13"),Abilities,2,FALSE)&amp;""""&amp;IF(VLOOKUP(INDIRECT("F13"),Abilities,3,FALSE)="","",", ApplyToWeaponSlot=eInvSlot_"&amp;VLOOKUP(INDIRECT("F13"),Abilities,3,FALSE))&amp;"), \\"</f>
        <v>+SoldierRanks=(  aAbilityTree=( (AbilityName="CoolUnderPressure", ApplyToWeaponSlot=eInvSlot_PrimaryWeapon), \\</v>
      </c>
      <c r="B84" s="234" t="s">
        <v>340</v>
      </c>
      <c r="C84" s="234"/>
      <c r="D84" s="234"/>
      <c r="E84" s="248" t="str">
        <f ca="1">IF(INDIRECT("X6")&lt;&gt;"","RandomNickNames_Male[2]="""&amp;INDIRECT("X6")&amp;"""","")</f>
        <v>RandomNickNames_Male[2]="Priest"</v>
      </c>
      <c r="F84" s="234" t="s">
        <v>340</v>
      </c>
      <c r="G84" s="234"/>
      <c r="H84" s="234"/>
      <c r="I84" s="234"/>
      <c r="J84" s="234"/>
    </row>
    <row r="85" spans="1:10" x14ac:dyDescent="0.25">
      <c r="A85" s="240" t="str">
        <f ca="1">IF(INDIRECT("I13")="","\\","(AbilityName="""&amp;VLOOKUP(INDIRECT("I13"),Abilities,2,FALSE)&amp;""""&amp;IF(VLOOKUP(INDIRECT("I13"),Abilities,3,FALSE)="","",", ApplyToWeaponSlot=eInvSlot_"&amp;VLOOKUP(INDIRECT("I13"),Abilities,3,FALSE))&amp;"), \\")</f>
        <v>(AbilityName=" "), \\</v>
      </c>
      <c r="B85" s="234" t="s">
        <v>340</v>
      </c>
      <c r="C85" s="234"/>
      <c r="D85" s="234"/>
      <c r="E85" s="248" t="str">
        <f ca="1">IF(INDIRECT("X7")&lt;&gt;"","RandomNickNames_Male[3]="""&amp;INDIRECT("X7")&amp;"""","")</f>
        <v>RandomNickNames_Male[3]="Rainman"</v>
      </c>
      <c r="F85" s="234" t="s">
        <v>340</v>
      </c>
      <c r="G85" s="234"/>
      <c r="H85" s="234"/>
      <c r="I85" s="234"/>
      <c r="J85" s="234"/>
    </row>
    <row r="86" spans="1:10" x14ac:dyDescent="0.25">
      <c r="A86" s="240" t="str">
        <f ca="1">IF(INDIRECT("L13")="","\\","(AbilityName="""&amp;VLOOKUP(INDIRECT("L13"),Abilities,2,FALSE)&amp;""""&amp;IF(VLOOKUP(INDIRECT("L13"),Abilities,3,FALSE)="","",", ApplyToWeaponSlot=eInvSlot_"&amp;VLOOKUP(INDIRECT("L13"),Abilities,3,FALSE))&amp;"), \\")</f>
        <v>(AbilityName="CoveringFire", ApplyToWeaponSlot=eInvSlot_PrimaryWeapon), \\</v>
      </c>
      <c r="B86" s="234" t="s">
        <v>340</v>
      </c>
      <c r="C86" s="234"/>
      <c r="D86" s="234"/>
      <c r="E86" s="248" t="str">
        <f ca="1">IF(INDIRECT("X8")&lt;&gt;"","RandomNickNames_Male[4]="""&amp;INDIRECT("X8")&amp;"""","")</f>
        <v>RandomNickNames_Male[4]="Rooster"</v>
      </c>
      <c r="F86" s="234" t="s">
        <v>340</v>
      </c>
      <c r="G86" s="234"/>
      <c r="H86" s="234"/>
      <c r="I86" s="234"/>
      <c r="J86" s="234"/>
    </row>
    <row r="87" spans="1:10" x14ac:dyDescent="0.25">
      <c r="A87" s="240" t="s">
        <v>337</v>
      </c>
      <c r="B87" s="234" t="s">
        <v>340</v>
      </c>
      <c r="C87" s="234"/>
      <c r="D87" s="234"/>
      <c r="E87" s="248" t="str">
        <f>"; Female Nicknames"</f>
        <v>; Female Nicknames</v>
      </c>
      <c r="F87" s="234" t="s">
        <v>340</v>
      </c>
      <c r="G87" s="234"/>
      <c r="H87" s="234"/>
      <c r="I87" s="234"/>
      <c r="J87" s="234"/>
    </row>
    <row r="88" spans="1:10" x14ac:dyDescent="0.25">
      <c r="A88" s="240"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(StatType=eStat_Will,StatAmount=4)),\\</v>
      </c>
      <c r="B88" s="234" t="s">
        <v>340</v>
      </c>
      <c r="C88" s="234"/>
      <c r="D88" s="234"/>
      <c r="E88" s="248" t="str">
        <f ca="1">IF(INDIRECT("X10")&lt;&gt;"","RandomNickNames_Female[0]="""&amp;INDIRECT("X10")&amp;"""","")</f>
        <v>RandomNickNames_Female[0]="Priestess"</v>
      </c>
      <c r="F88" s="234" t="s">
        <v>340</v>
      </c>
      <c r="G88" s="234"/>
      <c r="H88" s="234"/>
      <c r="I88" s="234"/>
      <c r="J88" s="234"/>
    </row>
    <row r="89" spans="1:10" x14ac:dyDescent="0.25">
      <c r="A89" s="240" t="s">
        <v>338</v>
      </c>
      <c r="B89" s="234" t="s">
        <v>340</v>
      </c>
      <c r="C89" s="234"/>
      <c r="D89" s="234"/>
      <c r="E89" s="248" t="str">
        <f ca="1">IF(INDIRECT("X11")&lt;&gt;"","RandomNickNames_Female[1]="""&amp;INDIRECT("X11")&amp;"""","")</f>
        <v>RandomNickNames_Female[1]="Wolfmother"</v>
      </c>
      <c r="F89" s="234" t="s">
        <v>340</v>
      </c>
      <c r="G89" s="234"/>
      <c r="H89" s="234"/>
      <c r="I89" s="234"/>
      <c r="J89" s="234"/>
    </row>
    <row r="90" spans="1:10" x14ac:dyDescent="0.25">
      <c r="A90" s="240" t="str">
        <f>"; corporal"</f>
        <v>; corporal</v>
      </c>
      <c r="B90" s="234" t="s">
        <v>340</v>
      </c>
      <c r="C90" s="234"/>
      <c r="D90" s="234"/>
      <c r="E90" s="248" t="str">
        <f ca="1">IF(INDIRECT("X12")&lt;&gt;"","RandomNickNames_Female[2]="""&amp;INDIRECT("X12")&amp;"""","")</f>
        <v>RandomNickNames_Female[2]="Black Widow"</v>
      </c>
      <c r="F90" s="234" t="s">
        <v>340</v>
      </c>
      <c r="G90" s="234"/>
      <c r="H90" s="234"/>
      <c r="I90" s="234"/>
      <c r="J90" s="234"/>
    </row>
    <row r="91" spans="1:10" x14ac:dyDescent="0.25">
      <c r="A91" s="240" t="str">
        <f ca="1">"+SoldierRanks=(  aAbilityTree=( (AbilityName="""&amp;VLOOKUP(INDIRECT("F17"),Abilities,2,FALSE)&amp;""""&amp;IF(VLOOKUP(INDIRECT("F17"),Abilities,3,FALSE)="","",", ApplyToWeaponSlot=eInvSlot_"&amp;VLOOKUP(INDIRECT("F17"),Abilities,3,FALSE))&amp;"), \\"</f>
        <v>+SoldierRanks=(  aAbilityTree=( (AbilityName=" "), \\</v>
      </c>
      <c r="B91" s="234" t="s">
        <v>340</v>
      </c>
      <c r="C91" s="234"/>
      <c r="D91" s="234"/>
      <c r="E91" s="248" t="str">
        <f ca="1">IF(INDIRECT("X13")&lt;&gt;"","RandomNickNames_Female[3]="""&amp;INDIRECT("X13")&amp;"""","")</f>
        <v>RandomNickNames_Female[3]="Duchess"</v>
      </c>
      <c r="F91" s="234" t="s">
        <v>340</v>
      </c>
      <c r="G91" s="234"/>
      <c r="H91" s="234"/>
      <c r="I91" s="234"/>
      <c r="J91" s="234"/>
    </row>
    <row r="92" spans="1:10" ht="15.75" thickBot="1" x14ac:dyDescent="0.3">
      <c r="A92" s="240" t="str">
        <f ca="1">IF(INDIRECT("I17")="","\\","(AbilityName="""&amp;VLOOKUP(INDIRECT("I17"),Abilities,2,FALSE)&amp;""""&amp;IF(VLOOKUP(INDIRECT("I17"),Abilities,3,FALSE)="","",", ApplyToWeaponSlot=eInvSlot_"&amp;VLOOKUP(INDIRECT("I17"),Abilities,3,FALSE))&amp;"), \\")</f>
        <v>(AbilityName="CenterMass", ApplyToWeaponSlot=eInvSlot_PrimaryWeapon), \\</v>
      </c>
      <c r="B92" s="234" t="s">
        <v>340</v>
      </c>
      <c r="C92" s="234"/>
      <c r="D92" s="234"/>
      <c r="E92" s="249" t="str">
        <f ca="1">IF(INDIRECT("X14")&lt;&gt;"","RandomNickNames_Female[4]="""&amp;INDIRECT("X14")&amp;"""","")</f>
        <v>RandomNickNames_Female[4]="Queen"</v>
      </c>
      <c r="F92" s="234" t="s">
        <v>340</v>
      </c>
      <c r="G92" s="234"/>
      <c r="H92" s="234"/>
      <c r="I92" s="234"/>
      <c r="J92" s="234"/>
    </row>
    <row r="93" spans="1:10" x14ac:dyDescent="0.25">
      <c r="A93" s="240" t="str">
        <f ca="1">IF(INDIRECT("L17")="","\\","(AbilityName="""&amp;VLOOKUP(INDIRECT("L17"),Abilities,2,FALSE)&amp;""""&amp;IF(VLOOKUP(INDIRECT("L17"),Abilities,3,FALSE)="","",", ApplyToWeaponSlot=eInvSlot_"&amp;VLOOKUP(INDIRECT("L17"),Abilities,3,FALSE))&amp;"), \\")</f>
        <v>(AbilityName=" "), \\</v>
      </c>
      <c r="B93" s="234" t="s">
        <v>340</v>
      </c>
      <c r="C93" s="234"/>
      <c r="D93" s="234"/>
      <c r="E93" s="234"/>
      <c r="F93" s="234"/>
      <c r="G93" s="234"/>
      <c r="H93" s="234"/>
      <c r="I93" s="234"/>
      <c r="J93" s="234"/>
    </row>
    <row r="94" spans="1:10" x14ac:dyDescent="0.25">
      <c r="A94" s="240" t="s">
        <v>337</v>
      </c>
      <c r="B94" s="234" t="s">
        <v>340</v>
      </c>
      <c r="C94" s="234"/>
      <c r="D94" s="234"/>
      <c r="E94" s="234"/>
      <c r="F94" s="234"/>
      <c r="G94" s="234"/>
      <c r="H94" s="234"/>
      <c r="I94" s="234"/>
      <c r="J94" s="234"/>
    </row>
    <row r="95" spans="1:10" x14ac:dyDescent="0.25">
      <c r="A95" s="240"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aStatProgression=((StatType=eStat_Offense,StatAmount=3), (StatType=eStat_HP,StatAmount=0), (StatType=eStat_Hacking,StatAmount=0)),\\</v>
      </c>
      <c r="B95" s="234" t="s">
        <v>340</v>
      </c>
      <c r="C95" s="234"/>
      <c r="D95" s="234"/>
      <c r="E95" s="234"/>
      <c r="F95" s="234"/>
      <c r="G95" s="234"/>
      <c r="H95" s="234"/>
      <c r="I95" s="234"/>
      <c r="J95" s="234"/>
    </row>
    <row r="96" spans="1:10" x14ac:dyDescent="0.25">
      <c r="A96" s="240" t="s">
        <v>338</v>
      </c>
      <c r="B96" s="234" t="s">
        <v>340</v>
      </c>
      <c r="C96" s="234"/>
      <c r="D96" s="234"/>
      <c r="E96" s="234"/>
      <c r="F96" s="234"/>
      <c r="G96" s="234"/>
      <c r="H96" s="234"/>
      <c r="I96" s="234"/>
      <c r="J96" s="234"/>
    </row>
    <row r="97" spans="1:10" x14ac:dyDescent="0.25">
      <c r="A97" s="240" t="str">
        <f>"; sergeant"</f>
        <v>; sergeant</v>
      </c>
      <c r="B97" s="234" t="s">
        <v>340</v>
      </c>
      <c r="C97" s="234"/>
      <c r="D97" s="234"/>
      <c r="E97" s="234"/>
      <c r="F97" s="234"/>
      <c r="G97" s="234"/>
      <c r="H97" s="234"/>
      <c r="I97" s="234"/>
      <c r="J97" s="234"/>
    </row>
    <row r="98" spans="1:10" x14ac:dyDescent="0.25">
      <c r="A98" s="240" t="str">
        <f ca="1">"+SoldierRanks=(  aAbilityTree=( (AbilityName="""&amp;VLOOKUP(INDIRECT("F21"),Abilities,2,FALSE)&amp;""""&amp;IF(VLOOKUP(INDIRECT("F21"),Abilities,3,FALSE)="","",", ApplyToWeaponSlot=eInvSlot_"&amp;VLOOKUP(INDIRECT("F21"),Abilities,3,FALSE))&amp;"), \\"</f>
        <v>+SoldierRanks=(  aAbilityTree=( (AbilityName="GrazingFire", ApplyToWeaponSlot=eInvSlot_PrimaryWeapon), \\</v>
      </c>
      <c r="B98" s="234" t="s">
        <v>340</v>
      </c>
      <c r="C98" s="234"/>
      <c r="D98" s="234"/>
      <c r="E98" s="234"/>
      <c r="F98" s="234"/>
      <c r="G98" s="234"/>
      <c r="H98" s="234"/>
      <c r="I98" s="234"/>
      <c r="J98" s="234"/>
    </row>
    <row r="99" spans="1:10" x14ac:dyDescent="0.25">
      <c r="A99" s="240" t="str">
        <f ca="1">IF(INDIRECT("I21")="","\\","(AbilityName="""&amp;VLOOKUP(INDIRECT("I21"),Abilities,2,FALSE)&amp;""""&amp;IF(VLOOKUP(INDIRECT("I21"),Abilities,3,FALSE)="","",", ApplyToWeaponSlot=eInvSlot_"&amp;VLOOKUP(INDIRECT("I21"),Abilities,3,FALSE))&amp;"), \\")</f>
        <v>(AbilityName=" "), \\</v>
      </c>
      <c r="B99" s="234" t="s">
        <v>340</v>
      </c>
      <c r="C99" s="234"/>
      <c r="D99" s="234"/>
      <c r="E99" s="234"/>
      <c r="F99" s="234"/>
      <c r="G99" s="234"/>
      <c r="H99" s="234"/>
      <c r="I99" s="234"/>
      <c r="J99" s="234"/>
    </row>
    <row r="100" spans="1:10" x14ac:dyDescent="0.25">
      <c r="A100" s="240" t="str">
        <f ca="1">IF(INDIRECT("L21")="","\\","(AbilityName="""&amp;VLOOKUP(INDIRECT("L21"),Abilities,2,FALSE)&amp;""""&amp;IF(VLOOKUP(INDIRECT("L21"),Abilities,3,FALSE)="","",", ApplyToWeaponSlot=eInvSlot_"&amp;VLOOKUP(INDIRECT("L21"),Abilities,3,FALSE))&amp;"), \\")</f>
        <v>(AbilityName="Suppression_LW", ApplyToWeaponSlot=eInvSlot_PrimaryWeapon), \\</v>
      </c>
      <c r="B100" s="234" t="s">
        <v>340</v>
      </c>
      <c r="C100" s="234"/>
      <c r="D100" s="234"/>
      <c r="E100" s="234"/>
      <c r="F100" s="234"/>
      <c r="G100" s="234"/>
      <c r="H100" s="234"/>
      <c r="I100" s="234"/>
      <c r="J100" s="234"/>
    </row>
    <row r="101" spans="1:10" x14ac:dyDescent="0.25">
      <c r="A101" s="240" t="s">
        <v>337</v>
      </c>
      <c r="B101" s="234" t="s">
        <v>340</v>
      </c>
      <c r="C101" s="234"/>
      <c r="D101" s="234"/>
      <c r="E101" s="234"/>
      <c r="F101" s="234"/>
      <c r="G101" s="234"/>
      <c r="H101" s="234"/>
      <c r="I101" s="234"/>
      <c r="J101" s="234"/>
    </row>
    <row r="102" spans="1:10" x14ac:dyDescent="0.25">
      <c r="A102" s="240"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234" t="s">
        <v>340</v>
      </c>
      <c r="C102" s="234"/>
      <c r="D102" s="234"/>
      <c r="E102" s="234"/>
      <c r="F102" s="234"/>
      <c r="G102" s="234"/>
      <c r="H102" s="234"/>
      <c r="I102" s="234"/>
      <c r="J102" s="234"/>
    </row>
    <row r="103" spans="1:10" x14ac:dyDescent="0.25">
      <c r="A103" s="240" t="s">
        <v>338</v>
      </c>
      <c r="B103" s="234" t="s">
        <v>340</v>
      </c>
      <c r="C103" s="234"/>
      <c r="D103" s="234"/>
      <c r="E103" s="234"/>
      <c r="F103" s="234"/>
      <c r="G103" s="234"/>
      <c r="H103" s="234"/>
      <c r="I103" s="234"/>
      <c r="J103" s="234"/>
    </row>
    <row r="104" spans="1:10" x14ac:dyDescent="0.25">
      <c r="A104" s="240" t="str">
        <f>"; staff sergeant"</f>
        <v>; staff sergeant</v>
      </c>
      <c r="B104" s="234" t="s">
        <v>340</v>
      </c>
      <c r="C104" s="234"/>
      <c r="D104" s="234"/>
      <c r="E104" s="234"/>
      <c r="F104" s="234"/>
      <c r="G104" s="234"/>
      <c r="H104" s="234"/>
      <c r="I104" s="234"/>
      <c r="J104" s="234"/>
    </row>
    <row r="105" spans="1:10" x14ac:dyDescent="0.25">
      <c r="A105" s="240" t="str">
        <f ca="1">"+SoldierRanks=(  aAbilityTree=( (AbilityName="""&amp;VLOOKUP(INDIRECT("F25"),Abilities,2,FALSE)&amp;""""&amp;IF(VLOOKUP(INDIRECT("F25"),Abilities,3,FALSE)="","",", ApplyToWeaponSlot=eInvSlot_"&amp;VLOOKUP(INDIRECT("F25"),Abilities,3,FALSE))&amp;"), \\"</f>
        <v>+SoldierRanks=(  aAbilityTree=( (AbilityName="BringEmOn", ApplyToWeaponSlot=eInvSlot_Unknown), \\</v>
      </c>
      <c r="B105" s="234" t="s">
        <v>340</v>
      </c>
      <c r="C105" s="234"/>
      <c r="D105" s="234"/>
      <c r="E105" s="234"/>
      <c r="F105" s="234"/>
      <c r="G105" s="234"/>
      <c r="H105" s="234"/>
      <c r="I105" s="234"/>
      <c r="J105" s="234"/>
    </row>
    <row r="106" spans="1:10" x14ac:dyDescent="0.25">
      <c r="A106" s="240" t="str">
        <f ca="1">IF(INDIRECT("I25")="","\\","(AbilityName="""&amp;VLOOKUP(INDIRECT("I25"),Abilities,2,FALSE)&amp;""""&amp;IF(VLOOKUP(INDIRECT("I25"),Abilities,3,FALSE)="","",", ApplyToWeaponSlot=eInvSlot_"&amp;VLOOKUP(INDIRECT("I25"),Abilities,3,FALSE))&amp;"), \\")</f>
        <v>(AbilityName=" "), \\</v>
      </c>
      <c r="B106" s="234" t="s">
        <v>340</v>
      </c>
      <c r="C106" s="234"/>
      <c r="D106" s="234"/>
      <c r="E106" s="234"/>
      <c r="F106" s="234"/>
      <c r="G106" s="234"/>
      <c r="H106" s="234"/>
      <c r="I106" s="234"/>
      <c r="J106" s="234"/>
    </row>
    <row r="107" spans="1:10" x14ac:dyDescent="0.25">
      <c r="A107" s="240" t="str">
        <f ca="1">IF(INDIRECT("L25")="","\\","(AbilityName="""&amp;VLOOKUP(INDIRECT("L25"),Abilities,2,FALSE)&amp;""""&amp;IF(VLOOKUP(INDIRECT("L25"),Abilities,3,FALSE)="","",", ApplyToWeaponSlot=eInvSlot_"&amp;VLOOKUP(INDIRECT("L25"),Abilities,3,FALSE))&amp;"), \\")</f>
        <v>(AbilityName="Fortify"), \\</v>
      </c>
      <c r="B107" s="234" t="s">
        <v>340</v>
      </c>
      <c r="C107" s="234"/>
      <c r="D107" s="234"/>
      <c r="E107" s="234"/>
      <c r="F107" s="234"/>
      <c r="G107" s="234"/>
      <c r="H107" s="234"/>
      <c r="I107" s="234"/>
      <c r="J107" s="234"/>
    </row>
    <row r="108" spans="1:10" x14ac:dyDescent="0.25">
      <c r="A108" s="240" t="s">
        <v>337</v>
      </c>
      <c r="B108" s="234" t="s">
        <v>340</v>
      </c>
      <c r="C108" s="234"/>
      <c r="D108" s="234"/>
      <c r="E108" s="234"/>
      <c r="F108" s="234"/>
      <c r="G108" s="234"/>
      <c r="H108" s="234"/>
      <c r="I108" s="234"/>
      <c r="J108" s="234"/>
    </row>
    <row r="109" spans="1:10" x14ac:dyDescent="0.25">
      <c r="A109" s="240"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(StatType=eStat_HP,StatAmount=1), (StatType=eStat_Hacking,StatAmount=0)),\\</v>
      </c>
      <c r="B109" s="234" t="s">
        <v>340</v>
      </c>
      <c r="C109" s="234"/>
      <c r="D109" s="234"/>
      <c r="E109" s="234"/>
      <c r="F109" s="234"/>
      <c r="G109" s="234"/>
      <c r="H109" s="234"/>
      <c r="I109" s="234"/>
      <c r="J109" s="234"/>
    </row>
    <row r="110" spans="1:10" x14ac:dyDescent="0.25">
      <c r="A110" s="240" t="s">
        <v>338</v>
      </c>
      <c r="B110" s="234" t="s">
        <v>340</v>
      </c>
      <c r="C110" s="234"/>
      <c r="D110" s="234"/>
      <c r="E110" s="234"/>
      <c r="F110" s="234"/>
      <c r="G110" s="234"/>
      <c r="H110" s="234"/>
      <c r="I110" s="234"/>
      <c r="J110" s="234"/>
    </row>
    <row r="111" spans="1:10" x14ac:dyDescent="0.25">
      <c r="A111" s="240" t="str">
        <f>"; tech sergeant"</f>
        <v>; tech sergeant</v>
      </c>
      <c r="B111" s="234" t="s">
        <v>340</v>
      </c>
      <c r="C111" s="234"/>
      <c r="D111" s="234"/>
      <c r="E111" s="234"/>
      <c r="F111" s="234"/>
      <c r="G111" s="234"/>
      <c r="H111" s="234"/>
      <c r="I111" s="234"/>
      <c r="J111" s="234"/>
    </row>
    <row r="112" spans="1:10" x14ac:dyDescent="0.25">
      <c r="A112" s="240" t="str">
        <f ca="1">"+SoldierRanks=(  aAbilityTree=( (AbilityName="""&amp;VLOOKUP(INDIRECT("F29"),Abilities,2,FALSE)&amp;""""&amp;IF(VLOOKUP(INDIRECT("F29"),Abilities,3,FALSE)="","",", ApplyToWeaponSlot=eInvSlot_"&amp;VLOOKUP(INDIRECT("F29"),Abilities,3,FALSE))&amp;"), \\"</f>
        <v>+SoldierRanks=(  aAbilityTree=( (AbilityName="Lethal", ApplyToWeaponSlot=eInvSlot_PrimaryWeapon), \\</v>
      </c>
      <c r="B112" s="234" t="s">
        <v>340</v>
      </c>
      <c r="C112" s="234"/>
      <c r="D112" s="234"/>
      <c r="E112" s="234"/>
      <c r="F112" s="234"/>
      <c r="G112" s="234"/>
      <c r="H112" s="234"/>
      <c r="I112" s="234"/>
      <c r="J112" s="234"/>
    </row>
    <row r="113" spans="1:10" x14ac:dyDescent="0.25">
      <c r="A113" s="240" t="str">
        <f ca="1">IF(INDIRECT("I29")="","\\","(AbilityName="""&amp;VLOOKUP(INDIRECT("I29"),Abilities,2,FALSE)&amp;""""&amp;IF(VLOOKUP(INDIRECT("I29"),Abilities,3,FALSE)="","",", ApplyToWeaponSlot=eInvSlot_"&amp;VLOOKUP(INDIRECT("I29"),Abilities,3,FALSE))&amp;"), \\")</f>
        <v>(AbilityName=" "), \\</v>
      </c>
      <c r="B113" s="234" t="s">
        <v>340</v>
      </c>
      <c r="C113" s="234"/>
      <c r="D113" s="234"/>
      <c r="E113" s="234"/>
      <c r="F113" s="234"/>
      <c r="G113" s="234"/>
      <c r="H113" s="234"/>
      <c r="I113" s="234"/>
      <c r="J113" s="234"/>
    </row>
    <row r="114" spans="1:10" x14ac:dyDescent="0.25">
      <c r="A114" s="240" t="str">
        <f ca="1">IF(INDIRECT("L29")="","\\","(AbilityName="""&amp;VLOOKUP(INDIRECT("L29"),Abilities,2,FALSE)&amp;""""&amp;IF(VLOOKUP(INDIRECT("L29"),Abilities,3,FALSE)="","",", ApplyToWeaponSlot=eInvSlot_"&amp;VLOOKUP(INDIRECT("L29"),Abilities,3,FALSE))&amp;"), \\")</f>
        <v>(AbilityName="ShadowOps_ReadyForAnything", ApplyToWeaponSlot=eInvSlot_PrimaryWeapon), \\</v>
      </c>
      <c r="B114" s="234" t="s">
        <v>340</v>
      </c>
      <c r="C114" s="234"/>
      <c r="D114" s="234"/>
      <c r="E114" s="234"/>
      <c r="F114" s="234"/>
      <c r="G114" s="234"/>
      <c r="H114" s="234"/>
      <c r="I114" s="234"/>
      <c r="J114" s="234"/>
    </row>
    <row r="115" spans="1:10" x14ac:dyDescent="0.25">
      <c r="A115" s="240" t="s">
        <v>337</v>
      </c>
      <c r="B115" s="234" t="s">
        <v>340</v>
      </c>
      <c r="C115" s="234"/>
      <c r="D115" s="234"/>
      <c r="E115" s="234"/>
      <c r="F115" s="234"/>
      <c r="G115" s="234"/>
      <c r="H115" s="234"/>
      <c r="I115" s="234"/>
      <c r="J115" s="234"/>
    </row>
    <row r="116" spans="1:10" x14ac:dyDescent="0.25">
      <c r="A116" s="240"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234" t="s">
        <v>340</v>
      </c>
      <c r="C116" s="234"/>
      <c r="D116" s="234"/>
      <c r="E116" s="234"/>
      <c r="F116" s="234"/>
      <c r="G116" s="234"/>
      <c r="H116" s="234"/>
      <c r="I116" s="234"/>
      <c r="J116" s="234"/>
    </row>
    <row r="117" spans="1:10" x14ac:dyDescent="0.25">
      <c r="A117" s="240" t="s">
        <v>338</v>
      </c>
      <c r="B117" s="234" t="s">
        <v>340</v>
      </c>
      <c r="C117" s="234"/>
      <c r="D117" s="234"/>
      <c r="E117" s="234"/>
      <c r="F117" s="234"/>
      <c r="G117" s="234"/>
      <c r="H117" s="234"/>
      <c r="I117" s="234"/>
      <c r="J117" s="234"/>
    </row>
    <row r="118" spans="1:10" x14ac:dyDescent="0.25">
      <c r="A118" s="240" t="str">
        <f>";  gunnery sergeant"</f>
        <v>;  gunnery sergeant</v>
      </c>
      <c r="B118" s="234" t="s">
        <v>340</v>
      </c>
      <c r="C118" s="234"/>
      <c r="D118" s="234"/>
      <c r="E118" s="234"/>
      <c r="F118" s="234"/>
      <c r="G118" s="234"/>
      <c r="H118" s="234"/>
      <c r="I118" s="234"/>
      <c r="J118" s="234"/>
    </row>
    <row r="119" spans="1:10" x14ac:dyDescent="0.25">
      <c r="A119" s="240" t="str">
        <f ca="1">"+SoldierRanks=(  aAbilityTree=( (AbilityName="""&amp;VLOOKUP(INDIRECT("F33"),Abilities,2,FALSE)&amp;""""&amp;IF(VLOOKUP(INDIRECT("F33"),Abilities,3,FALSE)="","",", ApplyToWeaponSlot=eInvSlot_"&amp;VLOOKUP(INDIRECT("F33"),Abilities,3,FALSE))&amp;"), \\"</f>
        <v>+SoldierRanks=(  aAbilityTree=( (AbilityName=" "), \\</v>
      </c>
      <c r="B119" s="234" t="s">
        <v>340</v>
      </c>
      <c r="C119" s="234"/>
      <c r="D119" s="234"/>
      <c r="E119" s="234"/>
      <c r="F119" s="234"/>
      <c r="G119" s="234"/>
      <c r="H119" s="234"/>
      <c r="I119" s="234"/>
      <c r="J119" s="234"/>
    </row>
    <row r="120" spans="1:10" x14ac:dyDescent="0.25">
      <c r="A120" s="240" t="str">
        <f ca="1">IF(INDIRECT("I33")="","\\","(AbilityName="""&amp;VLOOKUP(INDIRECT("I33"),Abilities,2,FALSE)&amp;""""&amp;IF(VLOOKUP(INDIRECT("I33"),Abilities,3,FALSE)="","",", ApplyToWeaponSlot=eInvSlot_"&amp;VLOOKUP(INDIRECT("I33"),Abilities,3,FALSE))&amp;"), \\")</f>
        <v>(AbilityName="RapidFire", ApplyToWeaponSlot=eInvSlot_PrimaryWeapon), \\</v>
      </c>
      <c r="B120" s="234" t="s">
        <v>340</v>
      </c>
      <c r="C120" s="234"/>
      <c r="D120" s="234"/>
      <c r="E120" s="234"/>
      <c r="F120" s="234"/>
      <c r="G120" s="234"/>
      <c r="H120" s="234"/>
      <c r="I120" s="234"/>
      <c r="J120" s="234"/>
    </row>
    <row r="121" spans="1:10" x14ac:dyDescent="0.25">
      <c r="A121" s="240" t="str">
        <f ca="1">IF(INDIRECT("L33")="","\\","(AbilityName="""&amp;VLOOKUP(INDIRECT("L33"),Abilities,2,FALSE)&amp;""""&amp;IF(VLOOKUP(INDIRECT("L33"),Abilities,3,FALSE)="","",", ApplyToWeaponSlot=eInvSlot_"&amp;VLOOKUP(INDIRECT("L33"),Abilities,3,FALSE))&amp;"), \\")</f>
        <v>(AbilityName=" "), \\</v>
      </c>
      <c r="B121" s="234" t="s">
        <v>340</v>
      </c>
      <c r="C121" s="234"/>
      <c r="D121" s="234"/>
      <c r="E121" s="234"/>
      <c r="F121" s="234"/>
      <c r="G121" s="234"/>
      <c r="H121" s="234"/>
      <c r="I121" s="234"/>
      <c r="J121" s="234"/>
    </row>
    <row r="122" spans="1:10" x14ac:dyDescent="0.25">
      <c r="A122" s="240" t="s">
        <v>337</v>
      </c>
      <c r="B122" s="234" t="s">
        <v>340</v>
      </c>
      <c r="C122" s="234"/>
      <c r="D122" s="234"/>
      <c r="E122" s="234"/>
      <c r="F122" s="234"/>
      <c r="G122" s="234"/>
      <c r="H122" s="234"/>
      <c r="I122" s="234"/>
      <c r="J122" s="234"/>
    </row>
    <row r="123" spans="1:10" x14ac:dyDescent="0.25">
      <c r="A123" s="240"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(StatType=eStat_HP,StatAmount=0), (StatType=eStat_Hacking,StatAmount=0)),\\</v>
      </c>
      <c r="B123" s="234" t="s">
        <v>340</v>
      </c>
      <c r="C123" s="234"/>
      <c r="D123" s="234"/>
      <c r="E123" s="234"/>
      <c r="F123" s="234"/>
      <c r="G123" s="234"/>
      <c r="H123" s="234"/>
      <c r="I123" s="234"/>
      <c r="J123" s="234"/>
    </row>
    <row r="124" spans="1:10" x14ac:dyDescent="0.25">
      <c r="A124" s="240" t="s">
        <v>338</v>
      </c>
      <c r="B124" s="234" t="s">
        <v>340</v>
      </c>
      <c r="C124" s="234"/>
      <c r="D124" s="234"/>
      <c r="E124" s="234"/>
      <c r="F124" s="234"/>
      <c r="G124" s="234"/>
      <c r="H124" s="234"/>
      <c r="I124" s="234"/>
      <c r="J124" s="234"/>
    </row>
    <row r="125" spans="1:10" x14ac:dyDescent="0.25">
      <c r="A125" s="240" t="str">
        <f>"; master sergeant"</f>
        <v>; master sergeant</v>
      </c>
      <c r="B125" s="234" t="s">
        <v>340</v>
      </c>
      <c r="C125" s="234"/>
      <c r="D125" s="234"/>
      <c r="E125" s="234"/>
      <c r="F125" s="234"/>
      <c r="G125" s="234"/>
      <c r="H125" s="234"/>
      <c r="I125" s="234"/>
      <c r="J125" s="234"/>
    </row>
    <row r="126" spans="1:10" x14ac:dyDescent="0.25">
      <c r="A126" s="240" t="str">
        <f ca="1">"+SoldierRanks=(  aAbilityTree=( (AbilityName="""&amp;VLOOKUP(INDIRECT("F37"),Abilities,2,FALSE)&amp;""""&amp;IF(VLOOKUP(INDIRECT("F37"),Abilities,3,FALSE)="","",", ApplyToWeaponSlot=eInvSlot_"&amp;VLOOKUP(INDIRECT("F37"),Abilities,3,FALSE))&amp;"), \\"</f>
        <v>+SoldierRanks=(  aAbilityTree=( (AbilityName="CombatFitness"), \\</v>
      </c>
      <c r="B126" s="234" t="s">
        <v>340</v>
      </c>
      <c r="C126" s="234"/>
      <c r="D126" s="234"/>
      <c r="E126" s="234"/>
      <c r="F126" s="234"/>
      <c r="G126" s="234"/>
      <c r="H126" s="234"/>
      <c r="I126" s="234"/>
      <c r="J126" s="234"/>
    </row>
    <row r="127" spans="1:10" x14ac:dyDescent="0.25">
      <c r="A127" s="240" t="str">
        <f ca="1">IF(INDIRECT("I37")="","\\","(AbilityName="""&amp;VLOOKUP(INDIRECT("I37"),Abilities,2,FALSE)&amp;""""&amp;IF(VLOOKUP(INDIRECT("I37"),Abilities,3,FALSE)="","",", ApplyToWeaponSlot=eInvSlot_"&amp;VLOOKUP(INDIRECT("I37"),Abilities,3,FALSE))&amp;"), \\")</f>
        <v>(AbilityName=" "), \\</v>
      </c>
      <c r="B127" s="234" t="s">
        <v>340</v>
      </c>
      <c r="C127" s="234"/>
      <c r="D127" s="234"/>
      <c r="E127" s="234"/>
      <c r="F127" s="234"/>
      <c r="G127" s="234"/>
      <c r="H127" s="234"/>
      <c r="I127" s="234"/>
      <c r="J127" s="234"/>
    </row>
    <row r="128" spans="1:10" x14ac:dyDescent="0.25">
      <c r="A128" s="240" t="str">
        <f ca="1">IF(INDIRECT("L37")="","\\","(AbilityName="""&amp;VLOOKUP(INDIRECT("L37"),Abilities,2,FALSE)&amp;""""&amp;IF(VLOOKUP(INDIRECT("L37"),Abilities,3,FALSE)="","",", ApplyToWeaponSlot=eInvSlot_"&amp;VLOOKUP(INDIRECT("L37"),Abilities,3,FALSE))&amp;"), \\")</f>
        <v>(AbilityName="RapidReaction", ApplyToWeaponSlot=eInvSlot_PrimaryWeapon), \\</v>
      </c>
      <c r="B128" s="234" t="s">
        <v>340</v>
      </c>
      <c r="C128" s="234"/>
      <c r="D128" s="234"/>
      <c r="E128" s="234"/>
      <c r="F128" s="234"/>
      <c r="G128" s="234"/>
      <c r="H128" s="234"/>
      <c r="I128" s="234"/>
      <c r="J128" s="234"/>
    </row>
    <row r="129" spans="1:10" x14ac:dyDescent="0.25">
      <c r="A129" s="240" t="s">
        <v>337</v>
      </c>
      <c r="B129" s="234" t="s">
        <v>340</v>
      </c>
      <c r="C129" s="234"/>
      <c r="D129" s="234"/>
      <c r="E129" s="234"/>
      <c r="F129" s="234"/>
      <c r="G129" s="234"/>
      <c r="H129" s="234"/>
      <c r="I129" s="234"/>
      <c r="J129" s="234"/>
    </row>
    <row r="130" spans="1:10" x14ac:dyDescent="0.25">
      <c r="A130" s="240"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234" t="s">
        <v>340</v>
      </c>
      <c r="C130" s="234"/>
      <c r="D130" s="234"/>
      <c r="E130" s="234"/>
      <c r="F130" s="234"/>
      <c r="G130" s="234"/>
      <c r="H130" s="234"/>
      <c r="I130" s="234"/>
      <c r="J130" s="234"/>
    </row>
    <row r="131" spans="1:10" ht="15.75" thickBot="1" x14ac:dyDescent="0.3">
      <c r="A131" s="241" t="s">
        <v>338</v>
      </c>
      <c r="B131" s="234" t="s">
        <v>340</v>
      </c>
      <c r="C131" s="234"/>
      <c r="D131" s="234"/>
      <c r="E131" s="234"/>
      <c r="F131" s="234"/>
      <c r="G131" s="234"/>
      <c r="H131" s="234"/>
      <c r="I131" s="234"/>
      <c r="J131" s="234"/>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I37:J37"/>
    <mergeCell ref="F17:G17"/>
    <mergeCell ref="I17:J17"/>
    <mergeCell ref="L17:M1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L37:M37"/>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A40:B41"/>
    <mergeCell ref="C40:E41"/>
    <mergeCell ref="A42:B42"/>
    <mergeCell ref="C42:D42"/>
    <mergeCell ref="E42:F42"/>
    <mergeCell ref="F38:H39"/>
    <mergeCell ref="I38:K39"/>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8786"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8787"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8788"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8789"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8790"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8791"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8792"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8793"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8794"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8795"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8796"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8797"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90" t="s">
        <v>308</v>
      </c>
      <c r="B1" s="91"/>
      <c r="C1" s="94" t="s">
        <v>580</v>
      </c>
      <c r="D1" s="95"/>
      <c r="E1" s="95"/>
      <c r="F1" s="98" t="s">
        <v>324</v>
      </c>
      <c r="G1" s="99"/>
      <c r="H1" s="99"/>
      <c r="I1" s="99"/>
      <c r="J1" s="99"/>
      <c r="K1" s="99"/>
      <c r="L1" s="99"/>
      <c r="M1" s="99"/>
      <c r="N1" s="99"/>
      <c r="O1" s="100" t="s">
        <v>325</v>
      </c>
      <c r="P1" s="101"/>
      <c r="Q1" s="101"/>
      <c r="R1" s="101"/>
      <c r="S1" s="101"/>
      <c r="T1" s="101"/>
      <c r="U1" s="102"/>
      <c r="V1" s="196" t="s">
        <v>776</v>
      </c>
      <c r="W1" s="197"/>
      <c r="X1" s="197"/>
      <c r="Y1" s="197"/>
    </row>
    <row r="2" spans="1:25" ht="15" customHeight="1" thickBot="1" x14ac:dyDescent="0.3">
      <c r="A2" s="92"/>
      <c r="B2" s="93"/>
      <c r="C2" s="96"/>
      <c r="D2" s="97"/>
      <c r="E2" s="97"/>
      <c r="F2" s="98"/>
      <c r="G2" s="99"/>
      <c r="H2" s="99"/>
      <c r="I2" s="99"/>
      <c r="J2" s="99"/>
      <c r="K2" s="99"/>
      <c r="L2" s="99"/>
      <c r="M2" s="99"/>
      <c r="N2" s="99"/>
      <c r="O2" s="103"/>
      <c r="P2" s="104"/>
      <c r="Q2" s="104"/>
      <c r="R2" s="104"/>
      <c r="S2" s="104"/>
      <c r="T2" s="104"/>
      <c r="U2" s="105"/>
      <c r="V2" s="198"/>
      <c r="W2" s="199"/>
      <c r="X2" s="199"/>
      <c r="Y2" s="199"/>
    </row>
    <row r="3" spans="1:25" ht="18" thickBot="1" x14ac:dyDescent="0.35">
      <c r="A3" s="106" t="s">
        <v>309</v>
      </c>
      <c r="B3" s="107"/>
      <c r="C3" s="108" t="str">
        <f>Output!$L$1&amp;SUBSTITUTE(C1," ","")</f>
        <v>LWD_Recon</v>
      </c>
      <c r="D3" s="109"/>
      <c r="E3" s="109"/>
      <c r="F3" s="110" t="s">
        <v>12</v>
      </c>
      <c r="G3" s="111"/>
      <c r="H3" s="111"/>
      <c r="I3" s="111"/>
      <c r="J3" s="111"/>
      <c r="K3" s="111"/>
      <c r="L3" s="111"/>
      <c r="M3" s="111"/>
      <c r="N3" s="112"/>
      <c r="O3" s="15"/>
      <c r="P3" s="16" t="s">
        <v>79</v>
      </c>
      <c r="Q3" s="17" t="s">
        <v>326</v>
      </c>
      <c r="R3" s="17" t="s">
        <v>328</v>
      </c>
      <c r="S3" s="17" t="s">
        <v>327</v>
      </c>
      <c r="T3" s="17" t="s">
        <v>330</v>
      </c>
      <c r="U3" s="18" t="s">
        <v>329</v>
      </c>
      <c r="V3" s="200" t="s">
        <v>810</v>
      </c>
      <c r="W3" s="201"/>
      <c r="X3" s="200" t="s">
        <v>811</v>
      </c>
      <c r="Y3" s="201"/>
    </row>
    <row r="4" spans="1:25" ht="18" thickTop="1" x14ac:dyDescent="0.3">
      <c r="A4" s="113" t="s">
        <v>310</v>
      </c>
      <c r="B4" s="114"/>
      <c r="C4" s="115" t="s">
        <v>314</v>
      </c>
      <c r="D4" s="116"/>
      <c r="E4" s="116"/>
      <c r="F4" s="119" t="s">
        <v>104</v>
      </c>
      <c r="G4" s="120"/>
      <c r="H4" s="4" t="str">
        <f>IFERROR(VLOOKUP(F4,Abilities,4,FALSE),"")</f>
        <v>Spark</v>
      </c>
      <c r="I4" s="121" t="s">
        <v>600</v>
      </c>
      <c r="J4" s="120"/>
      <c r="K4" s="35" t="str">
        <f>IFERROR(VLOOKUP(I4,Abilities,4,FALSE),"")</f>
        <v>SOLW</v>
      </c>
      <c r="L4" s="122"/>
      <c r="M4" s="120"/>
      <c r="N4" s="10" t="str">
        <f>IFERROR(VLOOKUP(L4,Abilities,4,FALSE),"")</f>
        <v/>
      </c>
      <c r="O4" s="19" t="s">
        <v>12</v>
      </c>
      <c r="P4" s="4">
        <v>3</v>
      </c>
      <c r="Q4" s="20">
        <v>0</v>
      </c>
      <c r="R4" s="20"/>
      <c r="S4" s="4">
        <v>5</v>
      </c>
      <c r="T4" s="4">
        <v>1</v>
      </c>
      <c r="U4" s="10"/>
      <c r="V4" s="192" t="s">
        <v>777</v>
      </c>
      <c r="W4" s="193"/>
      <c r="X4" s="192" t="s">
        <v>801</v>
      </c>
      <c r="Y4" s="193"/>
    </row>
    <row r="5" spans="1:25" ht="15" customHeight="1" x14ac:dyDescent="0.25">
      <c r="A5" s="6"/>
      <c r="B5" s="5" t="b">
        <v>1</v>
      </c>
      <c r="C5" s="117"/>
      <c r="D5" s="118"/>
      <c r="E5" s="118"/>
      <c r="F5" s="123">
        <f>IFERROR(VLOOKUP(F4,Abilities,7,FALSE),"")</f>
        <v>0</v>
      </c>
      <c r="G5" s="124"/>
      <c r="H5" s="125"/>
      <c r="I5" s="129" t="str">
        <f>IFERROR(VLOOKUP(I4,Abilities,7,FALSE),"")</f>
        <v>If you begin your turn with no enemies able to see you, you gain concealment. This effect has a 2 turn cooldown.</v>
      </c>
      <c r="J5" s="130"/>
      <c r="K5" s="131"/>
      <c r="L5" s="130" t="str">
        <f>IFERROR(VLOOKUP(L4,Abilities,7,FALSE),"")</f>
        <v/>
      </c>
      <c r="M5" s="130"/>
      <c r="N5" s="135"/>
      <c r="O5" s="26" t="s">
        <v>456</v>
      </c>
      <c r="P5" s="27">
        <v>2</v>
      </c>
      <c r="Q5" s="28">
        <v>0</v>
      </c>
      <c r="R5" s="28"/>
      <c r="S5" s="27">
        <v>5</v>
      </c>
      <c r="T5" s="27"/>
      <c r="U5" s="29"/>
      <c r="V5" s="190" t="s">
        <v>876</v>
      </c>
      <c r="W5" s="191"/>
      <c r="X5" s="190" t="s">
        <v>802</v>
      </c>
      <c r="Y5" s="191"/>
    </row>
    <row r="6" spans="1:25" ht="15" customHeight="1" x14ac:dyDescent="0.25">
      <c r="A6" s="6"/>
      <c r="B6" s="5" t="b">
        <v>0</v>
      </c>
      <c r="C6" s="137" t="s">
        <v>315</v>
      </c>
      <c r="D6" s="138"/>
      <c r="E6" s="11">
        <v>0</v>
      </c>
      <c r="F6" s="126"/>
      <c r="G6" s="127"/>
      <c r="H6" s="128"/>
      <c r="I6" s="132"/>
      <c r="J6" s="133"/>
      <c r="K6" s="134"/>
      <c r="L6" s="133"/>
      <c r="M6" s="133"/>
      <c r="N6" s="136"/>
      <c r="O6" s="19" t="s">
        <v>15</v>
      </c>
      <c r="P6" s="4">
        <v>3</v>
      </c>
      <c r="Q6" s="20">
        <v>1</v>
      </c>
      <c r="R6" s="20"/>
      <c r="S6" s="4">
        <v>5</v>
      </c>
      <c r="T6" s="4"/>
      <c r="U6" s="10"/>
      <c r="V6" s="190" t="s">
        <v>778</v>
      </c>
      <c r="W6" s="191"/>
      <c r="X6" s="192" t="s">
        <v>803</v>
      </c>
      <c r="Y6" s="193"/>
    </row>
    <row r="7" spans="1:25" ht="15" customHeight="1" x14ac:dyDescent="0.25">
      <c r="A7" s="6"/>
      <c r="B7" s="5" t="b">
        <v>0</v>
      </c>
      <c r="C7" s="137" t="s">
        <v>316</v>
      </c>
      <c r="D7" s="138"/>
      <c r="E7" s="11">
        <v>4</v>
      </c>
      <c r="F7" s="139"/>
      <c r="G7" s="140"/>
      <c r="H7" s="4" t="str">
        <f>IFERROR(VLOOKUP(F7,Abilities,4,FALSE),"")</f>
        <v/>
      </c>
      <c r="I7" s="141"/>
      <c r="J7" s="140"/>
      <c r="K7" s="4" t="str">
        <f>IFERROR(VLOOKUP(I7,Abilities,4,FALSE),"")</f>
        <v/>
      </c>
      <c r="L7" s="142"/>
      <c r="M7" s="140"/>
      <c r="N7" s="10" t="str">
        <f>IFERROR(VLOOKUP(L7,Abilities,4,FALSE),"")</f>
        <v/>
      </c>
      <c r="O7" s="26" t="s">
        <v>21</v>
      </c>
      <c r="P7" s="27">
        <v>2</v>
      </c>
      <c r="Q7" s="28">
        <v>0</v>
      </c>
      <c r="R7" s="28"/>
      <c r="S7" s="27">
        <v>5</v>
      </c>
      <c r="T7" s="27"/>
      <c r="U7" s="29"/>
      <c r="V7" s="192" t="s">
        <v>779</v>
      </c>
      <c r="W7" s="193"/>
      <c r="X7" s="190" t="s">
        <v>804</v>
      </c>
      <c r="Y7" s="191"/>
    </row>
    <row r="8" spans="1:25" ht="15" customHeight="1" thickBot="1" x14ac:dyDescent="0.3">
      <c r="A8" s="6"/>
      <c r="B8" s="5" t="b">
        <v>0</v>
      </c>
      <c r="C8" s="137" t="s">
        <v>317</v>
      </c>
      <c r="D8" s="143"/>
      <c r="E8" s="12" t="s">
        <v>759</v>
      </c>
      <c r="F8" s="144" t="str">
        <f>IFERROR(VLOOKUP(F7,Abilities,7,FALSE),"")</f>
        <v/>
      </c>
      <c r="G8" s="130"/>
      <c r="H8" s="131"/>
      <c r="I8" s="129" t="str">
        <f>IFERROR(VLOOKUP(I7,Abilities,7,FALSE),"")</f>
        <v/>
      </c>
      <c r="J8" s="130"/>
      <c r="K8" s="131"/>
      <c r="L8" s="130" t="str">
        <f>IFERROR(VLOOKUP(L7,Abilities,7,FALSE),"")</f>
        <v/>
      </c>
      <c r="M8" s="130"/>
      <c r="N8" s="135"/>
      <c r="O8" s="21" t="s">
        <v>457</v>
      </c>
      <c r="P8" s="4">
        <v>3</v>
      </c>
      <c r="Q8" s="20">
        <v>0</v>
      </c>
      <c r="R8" s="20"/>
      <c r="S8" s="4">
        <v>5</v>
      </c>
      <c r="T8" s="4"/>
      <c r="U8" s="10"/>
      <c r="V8" s="190" t="s">
        <v>780</v>
      </c>
      <c r="W8" s="191"/>
      <c r="X8" s="192" t="s">
        <v>805</v>
      </c>
      <c r="Y8" s="193"/>
    </row>
    <row r="9" spans="1:25" ht="15.75" thickBot="1" x14ac:dyDescent="0.3">
      <c r="A9" s="6"/>
      <c r="B9" s="5" t="b">
        <v>0</v>
      </c>
      <c r="C9" s="137" t="s">
        <v>319</v>
      </c>
      <c r="D9" s="143"/>
      <c r="E9" s="12">
        <v>1</v>
      </c>
      <c r="F9" s="145"/>
      <c r="G9" s="133"/>
      <c r="H9" s="134"/>
      <c r="I9" s="146"/>
      <c r="J9" s="147"/>
      <c r="K9" s="148"/>
      <c r="L9" s="133"/>
      <c r="M9" s="133"/>
      <c r="N9" s="136"/>
      <c r="O9" s="26" t="s">
        <v>458</v>
      </c>
      <c r="P9" s="27">
        <v>2</v>
      </c>
      <c r="Q9" s="28">
        <v>0</v>
      </c>
      <c r="R9" s="28"/>
      <c r="S9" s="27">
        <v>5</v>
      </c>
      <c r="T9" s="27"/>
      <c r="U9" s="29"/>
      <c r="V9" s="192" t="s">
        <v>781</v>
      </c>
      <c r="W9" s="193"/>
      <c r="X9" s="200" t="s">
        <v>812</v>
      </c>
      <c r="Y9" s="201"/>
    </row>
    <row r="10" spans="1:25" ht="18.75" x14ac:dyDescent="0.3">
      <c r="A10" s="6"/>
      <c r="B10" s="5" t="b">
        <v>0</v>
      </c>
      <c r="C10" s="137" t="s">
        <v>318</v>
      </c>
      <c r="D10" s="143"/>
      <c r="E10" s="12">
        <v>4</v>
      </c>
      <c r="F10" s="157" t="s">
        <v>311</v>
      </c>
      <c r="G10" s="158"/>
      <c r="H10" s="159"/>
      <c r="I10" s="160" t="s">
        <v>349</v>
      </c>
      <c r="J10" s="158"/>
      <c r="K10" s="159"/>
      <c r="L10" s="158" t="s">
        <v>312</v>
      </c>
      <c r="M10" s="158"/>
      <c r="N10" s="161"/>
      <c r="O10" s="36" t="s">
        <v>459</v>
      </c>
      <c r="P10" s="37">
        <v>3</v>
      </c>
      <c r="Q10" s="37">
        <v>1</v>
      </c>
      <c r="R10" s="37"/>
      <c r="S10" s="37">
        <v>5</v>
      </c>
      <c r="T10" s="37"/>
      <c r="U10" s="38"/>
      <c r="V10" s="190" t="s">
        <v>782</v>
      </c>
      <c r="W10" s="191"/>
      <c r="X10" s="192" t="s">
        <v>806</v>
      </c>
      <c r="Y10" s="193"/>
    </row>
    <row r="11" spans="1:25" ht="15.75" customHeight="1" thickBot="1" x14ac:dyDescent="0.3">
      <c r="A11" s="6"/>
      <c r="B11" s="5" t="b">
        <v>0</v>
      </c>
      <c r="C11" s="137" t="s">
        <v>320</v>
      </c>
      <c r="D11" s="143"/>
      <c r="E11" s="12">
        <v>3</v>
      </c>
      <c r="F11" s="162" t="s">
        <v>586</v>
      </c>
      <c r="G11" s="163"/>
      <c r="H11" s="164"/>
      <c r="I11" s="165"/>
      <c r="J11" s="163"/>
      <c r="K11" s="164"/>
      <c r="L11" s="163" t="s">
        <v>353</v>
      </c>
      <c r="M11" s="163"/>
      <c r="N11" s="166"/>
      <c r="O11" s="39" t="s">
        <v>460</v>
      </c>
      <c r="P11" s="40">
        <v>2</v>
      </c>
      <c r="Q11" s="41">
        <v>0</v>
      </c>
      <c r="R11" s="41"/>
      <c r="S11" s="40">
        <v>5</v>
      </c>
      <c r="T11" s="40"/>
      <c r="U11" s="42"/>
      <c r="V11" s="192" t="s">
        <v>824</v>
      </c>
      <c r="W11" s="193"/>
      <c r="X11" s="190" t="s">
        <v>807</v>
      </c>
      <c r="Y11" s="191"/>
    </row>
    <row r="12" spans="1:25" ht="18" customHeight="1" thickBot="1" x14ac:dyDescent="0.35">
      <c r="A12" s="6"/>
      <c r="B12" s="5" t="b">
        <v>0</v>
      </c>
      <c r="C12" s="137" t="s">
        <v>321</v>
      </c>
      <c r="D12" s="143"/>
      <c r="E12" s="12">
        <v>1</v>
      </c>
      <c r="F12" s="169" t="s">
        <v>443</v>
      </c>
      <c r="G12" s="170"/>
      <c r="H12" s="170"/>
      <c r="I12" s="170"/>
      <c r="J12" s="170"/>
      <c r="K12" s="170"/>
      <c r="L12" s="170"/>
      <c r="M12" s="170"/>
      <c r="N12" s="171"/>
      <c r="O12" s="149" t="s">
        <v>813</v>
      </c>
      <c r="P12" s="150"/>
      <c r="Q12" s="150"/>
      <c r="R12" s="150"/>
      <c r="S12" s="150"/>
      <c r="T12" s="150"/>
      <c r="U12" s="151"/>
      <c r="V12" s="192" t="s">
        <v>783</v>
      </c>
      <c r="W12" s="193"/>
      <c r="X12" s="192" t="s">
        <v>808</v>
      </c>
      <c r="Y12" s="193"/>
    </row>
    <row r="13" spans="1:25" ht="16.5" thickTop="1" thickBot="1" x14ac:dyDescent="0.3">
      <c r="A13" s="6"/>
      <c r="B13" s="5" t="b">
        <v>0</v>
      </c>
      <c r="C13" s="155" t="s">
        <v>322</v>
      </c>
      <c r="D13" s="156"/>
      <c r="E13" s="13" t="s">
        <v>323</v>
      </c>
      <c r="F13" s="119" t="s">
        <v>926</v>
      </c>
      <c r="G13" s="120"/>
      <c r="H13" s="4" t="str">
        <f>IFERROR(VLOOKUP(F13,Abilities,4,FALSE),"")</f>
        <v>LWD</v>
      </c>
      <c r="I13" s="121" t="s">
        <v>962</v>
      </c>
      <c r="J13" s="120"/>
      <c r="K13" s="35" t="str">
        <f>IFERROR(VLOOKUP(I13,Abilities,4,FALSE),"")</f>
        <v>BLANK</v>
      </c>
      <c r="L13" s="122" t="s">
        <v>429</v>
      </c>
      <c r="M13" s="120"/>
      <c r="N13" s="10" t="str">
        <f>IFERROR(VLOOKUP(L13,Abilities,4,FALSE),"")</f>
        <v>LW2</v>
      </c>
      <c r="O13" s="152"/>
      <c r="P13" s="153"/>
      <c r="Q13" s="153"/>
      <c r="R13" s="153"/>
      <c r="S13" s="153"/>
      <c r="T13" s="153"/>
      <c r="U13" s="154"/>
      <c r="V13" s="192" t="s">
        <v>877</v>
      </c>
      <c r="W13" s="193"/>
      <c r="X13" s="190" t="s">
        <v>809</v>
      </c>
      <c r="Y13" s="191"/>
    </row>
    <row r="14" spans="1:25" ht="15.75" thickBot="1" x14ac:dyDescent="0.3">
      <c r="A14" s="6"/>
      <c r="B14" s="7" t="b">
        <v>0</v>
      </c>
      <c r="F14" s="144" t="str">
        <f>IFERROR(VLOOKUP(F13,Abilities,7,FALSE),"")</f>
        <v>Scan for enemies in a large cone.</v>
      </c>
      <c r="G14" s="130"/>
      <c r="H14" s="131"/>
      <c r="I14" s="129" t="str">
        <f>IFERROR(VLOOKUP(I13,Abilities,7,FALSE),"")</f>
        <v xml:space="preserve"> </v>
      </c>
      <c r="J14" s="130"/>
      <c r="K14" s="131"/>
      <c r="L14" s="130">
        <f>IFERROR(VLOOKUP(L13,Abilities,7,FALSE),"")</f>
        <v>0</v>
      </c>
      <c r="M14" s="130"/>
      <c r="N14" s="135"/>
      <c r="O14" s="22"/>
      <c r="P14" s="23" t="s">
        <v>331</v>
      </c>
      <c r="Q14" s="24" t="s">
        <v>332</v>
      </c>
      <c r="R14" s="24" t="s">
        <v>333</v>
      </c>
      <c r="S14" s="24" t="s">
        <v>334</v>
      </c>
      <c r="T14" s="24" t="s">
        <v>336</v>
      </c>
      <c r="U14" s="25" t="s">
        <v>335</v>
      </c>
      <c r="V14" s="190" t="s">
        <v>784</v>
      </c>
      <c r="W14" s="191"/>
      <c r="X14" s="194" t="s">
        <v>814</v>
      </c>
      <c r="Y14" s="195"/>
    </row>
    <row r="15" spans="1:25" ht="15.75" thickBot="1" x14ac:dyDescent="0.3">
      <c r="A15" s="6"/>
      <c r="B15" s="7" t="b">
        <v>0</v>
      </c>
      <c r="F15" s="167"/>
      <c r="G15" s="147"/>
      <c r="H15" s="148"/>
      <c r="I15" s="146"/>
      <c r="J15" s="147"/>
      <c r="K15" s="148"/>
      <c r="L15" s="147"/>
      <c r="M15" s="147"/>
      <c r="N15" s="168"/>
      <c r="O15" s="19" t="s">
        <v>12</v>
      </c>
      <c r="P15" s="4"/>
      <c r="Q15" s="20">
        <v>3</v>
      </c>
      <c r="R15" s="20"/>
      <c r="S15" s="4"/>
      <c r="T15" s="4"/>
      <c r="U15" s="10"/>
      <c r="V15" s="190" t="s">
        <v>823</v>
      </c>
      <c r="W15" s="191"/>
    </row>
    <row r="16" spans="1:25" ht="18" thickBot="1" x14ac:dyDescent="0.35">
      <c r="A16" s="6"/>
      <c r="B16" s="7" t="b">
        <v>1</v>
      </c>
      <c r="F16" s="169" t="s">
        <v>15</v>
      </c>
      <c r="G16" s="170"/>
      <c r="H16" s="170"/>
      <c r="I16" s="170"/>
      <c r="J16" s="170"/>
      <c r="K16" s="170"/>
      <c r="L16" s="170"/>
      <c r="M16" s="170"/>
      <c r="N16" s="171"/>
      <c r="O16" s="26" t="s">
        <v>456</v>
      </c>
      <c r="P16" s="27"/>
      <c r="Q16" s="28">
        <v>3</v>
      </c>
      <c r="R16" s="28"/>
      <c r="S16" s="27"/>
      <c r="T16" s="27"/>
      <c r="U16" s="29"/>
      <c r="V16" s="190" t="s">
        <v>786</v>
      </c>
      <c r="W16" s="191"/>
    </row>
    <row r="17" spans="1:23" ht="16.5" thickTop="1" thickBot="1" x14ac:dyDescent="0.3">
      <c r="A17" s="8"/>
      <c r="B17" s="9" t="b">
        <v>0</v>
      </c>
      <c r="F17" s="121" t="s">
        <v>962</v>
      </c>
      <c r="G17" s="120"/>
      <c r="H17" s="4" t="str">
        <f>IFERROR(VLOOKUP(F17,Abilities,4,FALSE),"")</f>
        <v>BLANK</v>
      </c>
      <c r="I17" s="121" t="s">
        <v>928</v>
      </c>
      <c r="J17" s="120"/>
      <c r="K17" s="35" t="str">
        <f>IFERROR(VLOOKUP(I17,Abilities,4,FALSE),"")</f>
        <v>LWD</v>
      </c>
      <c r="L17" s="121" t="s">
        <v>962</v>
      </c>
      <c r="M17" s="120"/>
      <c r="N17" s="10" t="str">
        <f>IFERROR(VLOOKUP(L17,Abilities,4,FALSE),"")</f>
        <v>BLANK</v>
      </c>
      <c r="O17" s="19" t="s">
        <v>15</v>
      </c>
      <c r="P17" s="4"/>
      <c r="Q17" s="20"/>
      <c r="R17" s="20"/>
      <c r="S17" s="4"/>
      <c r="T17" s="4"/>
      <c r="U17" s="10"/>
      <c r="V17" s="192" t="s">
        <v>787</v>
      </c>
      <c r="W17" s="193"/>
    </row>
    <row r="18" spans="1:23" x14ac:dyDescent="0.25">
      <c r="A18" s="172" t="s">
        <v>344</v>
      </c>
      <c r="B18" s="173"/>
      <c r="F18" s="144" t="str">
        <f>IFERROR(VLOOKUP(F17,Abilities,7,FALSE),"")</f>
        <v xml:space="preserve"> </v>
      </c>
      <c r="G18" s="130"/>
      <c r="H18" s="131"/>
      <c r="I18" s="129" t="str">
        <f>IFERROR(VLOOKUP(I17,Abilities,7,FALSE),"")</f>
        <v>Your vision radius increases by 3 tiles, and your critical chance increases by 5%.</v>
      </c>
      <c r="J18" s="130"/>
      <c r="K18" s="131"/>
      <c r="L18" s="130" t="str">
        <f>IFERROR(VLOOKUP(L17,Abilities,7,FALSE),"")</f>
        <v xml:space="preserve"> </v>
      </c>
      <c r="M18" s="130"/>
      <c r="N18" s="135"/>
      <c r="O18" s="26" t="s">
        <v>21</v>
      </c>
      <c r="P18" s="27"/>
      <c r="Q18" s="28"/>
      <c r="R18" s="28"/>
      <c r="S18" s="27"/>
      <c r="T18" s="27"/>
      <c r="U18" s="29"/>
      <c r="V18" s="190" t="s">
        <v>788</v>
      </c>
      <c r="W18" s="191"/>
    </row>
    <row r="19" spans="1:23" ht="15.75" thickBot="1" x14ac:dyDescent="0.3">
      <c r="A19" s="174"/>
      <c r="B19" s="175"/>
      <c r="D19" s="3"/>
      <c r="F19" s="167"/>
      <c r="G19" s="147"/>
      <c r="H19" s="148"/>
      <c r="I19" s="146"/>
      <c r="J19" s="147"/>
      <c r="K19" s="148"/>
      <c r="L19" s="147"/>
      <c r="M19" s="147"/>
      <c r="N19" s="168"/>
      <c r="O19" s="21" t="s">
        <v>457</v>
      </c>
      <c r="P19" s="4"/>
      <c r="Q19" s="20"/>
      <c r="R19" s="20"/>
      <c r="S19" s="4"/>
      <c r="T19" s="4"/>
      <c r="U19" s="10"/>
      <c r="V19" s="192" t="s">
        <v>789</v>
      </c>
      <c r="W19" s="193"/>
    </row>
    <row r="20" spans="1:23" ht="18" thickBot="1" x14ac:dyDescent="0.35">
      <c r="A20" s="176" t="s">
        <v>918</v>
      </c>
      <c r="B20" s="177"/>
      <c r="C20" s="178"/>
      <c r="D20" s="178"/>
      <c r="E20" s="179"/>
      <c r="F20" s="169" t="s">
        <v>21</v>
      </c>
      <c r="G20" s="170"/>
      <c r="H20" s="170"/>
      <c r="I20" s="170"/>
      <c r="J20" s="170"/>
      <c r="K20" s="170"/>
      <c r="L20" s="170"/>
      <c r="M20" s="170"/>
      <c r="N20" s="171"/>
      <c r="O20" s="26" t="s">
        <v>458</v>
      </c>
      <c r="P20" s="27"/>
      <c r="Q20" s="28"/>
      <c r="R20" s="28"/>
      <c r="S20" s="27"/>
      <c r="T20" s="27"/>
      <c r="U20" s="29"/>
      <c r="V20" s="192" t="s">
        <v>790</v>
      </c>
      <c r="W20" s="193"/>
    </row>
    <row r="21" spans="1:23" ht="15.75" thickTop="1" x14ac:dyDescent="0.25">
      <c r="A21" s="176"/>
      <c r="B21" s="177"/>
      <c r="C21" s="177"/>
      <c r="D21" s="177"/>
      <c r="E21" s="180"/>
      <c r="F21" s="119" t="s">
        <v>607</v>
      </c>
      <c r="G21" s="120"/>
      <c r="H21" s="4" t="str">
        <f>IFERROR(VLOOKUP(F21,Abilities,4,FALSE),"")</f>
        <v>SOLW</v>
      </c>
      <c r="I21" s="121" t="s">
        <v>962</v>
      </c>
      <c r="J21" s="120"/>
      <c r="K21" s="35" t="str">
        <f>IFERROR(VLOOKUP(I21,Abilities,4,FALSE),"")</f>
        <v>BLANK</v>
      </c>
      <c r="L21" s="122" t="s">
        <v>426</v>
      </c>
      <c r="M21" s="120"/>
      <c r="N21" s="10" t="str">
        <f>IFERROR(VLOOKUP(L21,Abilities,4,FALSE),"")</f>
        <v>LW2</v>
      </c>
      <c r="O21" s="36" t="s">
        <v>459</v>
      </c>
      <c r="P21" s="37"/>
      <c r="Q21" s="37"/>
      <c r="R21" s="37"/>
      <c r="S21" s="37"/>
      <c r="T21" s="37"/>
      <c r="U21" s="38"/>
      <c r="V21" s="190" t="s">
        <v>791</v>
      </c>
      <c r="W21" s="191"/>
    </row>
    <row r="22" spans="1:23" ht="15.75" thickBot="1" x14ac:dyDescent="0.3">
      <c r="A22" s="181"/>
      <c r="B22" s="182"/>
      <c r="C22" s="182"/>
      <c r="D22" s="182"/>
      <c r="E22" s="183"/>
      <c r="F22" s="144" t="str">
        <f>IFERROR(VLOOKUP(F21,Abilities,7,FALSE),"")</f>
        <v>You detect nearby units even without line of sight.</v>
      </c>
      <c r="G22" s="130"/>
      <c r="H22" s="131"/>
      <c r="I22" s="129" t="str">
        <f>IFERROR(VLOOKUP(I21,Abilities,7,FALSE),"")</f>
        <v xml:space="preserve"> </v>
      </c>
      <c r="J22" s="130"/>
      <c r="K22" s="131"/>
      <c r="L22" s="130">
        <f>IFERROR(VLOOKUP(L21,Abilities,7,FALSE),"")</f>
        <v>0</v>
      </c>
      <c r="M22" s="130"/>
      <c r="N22" s="135"/>
      <c r="O22" s="39" t="s">
        <v>460</v>
      </c>
      <c r="P22" s="40"/>
      <c r="Q22" s="41"/>
      <c r="R22" s="41"/>
      <c r="S22" s="40"/>
      <c r="T22" s="40"/>
      <c r="U22" s="42"/>
      <c r="V22" s="192" t="s">
        <v>856</v>
      </c>
      <c r="W22" s="193"/>
    </row>
    <row r="23" spans="1:23" ht="15.75" thickBot="1" x14ac:dyDescent="0.3">
      <c r="A23" s="184" t="s">
        <v>352</v>
      </c>
      <c r="B23" s="185"/>
      <c r="C23" s="185"/>
      <c r="D23" s="185"/>
      <c r="E23" s="186"/>
      <c r="F23" s="167"/>
      <c r="G23" s="147"/>
      <c r="H23" s="148"/>
      <c r="I23" s="146"/>
      <c r="J23" s="147"/>
      <c r="K23" s="148"/>
      <c r="L23" s="147"/>
      <c r="M23" s="147"/>
      <c r="N23" s="168"/>
      <c r="O23" s="14"/>
      <c r="P23" s="14"/>
      <c r="Q23" s="3"/>
      <c r="V23" s="190" t="s">
        <v>793</v>
      </c>
      <c r="W23" s="191"/>
    </row>
    <row r="24" spans="1:23" ht="18" thickBot="1" x14ac:dyDescent="0.35">
      <c r="A24" s="187"/>
      <c r="B24" s="188"/>
      <c r="C24" s="188"/>
      <c r="D24" s="188"/>
      <c r="E24" s="189"/>
      <c r="F24" s="169" t="s">
        <v>444</v>
      </c>
      <c r="G24" s="170"/>
      <c r="H24" s="170"/>
      <c r="I24" s="170"/>
      <c r="J24" s="170"/>
      <c r="K24" s="170"/>
      <c r="L24" s="170"/>
      <c r="M24" s="170"/>
      <c r="N24" s="171"/>
      <c r="O24" s="14"/>
      <c r="P24" s="14"/>
      <c r="Q24" s="3"/>
      <c r="V24" s="192" t="s">
        <v>874</v>
      </c>
      <c r="W24" s="193"/>
    </row>
    <row r="25" spans="1:23" ht="15.75" thickTop="1" x14ac:dyDescent="0.25">
      <c r="A25" s="50"/>
      <c r="B25" s="51"/>
      <c r="C25" s="51"/>
      <c r="D25" s="51"/>
      <c r="E25" s="52"/>
      <c r="F25" s="119" t="s">
        <v>1061</v>
      </c>
      <c r="G25" s="120"/>
      <c r="H25" s="4" t="str">
        <f>IFERROR(VLOOKUP(F25,Abilities,4,FALSE),"")</f>
        <v>LWD</v>
      </c>
      <c r="I25" s="121" t="s">
        <v>962</v>
      </c>
      <c r="J25" s="120"/>
      <c r="K25" s="35" t="str">
        <f>IFERROR(VLOOKUP(I25,Abilities,4,FALSE),"")</f>
        <v>BLANK</v>
      </c>
      <c r="L25" s="122" t="s">
        <v>1063</v>
      </c>
      <c r="M25" s="120"/>
      <c r="N25" s="10" t="str">
        <f>IFERROR(VLOOKUP(L25,Abilities,4,FALSE),"")</f>
        <v>LWD</v>
      </c>
      <c r="O25" s="14"/>
      <c r="P25" s="14"/>
      <c r="Q25" s="3"/>
      <c r="V25" s="190" t="s">
        <v>795</v>
      </c>
      <c r="W25" s="191"/>
    </row>
    <row r="26" spans="1:23" x14ac:dyDescent="0.25">
      <c r="A26" s="50"/>
      <c r="B26" s="51"/>
      <c r="C26" s="51"/>
      <c r="D26" s="51"/>
      <c r="E26" s="52"/>
      <c r="F26" s="144" t="str">
        <f>IFERROR(VLOOKUP(F25,Abilities,7,FALSE),"")</f>
        <v xml:space="preserve">Entering overwatch increases your vision radius significantly. </v>
      </c>
      <c r="G26" s="130"/>
      <c r="H26" s="131"/>
      <c r="I26" s="129" t="str">
        <f>IFERROR(VLOOKUP(I25,Abilities,7,FALSE),"")</f>
        <v xml:space="preserve"> </v>
      </c>
      <c r="J26" s="130"/>
      <c r="K26" s="131"/>
      <c r="L26" s="130" t="str">
        <f>IFERROR(VLOOKUP(L25,Abilities,7,FALSE),"")</f>
        <v>Marking an enemy with your holotargeter increases your allies' defense against them.</v>
      </c>
      <c r="M26" s="130"/>
      <c r="N26" s="135"/>
      <c r="O26" s="14"/>
      <c r="P26" s="14"/>
      <c r="Q26" s="3"/>
      <c r="V26" s="190" t="s">
        <v>797</v>
      </c>
      <c r="W26" s="191"/>
    </row>
    <row r="27" spans="1:23" ht="15.75" thickBot="1" x14ac:dyDescent="0.3">
      <c r="A27" s="50"/>
      <c r="B27" s="51"/>
      <c r="C27" s="51"/>
      <c r="D27" s="51"/>
      <c r="E27" s="52"/>
      <c r="F27" s="167"/>
      <c r="G27" s="147"/>
      <c r="H27" s="148"/>
      <c r="I27" s="146"/>
      <c r="J27" s="147"/>
      <c r="K27" s="148"/>
      <c r="L27" s="147"/>
      <c r="M27" s="147"/>
      <c r="N27" s="168"/>
      <c r="O27" s="14"/>
      <c r="P27" s="14"/>
      <c r="Q27" s="3"/>
      <c r="V27" s="192" t="s">
        <v>798</v>
      </c>
      <c r="W27" s="193"/>
    </row>
    <row r="28" spans="1:23" ht="18" thickBot="1" x14ac:dyDescent="0.35">
      <c r="A28" s="50"/>
      <c r="B28" s="51"/>
      <c r="C28" s="51"/>
      <c r="D28" s="51"/>
      <c r="E28" s="52"/>
      <c r="F28" s="169" t="s">
        <v>445</v>
      </c>
      <c r="G28" s="170"/>
      <c r="H28" s="170"/>
      <c r="I28" s="170"/>
      <c r="J28" s="170"/>
      <c r="K28" s="170"/>
      <c r="L28" s="170"/>
      <c r="M28" s="170"/>
      <c r="N28" s="171"/>
      <c r="O28" s="14"/>
      <c r="P28" s="14"/>
      <c r="Q28" s="3"/>
      <c r="V28" s="190" t="s">
        <v>799</v>
      </c>
      <c r="W28" s="191"/>
    </row>
    <row r="29" spans="1:23" ht="15.75" thickTop="1" x14ac:dyDescent="0.25">
      <c r="A29" s="50"/>
      <c r="B29" s="51"/>
      <c r="C29" s="51"/>
      <c r="D29" s="51"/>
      <c r="E29" s="52"/>
      <c r="F29" s="119" t="s">
        <v>408</v>
      </c>
      <c r="G29" s="120"/>
      <c r="H29" s="4" t="str">
        <f>IFERROR(VLOOKUP(F29,Abilities,4,FALSE),"")</f>
        <v>LW2</v>
      </c>
      <c r="I29" s="121" t="s">
        <v>962</v>
      </c>
      <c r="J29" s="120"/>
      <c r="K29" s="35" t="str">
        <f>IFERROR(VLOOKUP(I29,Abilities,4,FALSE),"")</f>
        <v>BLANK</v>
      </c>
      <c r="L29" s="122" t="s">
        <v>425</v>
      </c>
      <c r="M29" s="120"/>
      <c r="N29" s="10" t="str">
        <f>IFERROR(VLOOKUP(L29,Abilities,4,FALSE),"")</f>
        <v>LW2</v>
      </c>
      <c r="O29" s="14"/>
      <c r="P29" s="14"/>
      <c r="Q29" s="3"/>
      <c r="V29" s="190" t="s">
        <v>825</v>
      </c>
      <c r="W29" s="191"/>
    </row>
    <row r="30" spans="1:23" x14ac:dyDescent="0.25">
      <c r="A30" s="50"/>
      <c r="B30" s="51"/>
      <c r="C30" s="51"/>
      <c r="D30" s="51"/>
      <c r="E30" s="52"/>
      <c r="F30" s="144">
        <f>IFERROR(VLOOKUP(F29,Abilities,7,FALSE),"")</f>
        <v>0</v>
      </c>
      <c r="G30" s="130"/>
      <c r="H30" s="131"/>
      <c r="I30" s="129" t="str">
        <f>IFERROR(VLOOKUP(I29,Abilities,7,FALSE),"")</f>
        <v xml:space="preserve"> </v>
      </c>
      <c r="J30" s="130"/>
      <c r="K30" s="131"/>
      <c r="L30" s="130">
        <f>IFERROR(VLOOKUP(L29,Abilities,7,FALSE),"")</f>
        <v>0</v>
      </c>
      <c r="M30" s="130"/>
      <c r="N30" s="135"/>
      <c r="O30" s="14"/>
      <c r="P30" s="14"/>
      <c r="Q30" s="3"/>
      <c r="V30" s="190" t="s">
        <v>819</v>
      </c>
      <c r="W30" s="191"/>
    </row>
    <row r="31" spans="1:23" ht="15.75" thickBot="1" x14ac:dyDescent="0.3">
      <c r="A31" s="50"/>
      <c r="B31" s="51"/>
      <c r="C31" s="51"/>
      <c r="D31" s="51"/>
      <c r="E31" s="52"/>
      <c r="F31" s="167"/>
      <c r="G31" s="147"/>
      <c r="H31" s="148"/>
      <c r="I31" s="146"/>
      <c r="J31" s="147"/>
      <c r="K31" s="148"/>
      <c r="L31" s="147"/>
      <c r="M31" s="147"/>
      <c r="N31" s="168"/>
      <c r="O31" s="14"/>
      <c r="P31" s="14"/>
      <c r="Q31" s="3"/>
      <c r="V31" s="192" t="s">
        <v>820</v>
      </c>
      <c r="W31" s="193"/>
    </row>
    <row r="32" spans="1:23" ht="18" thickBot="1" x14ac:dyDescent="0.35">
      <c r="A32" s="50"/>
      <c r="B32" s="51"/>
      <c r="C32" s="51"/>
      <c r="D32" s="51"/>
      <c r="E32" s="52"/>
      <c r="F32" s="169" t="s">
        <v>446</v>
      </c>
      <c r="G32" s="170"/>
      <c r="H32" s="170"/>
      <c r="I32" s="170"/>
      <c r="J32" s="170"/>
      <c r="K32" s="170"/>
      <c r="L32" s="170"/>
      <c r="M32" s="170"/>
      <c r="N32" s="171"/>
      <c r="O32" s="14"/>
      <c r="P32" s="14"/>
      <c r="Q32" s="3"/>
      <c r="V32" s="192" t="s">
        <v>875</v>
      </c>
      <c r="W32" s="193"/>
    </row>
    <row r="33" spans="1:23" ht="15.75" thickTop="1" x14ac:dyDescent="0.25">
      <c r="A33" s="50"/>
      <c r="B33" s="51"/>
      <c r="C33" s="51"/>
      <c r="D33" s="51"/>
      <c r="E33" s="52"/>
      <c r="F33" s="121" t="s">
        <v>962</v>
      </c>
      <c r="G33" s="120"/>
      <c r="H33" s="4" t="str">
        <f>IFERROR(VLOOKUP(F33,Abilities,4,FALSE),"")</f>
        <v>BLANK</v>
      </c>
      <c r="I33" s="121" t="s">
        <v>393</v>
      </c>
      <c r="J33" s="120"/>
      <c r="K33" s="35" t="str">
        <f>IFERROR(VLOOKUP(I33,Abilities,4,FALSE),"")</f>
        <v>LW2</v>
      </c>
      <c r="L33" s="121" t="s">
        <v>962</v>
      </c>
      <c r="M33" s="120"/>
      <c r="N33" s="10" t="str">
        <f>IFERROR(VLOOKUP(L33,Abilities,4,FALSE),"")</f>
        <v>BLANK</v>
      </c>
      <c r="O33" s="14"/>
      <c r="P33" s="14"/>
      <c r="Q33" s="3"/>
      <c r="V33" s="192" t="s">
        <v>822</v>
      </c>
      <c r="W33" s="193"/>
    </row>
    <row r="34" spans="1:23" x14ac:dyDescent="0.25">
      <c r="A34" s="50"/>
      <c r="B34" s="51"/>
      <c r="C34" s="51"/>
      <c r="D34" s="51"/>
      <c r="E34" s="52"/>
      <c r="F34" s="144" t="str">
        <f>IFERROR(VLOOKUP(F33,Abilities,7,FALSE),"")</f>
        <v xml:space="preserve"> </v>
      </c>
      <c r="G34" s="130"/>
      <c r="H34" s="131"/>
      <c r="I34" s="129">
        <f>IFERROR(VLOOKUP(I33,Abilities,7,FALSE),"")</f>
        <v>0</v>
      </c>
      <c r="J34" s="130"/>
      <c r="K34" s="131"/>
      <c r="L34" s="130" t="str">
        <f>IFERROR(VLOOKUP(L33,Abilities,7,FALSE),"")</f>
        <v xml:space="preserve"> </v>
      </c>
      <c r="M34" s="130"/>
      <c r="N34" s="135"/>
      <c r="O34" s="14"/>
      <c r="P34" s="14"/>
      <c r="Q34" s="3"/>
      <c r="V34" s="190" t="s">
        <v>816</v>
      </c>
      <c r="W34" s="191"/>
    </row>
    <row r="35" spans="1:23" ht="15.75" thickBot="1" x14ac:dyDescent="0.3">
      <c r="A35" s="50"/>
      <c r="B35" s="51"/>
      <c r="C35" s="51"/>
      <c r="D35" s="51"/>
      <c r="E35" s="52"/>
      <c r="F35" s="167"/>
      <c r="G35" s="147"/>
      <c r="H35" s="148"/>
      <c r="I35" s="146"/>
      <c r="J35" s="147"/>
      <c r="K35" s="148"/>
      <c r="L35" s="147"/>
      <c r="M35" s="147"/>
      <c r="N35" s="168"/>
      <c r="O35" s="14"/>
      <c r="P35" s="14"/>
      <c r="Q35" s="3"/>
      <c r="V35" s="194" t="s">
        <v>800</v>
      </c>
      <c r="W35" s="195"/>
    </row>
    <row r="36" spans="1:23" ht="18" thickBot="1" x14ac:dyDescent="0.35">
      <c r="A36" s="50"/>
      <c r="B36" s="51"/>
      <c r="C36" s="51"/>
      <c r="D36" s="51"/>
      <c r="E36" s="52"/>
      <c r="F36" s="169" t="s">
        <v>447</v>
      </c>
      <c r="G36" s="170"/>
      <c r="H36" s="170"/>
      <c r="I36" s="170"/>
      <c r="J36" s="170"/>
      <c r="K36" s="170"/>
      <c r="L36" s="170"/>
      <c r="M36" s="170"/>
      <c r="N36" s="171"/>
    </row>
    <row r="37" spans="1:23" ht="15.75" thickTop="1" x14ac:dyDescent="0.25">
      <c r="A37" s="50"/>
      <c r="B37" s="51"/>
      <c r="C37" s="51"/>
      <c r="D37" s="51"/>
      <c r="E37" s="52"/>
      <c r="F37" s="119" t="s">
        <v>1140</v>
      </c>
      <c r="G37" s="120"/>
      <c r="H37" s="4" t="str">
        <f>IFERROR(VLOOKUP(F37,Abilities,4,FALSE),"")</f>
        <v>LWD</v>
      </c>
      <c r="I37" s="121" t="s">
        <v>962</v>
      </c>
      <c r="J37" s="120"/>
      <c r="K37" s="35" t="str">
        <f>IFERROR(VLOOKUP(I37,Abilities,4,FALSE),"")</f>
        <v>BLANK</v>
      </c>
      <c r="L37" s="122" t="s">
        <v>617</v>
      </c>
      <c r="M37" s="120"/>
      <c r="N37" s="10" t="str">
        <f>IFERROR(VLOOKUP(L37,Abilities,4,FALSE),"")</f>
        <v>SOLW</v>
      </c>
    </row>
    <row r="38" spans="1:23" x14ac:dyDescent="0.25">
      <c r="A38" s="50"/>
      <c r="B38" s="51"/>
      <c r="C38" s="51"/>
      <c r="D38" s="51"/>
      <c r="E38" s="52"/>
      <c r="F38" s="144" t="str">
        <f>IFERROR(VLOOKUP(F37,Abilities,7,FALSE),"")</f>
        <v>Your detection radius is reduced by 25%, and an additional 25% on your turn.</v>
      </c>
      <c r="G38" s="130"/>
      <c r="H38" s="131"/>
      <c r="I38" s="129" t="str">
        <f>IFERROR(VLOOKUP(I37,Abilities,7,FALSE),"")</f>
        <v xml:space="preserve"> </v>
      </c>
      <c r="J38" s="130"/>
      <c r="K38" s="131"/>
      <c r="L38" s="130" t="str">
        <f>IFERROR(VLOOKUP(L37,Abilities,7,FALSE),"")</f>
        <v>Once per mission, call in an airstrike that does 8-12 damage in a large area. Costs both actions.</v>
      </c>
      <c r="M38" s="130"/>
      <c r="N38" s="135"/>
    </row>
    <row r="39" spans="1:23" ht="15.75" thickBot="1" x14ac:dyDescent="0.3">
      <c r="A39" s="53"/>
      <c r="B39" s="54"/>
      <c r="C39" s="54"/>
      <c r="D39" s="54"/>
      <c r="E39" s="55"/>
      <c r="F39" s="167"/>
      <c r="G39" s="147"/>
      <c r="H39" s="148"/>
      <c r="I39" s="146"/>
      <c r="J39" s="147"/>
      <c r="K39" s="148"/>
      <c r="L39" s="147"/>
      <c r="M39" s="147"/>
      <c r="N39" s="168"/>
    </row>
    <row r="40" spans="1:23" ht="15" customHeight="1" x14ac:dyDescent="0.25">
      <c r="A40" s="86" t="s">
        <v>1200</v>
      </c>
      <c r="B40" s="86"/>
      <c r="C40" s="88" t="str">
        <f>SUBSTITUTE(C1," ","")</f>
        <v>Recon</v>
      </c>
      <c r="D40" s="88"/>
      <c r="E40" s="88"/>
      <c r="F40" s="238"/>
      <c r="G40" s="238"/>
      <c r="H40" s="237"/>
      <c r="I40" s="237"/>
      <c r="J40" s="237"/>
    </row>
    <row r="41" spans="1:23" ht="15" customHeight="1" thickBot="1" x14ac:dyDescent="0.3">
      <c r="A41" s="87"/>
      <c r="B41" s="87"/>
      <c r="C41" s="89"/>
      <c r="D41" s="89"/>
      <c r="E41" s="89"/>
      <c r="F41" s="239"/>
      <c r="G41" s="239"/>
      <c r="H41" s="237"/>
      <c r="I41" s="237"/>
      <c r="J41" s="237"/>
    </row>
    <row r="42" spans="1:23" ht="16.5" thickBot="1" x14ac:dyDescent="0.3">
      <c r="A42" s="242" t="s">
        <v>339</v>
      </c>
      <c r="B42" s="244"/>
      <c r="C42" s="253" t="s">
        <v>342</v>
      </c>
      <c r="D42" s="247"/>
      <c r="E42" s="251" t="s">
        <v>343</v>
      </c>
      <c r="F42" s="250"/>
      <c r="G42" s="234"/>
      <c r="H42" s="235"/>
      <c r="I42" s="235"/>
      <c r="J42" s="235"/>
    </row>
    <row r="43" spans="1:23" x14ac:dyDescent="0.25">
      <c r="A43" s="243" t="str">
        <f ca="1">"; "&amp;INDIRECT("C1")&amp;" class data"</f>
        <v>; Recon class data</v>
      </c>
      <c r="B43" s="234" t="s">
        <v>340</v>
      </c>
      <c r="C43" s="254" t="str">
        <f ca="1">"; "&amp;INDIRECT("C1")&amp;" class loadout"</f>
        <v>; Recon class loadout</v>
      </c>
      <c r="D43" s="234" t="s">
        <v>340</v>
      </c>
      <c r="E43" s="252" t="str">
        <f ca="1">"["&amp;INDIRECT("C3")&amp;" X2SoldierClassTemplate]"</f>
        <v>[LWD_Recon X2SoldierClassTemplate]</v>
      </c>
      <c r="F43" s="234" t="s">
        <v>340</v>
      </c>
      <c r="G43" s="234"/>
      <c r="H43" s="235"/>
      <c r="I43" s="235"/>
      <c r="J43" s="235"/>
    </row>
    <row r="44" spans="1:23" x14ac:dyDescent="0.25">
      <c r="A44" s="240"/>
      <c r="B44" s="234"/>
      <c r="C44" s="245"/>
      <c r="D44" s="234" t="s">
        <v>340</v>
      </c>
      <c r="E44" s="248" t="str">
        <f ca="1">"+DisplayName="""&amp;INDIRECT("C1")&amp;""""</f>
        <v>+DisplayName="Recon"</v>
      </c>
      <c r="F44" s="234" t="s">
        <v>340</v>
      </c>
      <c r="G44" s="234"/>
      <c r="H44" s="235"/>
      <c r="I44" s="235"/>
      <c r="J44" s="235"/>
    </row>
    <row r="45" spans="1:23" x14ac:dyDescent="0.25">
      <c r="A45" s="240" t="str">
        <f>"[XComGame.X2SoldierClass_DefaultClasses]"</f>
        <v>[XComGame.X2SoldierClass_DefaultClasses]</v>
      </c>
      <c r="B45" s="234" t="s">
        <v>340</v>
      </c>
      <c r="C45" s="245" t="s">
        <v>341</v>
      </c>
      <c r="D45" s="234" t="s">
        <v>340</v>
      </c>
      <c r="E45" s="248" t="str">
        <f ca="1">"+ClassSummary="""&amp;INDIRECT("A20")&amp;""""</f>
        <v>+ClassSummary="The Recon is our eyes and ears on the battlefield, staying out of sight, but always keeping tabs on the enemy's exact location. They carry a holo-targeter to mark targets."</v>
      </c>
      <c r="F45" s="234" t="s">
        <v>340</v>
      </c>
      <c r="G45" s="234"/>
      <c r="H45" s="235"/>
      <c r="I45" s="235"/>
      <c r="J45" s="235"/>
    </row>
    <row r="46" spans="1:23" x14ac:dyDescent="0.25">
      <c r="A46" s="240" t="str">
        <f ca="1">"+SoldierClasses="&amp;INDIRECT("C3")</f>
        <v>+SoldierClasses=LWD_Recon</v>
      </c>
      <c r="B46" s="234" t="s">
        <v>340</v>
      </c>
      <c r="C46" s="245"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+Loadouts=(LoadoutName="SquaddieLWD_Recon", Items[0]=(Item="AssaultRifle_CV"), Items[1]=(Item="Holotargeter_CV"))</v>
      </c>
      <c r="D46" s="234" t="s">
        <v>340</v>
      </c>
      <c r="E46" s="248" t="str">
        <f ca="1">"+LeftAbilityTreeTitle="""&amp;INDIRECT("F11")&amp;""""</f>
        <v>+LeftAbilityTreeTitle="Scout"</v>
      </c>
      <c r="F46" s="234" t="s">
        <v>340</v>
      </c>
      <c r="G46" s="234"/>
      <c r="H46" s="235"/>
      <c r="I46" s="234"/>
      <c r="J46" s="234"/>
    </row>
    <row r="47" spans="1:23" x14ac:dyDescent="0.25">
      <c r="A47" s="240"/>
      <c r="B47" s="234" t="s">
        <v>340</v>
      </c>
      <c r="C47" s="245"/>
      <c r="D47" s="234" t="s">
        <v>340</v>
      </c>
      <c r="E47" s="248" t="str">
        <f ca="1">"+RightAbilityTreeTitle="""&amp;INDIRECT("L11")&amp;""""</f>
        <v>+RightAbilityTreeTitle="Spotter"</v>
      </c>
      <c r="F47" s="234" t="s">
        <v>340</v>
      </c>
      <c r="G47" s="234"/>
      <c r="H47" s="235"/>
      <c r="I47" s="234"/>
      <c r="J47" s="234"/>
    </row>
    <row r="48" spans="1:23" x14ac:dyDescent="0.25">
      <c r="A48" s="240" t="str">
        <f ca="1">"["&amp;INDIRECT("C3")&amp;" X2SoldierClassTemplate]"</f>
        <v>[LWD_Recon X2SoldierClassTemplate]</v>
      </c>
      <c r="B48" s="234" t="s">
        <v>340</v>
      </c>
      <c r="C48" s="245" t="s">
        <v>351</v>
      </c>
      <c r="D48" s="234" t="s">
        <v>340</v>
      </c>
      <c r="E48" s="248" t="str">
        <f>"; Nicknames"</f>
        <v>; Nicknames</v>
      </c>
      <c r="F48" s="234" t="s">
        <v>340</v>
      </c>
      <c r="G48" s="234"/>
      <c r="H48" s="234"/>
      <c r="I48" s="234"/>
      <c r="J48" s="234"/>
    </row>
    <row r="49" spans="1:10" ht="15.75" thickBot="1" x14ac:dyDescent="0.3">
      <c r="A49" s="240" t="str">
        <f ca="1">"+bMultiplayerOnly="&amp;INDIRECT("E6")</f>
        <v>+bMultiplayerOnly=0</v>
      </c>
      <c r="B49" s="234" t="s">
        <v>340</v>
      </c>
      <c r="C49" s="246" t="str">
        <f ca="1">"+DEBUG_StartingSoldierClasses="""&amp;INDIRECT("C3")&amp;""""</f>
        <v>+DEBUG_StartingSoldierClasses="LWD_Recon"</v>
      </c>
      <c r="D49" s="234" t="s">
        <v>340</v>
      </c>
      <c r="E49" s="248" t="str">
        <f ca="1">IF(INDIRECT("V4")&lt;&gt;"","RandomNickNames[0]="""&amp;INDIRECT("V4")&amp;"""","")</f>
        <v>RandomNickNames[0]="Angel"</v>
      </c>
      <c r="F49" s="234" t="s">
        <v>340</v>
      </c>
      <c r="G49" s="234"/>
      <c r="H49" s="234"/>
      <c r="I49" s="234"/>
      <c r="J49" s="234"/>
    </row>
    <row r="50" spans="1:10" x14ac:dyDescent="0.25">
      <c r="A50" s="240" t="str">
        <f ca="1">"+ClassPoints="&amp;INDIRECT("E7")</f>
        <v>+ClassPoints=4</v>
      </c>
      <c r="B50" s="234" t="s">
        <v>340</v>
      </c>
      <c r="C50" s="234"/>
      <c r="D50" s="234"/>
      <c r="E50" s="248" t="str">
        <f ca="1">IF(INDIRECT("V5")&lt;&gt;"","RandomNickNames[1]="""&amp;INDIRECT("V5")&amp;"""","")</f>
        <v>RandomNickNames[1]="Scope"</v>
      </c>
      <c r="F50" s="234" t="s">
        <v>340</v>
      </c>
      <c r="G50" s="234"/>
      <c r="H50" s="234"/>
      <c r="I50" s="234"/>
      <c r="J50" s="234"/>
    </row>
    <row r="51" spans="1:10" x14ac:dyDescent="0.25">
      <c r="A51" s="240" t="str">
        <f ca="1">"+IconImage="&amp;""""&amp;INDIRECT("E8")&amp;""""</f>
        <v>+IconImage="img:///UILibrary_SOInfantry.class_recon"</v>
      </c>
      <c r="B51" s="234" t="s">
        <v>340</v>
      </c>
      <c r="C51" s="234"/>
      <c r="D51" s="234"/>
      <c r="E51" s="248" t="str">
        <f ca="1">IF(INDIRECT("V6")&lt;&gt;"","RandomNickNames[2]="""&amp;INDIRECT("V6")&amp;"""","")</f>
        <v>RandomNickNames[2]="Beta"</v>
      </c>
      <c r="F51" s="234" t="s">
        <v>340</v>
      </c>
      <c r="G51" s="234"/>
      <c r="H51" s="234"/>
      <c r="I51" s="234"/>
      <c r="J51" s="234"/>
    </row>
    <row r="52" spans="1:10" x14ac:dyDescent="0.25">
      <c r="A52" s="240" t="str">
        <f ca="1">"+NumInForcedDeck="&amp;INDIRECT("E9")</f>
        <v>+NumInForcedDeck=1</v>
      </c>
      <c r="B52" s="234" t="s">
        <v>340</v>
      </c>
      <c r="C52" s="234"/>
      <c r="D52" s="234"/>
      <c r="E52" s="248" t="str">
        <f ca="1">IF(INDIRECT("V7")&lt;&gt;"","RandomNickNames[3]="""&amp;INDIRECT("V7")&amp;"""","")</f>
        <v>RandomNickNames[3]="Bishop"</v>
      </c>
      <c r="F52" s="234" t="s">
        <v>340</v>
      </c>
      <c r="G52" s="234"/>
      <c r="H52" s="234"/>
      <c r="I52" s="234"/>
      <c r="J52" s="234"/>
    </row>
    <row r="53" spans="1:10" x14ac:dyDescent="0.25">
      <c r="A53" s="240" t="str">
        <f ca="1">"+NumInDeck="&amp;INDIRECT("E10")</f>
        <v>+NumInDeck=4</v>
      </c>
      <c r="B53" s="234" t="s">
        <v>340</v>
      </c>
      <c r="C53" s="234"/>
      <c r="D53" s="234"/>
      <c r="E53" s="248" t="str">
        <f ca="1">IF(INDIRECT("V8")&lt;&gt;"","RandomNickNames[4]="""&amp;INDIRECT("V8")&amp;"""","")</f>
        <v>RandomNickNames[4]="Bones"</v>
      </c>
      <c r="F53" s="234" t="s">
        <v>340</v>
      </c>
      <c r="G53" s="234"/>
      <c r="H53" s="234"/>
      <c r="I53" s="234"/>
      <c r="J53" s="234"/>
    </row>
    <row r="54" spans="1:10" x14ac:dyDescent="0.25">
      <c r="A54" s="240" t="str">
        <f ca="1">"+KillAssistsPerKill="&amp;INDIRECT("E11")</f>
        <v>+KillAssistsPerKill=3</v>
      </c>
      <c r="B54" s="234" t="s">
        <v>340</v>
      </c>
      <c r="C54" s="234"/>
      <c r="D54" s="234"/>
      <c r="E54" s="248" t="str">
        <f ca="1">IF(INDIRECT("V9")&lt;&gt;"","RandomNickNames[5]="""&amp;INDIRECT("V9")&amp;"""","")</f>
        <v>RandomNickNames[5]="Breaker"</v>
      </c>
      <c r="F54" s="234" t="s">
        <v>340</v>
      </c>
      <c r="G54" s="234"/>
      <c r="H54" s="234"/>
      <c r="I54" s="234"/>
      <c r="J54" s="234"/>
    </row>
    <row r="55" spans="1:10" x14ac:dyDescent="0.25">
      <c r="A55" s="240" t="str">
        <f ca="1">"+SquaddieLoadout=Squaddie"&amp;INDIRECT("C3")</f>
        <v>+SquaddieLoadout=SquaddieLWD_Recon</v>
      </c>
      <c r="B55" s="234" t="s">
        <v>340</v>
      </c>
      <c r="C55" s="234"/>
      <c r="D55" s="234"/>
      <c r="E55" s="248" t="str">
        <f ca="1">IF(INDIRECT("V10")&lt;&gt;"","RandomNickNames[6]="""&amp;INDIRECT("V10")&amp;"""","")</f>
        <v>RandomNickNames[6]="Broker"</v>
      </c>
      <c r="F55" s="234" t="s">
        <v>340</v>
      </c>
      <c r="G55" s="234"/>
      <c r="H55" s="234"/>
      <c r="I55" s="234"/>
      <c r="J55" s="234"/>
    </row>
    <row r="56" spans="1:10" x14ac:dyDescent="0.25">
      <c r="A56" s="240" t="str">
        <f ca="1">";+bAllowAWCAbilities="&amp;INDIRECT("E12")&amp;" ; Not a thing in LW2"</f>
        <v>;+bAllowAWCAbilities=1 ; Not a thing in LW2</v>
      </c>
      <c r="B56" s="234" t="s">
        <v>340</v>
      </c>
      <c r="C56" s="234"/>
      <c r="D56" s="234"/>
      <c r="E56" s="248" t="str">
        <f ca="1">IF(INDIRECT("V11")&lt;&gt;"","RandomNickNames[7]="""&amp;INDIRECT("V11")&amp;"""","")</f>
        <v>RandomNickNames[7]="Conquest"</v>
      </c>
      <c r="F56" s="234" t="s">
        <v>340</v>
      </c>
      <c r="G56" s="234"/>
      <c r="H56" s="234"/>
      <c r="I56" s="234"/>
      <c r="J56" s="234"/>
    </row>
    <row r="57" spans="1:10" x14ac:dyDescent="0.25">
      <c r="A57" s="240" t="str">
        <f ca="1">IF(INDIRECT("B5")=FALSE,";","")&amp;"+AllowedWeapons=(SlotType=eInvSlot_PrimaryWeapon, WeaponType=""rifle"")"</f>
        <v>+AllowedWeapons=(SlotType=eInvSlot_PrimaryWeapon, WeaponType="rifle")</v>
      </c>
      <c r="B57" s="234" t="s">
        <v>340</v>
      </c>
      <c r="C57" s="234"/>
      <c r="D57" s="234"/>
      <c r="E57" s="248" t="str">
        <f ca="1">IF(INDIRECT("V12")&lt;&gt;"","RandomNickNames[8]="""&amp;INDIRECT("V12")&amp;"""","")</f>
        <v>RandomNickNames[8]="Deacon"</v>
      </c>
      <c r="F57" s="234" t="s">
        <v>340</v>
      </c>
      <c r="G57" s="234"/>
      <c r="H57" s="234"/>
      <c r="I57" s="234"/>
      <c r="J57" s="234"/>
    </row>
    <row r="58" spans="1:10" x14ac:dyDescent="0.25">
      <c r="A58" s="240" t="str">
        <f ca="1">IF(INDIRECT("B6")=FALSE,";","")&amp;"+AllowedWeapons=(SlotType=eInvSlot_PrimaryWeapon, WeaponType=""cannon"")"</f>
        <v>;+AllowedWeapons=(SlotType=eInvSlot_PrimaryWeapon, WeaponType="cannon")</v>
      </c>
      <c r="B58" s="234" t="s">
        <v>340</v>
      </c>
      <c r="C58" s="234"/>
      <c r="D58" s="234"/>
      <c r="E58" s="248" t="str">
        <f ca="1">IF(INDIRECT("V13")&lt;&gt;"","RandomNickNames[9]="""&amp;INDIRECT("V13")&amp;"""","")</f>
        <v>RandomNickNames[9]="Solo"</v>
      </c>
      <c r="F58" s="234" t="s">
        <v>340</v>
      </c>
      <c r="G58" s="234"/>
      <c r="H58" s="234"/>
      <c r="I58" s="234"/>
      <c r="J58" s="234"/>
    </row>
    <row r="59" spans="1:10" x14ac:dyDescent="0.25">
      <c r="A59" s="240" t="str">
        <f ca="1">IF(INDIRECT("B7")=FALSE,";","")&amp;"+AllowedWeapons=(SlotType=eInvSlot_PrimaryWeapon, WeaponType=""shotgun"")"</f>
        <v>;+AllowedWeapons=(SlotType=eInvSlot_PrimaryWeapon, WeaponType="shotgun")</v>
      </c>
      <c r="B59" s="234" t="s">
        <v>340</v>
      </c>
      <c r="C59" s="234"/>
      <c r="D59" s="234"/>
      <c r="E59" s="248" t="str">
        <f ca="1">IF(INDIRECT("V14")&lt;&gt;"","RandomNickNames[10]="""&amp;INDIRECT("V14")&amp;"""","")</f>
        <v>RandomNickNames[10]="Dr. Feelgood"</v>
      </c>
      <c r="F59" s="234" t="s">
        <v>340</v>
      </c>
      <c r="G59" s="234"/>
      <c r="H59" s="234"/>
      <c r="I59" s="234"/>
      <c r="J59" s="234"/>
    </row>
    <row r="60" spans="1:10" x14ac:dyDescent="0.25">
      <c r="A60" s="240" t="str">
        <f ca="1">IF(INDIRECT("B8")=FALSE,";","")&amp;"+AllowedWeapons=(SlotType=eInvSlot_PrimaryWeapon, WeaponType=""sniper_rifle"")"</f>
        <v>;+AllowedWeapons=(SlotType=eInvSlot_PrimaryWeapon, WeaponType="sniper_rifle")</v>
      </c>
      <c r="B60" s="234" t="s">
        <v>340</v>
      </c>
      <c r="C60" s="234"/>
      <c r="D60" s="234"/>
      <c r="E60" s="248" t="str">
        <f ca="1">IF(INDIRECT("V15")&lt;&gt;"","RandomNickNames[11]="""&amp;INDIRECT("V15")&amp;"""","")</f>
        <v>RandomNickNames[11]="Famine"</v>
      </c>
      <c r="F60" s="234" t="s">
        <v>340</v>
      </c>
      <c r="G60" s="234"/>
      <c r="H60" s="234"/>
      <c r="I60" s="234"/>
      <c r="J60" s="234"/>
    </row>
    <row r="61" spans="1:10" x14ac:dyDescent="0.25">
      <c r="A61" s="240" t="str">
        <f ca="1">IF(INDIRECT("B9")=FALSE,";","")&amp;"+AllowedWeapons=(SlotType=eInvSlot_SecondaryWeapon, WeaponType=""gauntlet"")"</f>
        <v>;+AllowedWeapons=(SlotType=eInvSlot_SecondaryWeapon, WeaponType="gauntlet")</v>
      </c>
      <c r="B61" s="234" t="s">
        <v>340</v>
      </c>
      <c r="C61" s="234"/>
      <c r="D61" s="234"/>
      <c r="E61" s="248" t="str">
        <f ca="1">IF(INDIRECT("V16")&lt;&gt;"","RandomNickNames[12]="""&amp;INDIRECT("V16")&amp;"""","")</f>
        <v>RandomNickNames[12]="Feedback"</v>
      </c>
      <c r="F61" s="234" t="s">
        <v>340</v>
      </c>
      <c r="G61" s="234"/>
      <c r="H61" s="234"/>
      <c r="I61" s="234"/>
      <c r="J61" s="234"/>
    </row>
    <row r="62" spans="1:10" x14ac:dyDescent="0.25">
      <c r="A62" s="240" t="str">
        <f ca="1">IF(INDIRECT("B10")=FALSE,";","")&amp;"+AllowedWeapons=(SlotType=eInvSlot_SecondaryWeapon, WeaponType=""combatknife"")"</f>
        <v>;+AllowedWeapons=(SlotType=eInvSlot_SecondaryWeapon, WeaponType="combatknife")</v>
      </c>
      <c r="B62" s="234" t="s">
        <v>340</v>
      </c>
      <c r="C62" s="234"/>
      <c r="D62" s="234"/>
      <c r="E62" s="248" t="str">
        <f ca="1">IF(INDIRECT("V17")&lt;&gt;"","RandomNickNames[13]="""&amp;INDIRECT("V17")&amp;"""","")</f>
        <v>RandomNickNames[13]="Firewall"</v>
      </c>
      <c r="F62" s="234" t="s">
        <v>340</v>
      </c>
      <c r="G62" s="234"/>
      <c r="H62" s="234"/>
      <c r="I62" s="234"/>
      <c r="J62" s="234"/>
    </row>
    <row r="63" spans="1:10" x14ac:dyDescent="0.25">
      <c r="A63" s="240" t="str">
        <f ca="1">IF(INDIRECT("B11")=FALSE,";","")&amp;"+AllowedWeapons=(SlotType=eInvSlot_SecondaryWeapon, WeaponType=""grenade_launcher"")"</f>
        <v>;+AllowedWeapons=(SlotType=eInvSlot_SecondaryWeapon, WeaponType="grenade_launcher")</v>
      </c>
      <c r="B63" s="234" t="s">
        <v>340</v>
      </c>
      <c r="C63" s="234"/>
      <c r="D63" s="234"/>
      <c r="E63" s="248" t="str">
        <f ca="1">IF(INDIRECT("V18")&lt;&gt;"","RandomNickNames[14]="""&amp;INDIRECT("V18")&amp;"""","")</f>
        <v>RandomNickNames[14]="Genius"</v>
      </c>
      <c r="F63" s="234" t="s">
        <v>340</v>
      </c>
      <c r="G63" s="234"/>
      <c r="H63" s="234"/>
      <c r="I63" s="234"/>
      <c r="J63" s="234"/>
    </row>
    <row r="64" spans="1:10" x14ac:dyDescent="0.25">
      <c r="A64" s="240" t="str">
        <f ca="1">IF(INDIRECT("B12")=FALSE,";","")&amp;"+AllowedWeapons=(SlotType=eInvSlot_SecondaryWeapon, WeaponType=""gremlin"")"</f>
        <v>;+AllowedWeapons=(SlotType=eInvSlot_SecondaryWeapon, WeaponType="gremlin")</v>
      </c>
      <c r="B64" s="234" t="s">
        <v>340</v>
      </c>
      <c r="C64" s="234"/>
      <c r="D64" s="234"/>
      <c r="E64" s="248" t="str">
        <f ca="1">IF(INDIRECT("V19")&lt;&gt;"","RandomNickNames[15]="""&amp;INDIRECT("V19")&amp;"""","")</f>
        <v>RandomNickNames[15]="Gizmo"</v>
      </c>
      <c r="F64" s="234" t="s">
        <v>340</v>
      </c>
      <c r="G64" s="234"/>
      <c r="H64" s="234"/>
      <c r="I64" s="234"/>
      <c r="J64" s="234"/>
    </row>
    <row r="65" spans="1:10" x14ac:dyDescent="0.25">
      <c r="A65" s="240" t="str">
        <f ca="1">IF(INDIRECT("B13")=FALSE,";","")&amp;"+AllowedWeapons=(SlotType=eInvSlot_SecondaryWeapon, WeaponType=""sword"")"</f>
        <v>;+AllowedWeapons=(SlotType=eInvSlot_SecondaryWeapon, WeaponType="sword")</v>
      </c>
      <c r="B65" s="234" t="s">
        <v>340</v>
      </c>
      <c r="C65" s="234"/>
      <c r="D65" s="234"/>
      <c r="E65" s="248" t="str">
        <f ca="1">IF(INDIRECT("V20")&lt;&gt;"","RandomNickNames[16]="""&amp;INDIRECT("V20")&amp;"""","")</f>
        <v>RandomNickNames[16]="Jester"</v>
      </c>
      <c r="F65" s="234" t="s">
        <v>340</v>
      </c>
      <c r="G65" s="234"/>
      <c r="H65" s="234"/>
      <c r="I65" s="234"/>
      <c r="J65" s="234"/>
    </row>
    <row r="66" spans="1:10" x14ac:dyDescent="0.25">
      <c r="A66" s="240" t="str">
        <f ca="1">IF(INDIRECT("B14")=FALSE,";","")&amp;"+AllowedWeapons=(SlotType=eInvSlot_SecondaryWeapon, WeaponType=""sawedoffshotgun"")"</f>
        <v>;+AllowedWeapons=(SlotType=eInvSlot_SecondaryWeapon, WeaponType="sawedoffshotgun")</v>
      </c>
      <c r="B66" s="234" t="s">
        <v>340</v>
      </c>
      <c r="C66" s="234"/>
      <c r="D66" s="234"/>
      <c r="E66" s="248" t="str">
        <f ca="1">IF(INDIRECT("V21")&lt;&gt;"","RandomNickNames[17]="""&amp;INDIRECT("V21")&amp;"""","")</f>
        <v>RandomNickNames[17]="Jolt"</v>
      </c>
      <c r="F66" s="234" t="s">
        <v>340</v>
      </c>
      <c r="G66" s="234"/>
      <c r="H66" s="234"/>
      <c r="I66" s="234"/>
      <c r="J66" s="234"/>
    </row>
    <row r="67" spans="1:10" x14ac:dyDescent="0.25">
      <c r="A67" s="240" t="str">
        <f ca="1">IF(INDIRECT("B15")=FALSE,";","")&amp;"+AllowedWeapons=(SlotType=eInvSlot_SecondaryWeapon, WeaponType=""arcthrower"")"</f>
        <v>;+AllowedWeapons=(SlotType=eInvSlot_SecondaryWeapon, WeaponType="arcthrower")</v>
      </c>
      <c r="B67" s="234" t="s">
        <v>340</v>
      </c>
      <c r="C67" s="234"/>
      <c r="D67" s="234"/>
      <c r="E67" s="248" t="str">
        <f ca="1">IF(INDIRECT("V22")&lt;&gt;"","RandomNickNames[18]="""&amp;INDIRECT("V22")&amp;"""","")</f>
        <v>RandomNickNames[18]="Eyes"</v>
      </c>
      <c r="F67" s="234" t="s">
        <v>340</v>
      </c>
      <c r="G67" s="234"/>
      <c r="H67" s="234"/>
      <c r="I67" s="234"/>
      <c r="J67" s="234"/>
    </row>
    <row r="68" spans="1:10" x14ac:dyDescent="0.25">
      <c r="A68" s="240" t="str">
        <f ca="1">IF(INDIRECT("B16")=FALSE,";","")&amp;"+AllowedWeapons=(SlotType=eInvSlot_SecondaryWeapon, WeaponType=""holotargeter"")"</f>
        <v>+AllowedWeapons=(SlotType=eInvSlot_SecondaryWeapon, WeaponType="holotargeter")</v>
      </c>
      <c r="B68" s="234" t="s">
        <v>340</v>
      </c>
      <c r="C68" s="234"/>
      <c r="D68" s="234"/>
      <c r="E68" s="248" t="str">
        <f ca="1">IF(INDIRECT("V23")&lt;&gt;"","RandomNickNames[19]="""&amp;INDIRECT("V23")&amp;"""","")</f>
        <v>RandomNickNames[19]="Mayday"</v>
      </c>
      <c r="F68" s="234" t="s">
        <v>340</v>
      </c>
      <c r="G68" s="234"/>
      <c r="H68" s="234"/>
      <c r="I68" s="234"/>
      <c r="J68" s="234"/>
    </row>
    <row r="69" spans="1:10" x14ac:dyDescent="0.25">
      <c r="A69" s="240" t="str">
        <f ca="1">IF(INDIRECT("B17")=FALSE,";","")&amp;"+AllowedWeapons=(SlotType=eInvSlot_SecondaryWeapon, WeaponType=""psiamp"")"</f>
        <v>;+AllowedWeapons=(SlotType=eInvSlot_SecondaryWeapon, WeaponType="psiamp")</v>
      </c>
      <c r="B69" s="234" t="s">
        <v>340</v>
      </c>
      <c r="C69" s="234"/>
      <c r="D69" s="234"/>
      <c r="E69" s="248" t="str">
        <f ca="1">IF(INDIRECT("V24")&lt;&gt;"","RandomNickNames[20]="""&amp;INDIRECT("V24")&amp;"""","")</f>
        <v>RandomNickNames[20]="Binoc"</v>
      </c>
      <c r="F69" s="234" t="s">
        <v>340</v>
      </c>
      <c r="G69" s="234"/>
      <c r="H69" s="234"/>
      <c r="I69" s="234"/>
      <c r="J69" s="234"/>
    </row>
    <row r="70" spans="1:10" x14ac:dyDescent="0.25">
      <c r="A70" s="240" t="str">
        <f ca="1">IF(INDIRECT("B9")=FALSE,";","")&amp;"+AllowedWeapons=(SlotType=eInvSlot_HeavyWeapon, WeaponType=""heavyammo"")"</f>
        <v>;+AllowedWeapons=(SlotType=eInvSlot_HeavyWeapon, WeaponType="heavyammo")</v>
      </c>
      <c r="B70" s="234" t="s">
        <v>340</v>
      </c>
      <c r="C70" s="234"/>
      <c r="D70" s="234"/>
      <c r="E70" s="248" t="str">
        <f ca="1">IF(INDIRECT("V25")&lt;&gt;"","RandomNickNames[21]="""&amp;INDIRECT("V25")&amp;"""","")</f>
        <v>RandomNickNames[21]="Newton"</v>
      </c>
      <c r="F70" s="234" t="s">
        <v>340</v>
      </c>
      <c r="G70" s="234"/>
      <c r="H70" s="234"/>
      <c r="I70" s="234"/>
      <c r="J70" s="234"/>
    </row>
    <row r="71" spans="1:10" x14ac:dyDescent="0.25">
      <c r="A71" s="240" t="str">
        <f ca="1">IF(INDIRECT("B9")=TRUE,";","")&amp;"+AllowedWeapons=(SlotType=eInvSlot_HeavyWeapon, WeaponType=""heavy"")"</f>
        <v>+AllowedWeapons=(SlotType=eInvSlot_HeavyWeapon, WeaponType="heavy")</v>
      </c>
      <c r="B71" s="234" t="s">
        <v>340</v>
      </c>
      <c r="C71" s="234"/>
      <c r="D71" s="234"/>
      <c r="E71" s="248" t="str">
        <f ca="1">IF(INDIRECT("V26")&lt;&gt;"","RandomNickNames[22]="""&amp;INDIRECT("V26")&amp;"""","")</f>
        <v>RandomNickNames[22]="Ragtime"</v>
      </c>
      <c r="F71" s="234" t="s">
        <v>340</v>
      </c>
      <c r="G71" s="234"/>
      <c r="H71" s="234"/>
      <c r="I71" s="234"/>
      <c r="J71" s="234"/>
    </row>
    <row r="72" spans="1:10" x14ac:dyDescent="0.25">
      <c r="A72" s="240" t="str">
        <f ca="1">"+AllowedArmors="&amp;INDIRECT("E13")</f>
        <v>+AllowedArmors=soldier</v>
      </c>
      <c r="B72" s="234" t="s">
        <v>340</v>
      </c>
      <c r="C72" s="234"/>
      <c r="D72" s="234"/>
      <c r="E72" s="248" t="str">
        <f ca="1">IF(INDIRECT("V27")&lt;&gt;"","RandomNickNames[23]="""&amp;INDIRECT("V27")&amp;"""","")</f>
        <v>RandomNickNames[23]="Rascal"</v>
      </c>
      <c r="F72" s="234" t="s">
        <v>340</v>
      </c>
      <c r="G72" s="234"/>
      <c r="H72" s="234"/>
      <c r="I72" s="234"/>
      <c r="J72" s="234"/>
    </row>
    <row r="73" spans="1:10" x14ac:dyDescent="0.25">
      <c r="A73" s="240" t="str">
        <f>"; squaddie"</f>
        <v>; squaddie</v>
      </c>
      <c r="B73" s="234" t="s">
        <v>340</v>
      </c>
      <c r="C73" s="234"/>
      <c r="D73" s="234"/>
      <c r="E73" s="248" t="str">
        <f ca="1">IF(INDIRECT("V28")&lt;&gt;"","RandomNickNames[24]="""&amp;INDIRECT("V28")&amp;"""","")</f>
        <v>RandomNickNames[24]="Rattler"</v>
      </c>
      <c r="F73" s="234" t="s">
        <v>340</v>
      </c>
      <c r="G73" s="234"/>
      <c r="H73" s="234"/>
      <c r="I73" s="234"/>
      <c r="J73" s="234"/>
    </row>
    <row r="74" spans="1:10" x14ac:dyDescent="0.25">
      <c r="A74" s="240" t="str">
        <f ca="1">"+SoldierRanks=(  aAbilityTree=( (AbilityName="""&amp;VLOOKUP(INDIRECT("F4"),Abilities,2,FALSE)&amp;""""&amp;IF(VLOOKUP(INDIRECT("F4"),Abilities,3,FALSE)="","",", ApplyToWeaponSlot=eInvSlot_"&amp;VLOOKUP(INDIRECT("F4"),Abilities,3,FALSE))&amp;"), \\"</f>
        <v>+SoldierRanks=(  aAbilityTree=( (AbilityName="Holotargeting", ApplyToWeaponSlot=eInvSlot_PrimaryWeapon), \\</v>
      </c>
      <c r="B74" s="234" t="s">
        <v>340</v>
      </c>
      <c r="C74" s="234"/>
      <c r="D74" s="234"/>
      <c r="E74" s="248" t="str">
        <f ca="1">IF(INDIRECT("V29")&lt;&gt;"","RandomNickNames[25]="""&amp;INDIRECT("V29")&amp;"""","")</f>
        <v>RandomNickNames[25]="Revelation"</v>
      </c>
      <c r="F74" s="234" t="s">
        <v>340</v>
      </c>
      <c r="G74" s="234"/>
      <c r="H74" s="234"/>
      <c r="I74" s="234"/>
      <c r="J74" s="234"/>
    </row>
    <row r="75" spans="1:10" x14ac:dyDescent="0.25">
      <c r="A75" s="240" t="str">
        <f ca="1">IF(INDIRECT("I4")="","\\","(AbilityName="""&amp;VLOOKUP(INDIRECT("I4"),Abilities,2,FALSE)&amp;""""&amp;IF(VLOOKUP(INDIRECT("I4"),Abilities,3,FALSE)="","",", ApplyToWeaponSlot=eInvSlot_"&amp;VLOOKUP(INDIRECT("I4"),Abilities,3,FALSE))&amp;"), \\")</f>
        <v>(AbilityName="ShadowOps_Vanish"), \\</v>
      </c>
      <c r="B75" s="234" t="s">
        <v>340</v>
      </c>
      <c r="C75" s="234"/>
      <c r="D75" s="234"/>
      <c r="E75" s="248" t="str">
        <f ca="1">IF(INDIRECT("V30")&lt;&gt;"","RandomNickNames[26]="""&amp;INDIRECT("V30")&amp;"""","")</f>
        <v>RandomNickNames[26]="Skipper"</v>
      </c>
      <c r="F75" s="234" t="s">
        <v>340</v>
      </c>
      <c r="G75" s="234"/>
      <c r="H75" s="234"/>
      <c r="I75" s="234"/>
      <c r="J75" s="234"/>
    </row>
    <row r="76" spans="1:10" x14ac:dyDescent="0.25">
      <c r="A76" s="240" t="str">
        <f ca="1">IF(INDIRECT("L4")="","\\","(AbilityName="""&amp;VLOOKUP(INDIRECT("L4"),Abilities,2,FALSE)&amp;""""&amp;IF(VLOOKUP(INDIRECT("L4"),Abilities,3,FALSE)="","",", ApplyToWeaponSlot=eInvSlot_"&amp;VLOOKUP(INDIRECT("L4"),Abilities,3,FALSE))&amp;"), \\")</f>
        <v>\\</v>
      </c>
      <c r="B76" s="234" t="s">
        <v>340</v>
      </c>
      <c r="C76" s="234"/>
      <c r="D76" s="234"/>
      <c r="E76" s="248" t="str">
        <f ca="1">IF(INDIRECT("V31")&lt;&gt;"","RandomNickNames[27]="""&amp;INDIRECT("V31")&amp;"""","")</f>
        <v>RandomNickNames[27]="Thunder"</v>
      </c>
      <c r="F76" s="234" t="s">
        <v>340</v>
      </c>
      <c r="G76" s="234"/>
      <c r="H76" s="234"/>
      <c r="I76" s="234"/>
      <c r="J76" s="234"/>
    </row>
    <row r="77" spans="1:10" x14ac:dyDescent="0.25">
      <c r="A77" s="240" t="str">
        <f ca="1">IF(INDIRECT("F7")="","\\","(AbilityName="""&amp;VLOOKUP(INDIRECT("F7"),Abilities,2,FALSE)&amp;""""&amp;IF(VLOOKUP(INDIRECT("F7"),Abilities,3,FALSE)="","",", ApplyToWeaponSlot=eInvSlot_"&amp;VLOOKUP(INDIRECT("F7"),Abilities,3,FALSE))&amp;"), \\")</f>
        <v>\\</v>
      </c>
      <c r="B77" s="234" t="s">
        <v>340</v>
      </c>
      <c r="C77" s="234"/>
      <c r="D77" s="234"/>
      <c r="E77" s="248" t="str">
        <f ca="1">IF(INDIRECT("V32")&lt;&gt;"","RandomNickNames[28]="""&amp;INDIRECT("V32")&amp;"""","")</f>
        <v>RandomNickNames[28]="Cyclops"</v>
      </c>
      <c r="F77" s="234" t="s">
        <v>340</v>
      </c>
      <c r="G77" s="234"/>
      <c r="H77" s="234"/>
      <c r="I77" s="234"/>
      <c r="J77" s="234"/>
    </row>
    <row r="78" spans="1:10" x14ac:dyDescent="0.25">
      <c r="A78" s="240" t="str">
        <f ca="1">IF(INDIRECT("I7")="","\\","(AbilityName="""&amp;VLOOKUP(INDIRECT("I7"),Abilities,2,FALSE)&amp;""""&amp;IF(VLOOKUP(INDIRECT("I7"),Abilities,3,FALSE)="","",", ApplyToWeaponSlot=eInvSlot_"&amp;VLOOKUP(INDIRECT("I7"),Abilities,3,FALSE))&amp;"), \\")</f>
        <v>\\</v>
      </c>
      <c r="B78" s="234" t="s">
        <v>340</v>
      </c>
      <c r="C78" s="234"/>
      <c r="D78" s="234"/>
      <c r="E78" s="248" t="str">
        <f ca="1">IF(INDIRECT("V33")&lt;&gt;"","RandomNickNames[29]="""&amp;INDIRECT("V33")&amp;"""","")</f>
        <v>RandomNickNames[29]="War"</v>
      </c>
      <c r="F78" s="234" t="s">
        <v>340</v>
      </c>
      <c r="G78" s="234"/>
      <c r="H78" s="234"/>
      <c r="I78" s="234"/>
      <c r="J78" s="234"/>
    </row>
    <row r="79" spans="1:10" x14ac:dyDescent="0.25">
      <c r="A79" s="240" t="str">
        <f ca="1">IF(INDIRECT("L7")="","\\","(AbilityName="""&amp;VLOOKUP(INDIRECT("L7"),Abilities,2,FALSE)&amp;""""&amp;IF(VLOOKUP(INDIRECT("L7"),Abilities,3,FALSE)="","",", ApplyToWeaponSlot=eInvSlot_"&amp;VLOOKUP(INDIRECT("L7"),Abilities,3,FALSE))&amp;"), \\")</f>
        <v>\\</v>
      </c>
      <c r="B79" s="234" t="s">
        <v>340</v>
      </c>
      <c r="C79" s="234"/>
      <c r="D79" s="234"/>
      <c r="E79" s="248" t="str">
        <f ca="1">IF(INDIRECT("V34")&lt;&gt;"","RandomNickNames[30]="""&amp;INDIRECT("V34")&amp;"""","")</f>
        <v>RandomNickNames[30]="Whoopsie"</v>
      </c>
      <c r="F79" s="234" t="s">
        <v>340</v>
      </c>
      <c r="G79" s="234"/>
      <c r="H79" s="234"/>
      <c r="I79" s="234"/>
      <c r="J79" s="234"/>
    </row>
    <row r="80" spans="1:10" x14ac:dyDescent="0.25">
      <c r="A80" s="240" t="s">
        <v>337</v>
      </c>
      <c r="B80" s="234" t="s">
        <v>340</v>
      </c>
      <c r="C80" s="234"/>
      <c r="D80" s="234"/>
      <c r="E80" s="248" t="str">
        <f ca="1">IF(INDIRECT("V35")&lt;&gt;"","RandomNickNames[31]="""&amp;INDIRECT("V35")&amp;"""","")</f>
        <v>RandomNickNames[31]="Zulu"</v>
      </c>
      <c r="F80" s="234" t="s">
        <v>340</v>
      </c>
      <c r="G80" s="234"/>
      <c r="H80" s="234"/>
      <c r="I80" s="234"/>
      <c r="J80" s="234"/>
    </row>
    <row r="81" spans="1:10" x14ac:dyDescent="0.25">
      <c r="A81" s="240"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aStatProgression=((StatType=eStat_Offense,StatAmount=3), (StatType=eStat_HP,StatAmount=0), (StatType=eStat_Hacking,StatAmount=5), (StatType=eStat_CombatSims,StatAmount=1), (StatType=eStat_Will,StatAmount=3)),\\</v>
      </c>
      <c r="B81" s="234" t="s">
        <v>340</v>
      </c>
      <c r="C81" s="234"/>
      <c r="D81" s="234"/>
      <c r="E81" s="248" t="str">
        <f>"; Male Nicknames"</f>
        <v>; Male Nicknames</v>
      </c>
      <c r="F81" s="234" t="s">
        <v>340</v>
      </c>
      <c r="G81" s="234"/>
      <c r="H81" s="234"/>
      <c r="I81" s="234"/>
      <c r="J81" s="234"/>
    </row>
    <row r="82" spans="1:10" x14ac:dyDescent="0.25">
      <c r="A82" s="240" t="s">
        <v>338</v>
      </c>
      <c r="B82" s="234" t="s">
        <v>340</v>
      </c>
      <c r="C82" s="234"/>
      <c r="D82" s="234"/>
      <c r="E82" s="248" t="str">
        <f ca="1">IF(INDIRECT("X4")&lt;&gt;"","RandomNickNames_Male[0]="""&amp;INDIRECT("X4")&amp;"""","")</f>
        <v>RandomNickNames_Male[0]="Candyman"</v>
      </c>
      <c r="F82" s="234" t="s">
        <v>340</v>
      </c>
      <c r="G82" s="234"/>
      <c r="H82" s="234"/>
      <c r="I82" s="234"/>
      <c r="J82" s="234"/>
    </row>
    <row r="83" spans="1:10" x14ac:dyDescent="0.25">
      <c r="A83" s="240" t="str">
        <f>"; lance corporal"</f>
        <v>; lance corporal</v>
      </c>
      <c r="B83" s="234" t="s">
        <v>340</v>
      </c>
      <c r="C83" s="234"/>
      <c r="D83" s="234"/>
      <c r="E83" s="248" t="str">
        <f ca="1">IF(INDIRECT("X5")&lt;&gt;"","RandomNickNames_Male[1]="""&amp;INDIRECT("X5")&amp;"""","")</f>
        <v>RandomNickNames_Male[1]="Magic Man"</v>
      </c>
      <c r="F83" s="234" t="s">
        <v>340</v>
      </c>
      <c r="G83" s="234"/>
      <c r="H83" s="234"/>
      <c r="I83" s="234"/>
      <c r="J83" s="234"/>
    </row>
    <row r="84" spans="1:10" x14ac:dyDescent="0.25">
      <c r="A84" s="240" t="str">
        <f ca="1">"+SoldierRanks=(  aAbilityTree=( (AbilityName="""&amp;VLOOKUP(INDIRECT("F13"),Abilities,2,FALSE)&amp;""""&amp;IF(VLOOKUP(INDIRECT("F13"),Abilities,3,FALSE)="","",", ApplyToWeaponSlot=eInvSlot_"&amp;VLOOKUP(INDIRECT("F13"),Abilities,3,FALSE))&amp;"), \\"</f>
        <v>+SoldierRanks=(  aAbilityTree=( (AbilityName="LWD_ScannerSweep", ApplyToWeaponSlot=eInvSlot_SecondaryWeapon), \\</v>
      </c>
      <c r="B84" s="234" t="s">
        <v>340</v>
      </c>
      <c r="C84" s="234"/>
      <c r="D84" s="234"/>
      <c r="E84" s="248" t="str">
        <f ca="1">IF(INDIRECT("X6")&lt;&gt;"","RandomNickNames_Male[2]="""&amp;INDIRECT("X6")&amp;"""","")</f>
        <v>RandomNickNames_Male[2]="Priest"</v>
      </c>
      <c r="F84" s="234" t="s">
        <v>340</v>
      </c>
      <c r="G84" s="234"/>
      <c r="H84" s="234"/>
      <c r="I84" s="234"/>
      <c r="J84" s="234"/>
    </row>
    <row r="85" spans="1:10" x14ac:dyDescent="0.25">
      <c r="A85" s="240" t="str">
        <f ca="1">IF(INDIRECT("I13")="","\\","(AbilityName="""&amp;VLOOKUP(INDIRECT("I13"),Abilities,2,FALSE)&amp;""""&amp;IF(VLOOKUP(INDIRECT("I13"),Abilities,3,FALSE)="","",", ApplyToWeaponSlot=eInvSlot_"&amp;VLOOKUP(INDIRECT("I13"),Abilities,3,FALSE))&amp;"), \\")</f>
        <v>(AbilityName=" "), \\</v>
      </c>
      <c r="B85" s="234" t="s">
        <v>340</v>
      </c>
      <c r="C85" s="234"/>
      <c r="D85" s="234"/>
      <c r="E85" s="248" t="str">
        <f ca="1">IF(INDIRECT("X7")&lt;&gt;"","RandomNickNames_Male[3]="""&amp;INDIRECT("X7")&amp;"""","")</f>
        <v>RandomNickNames_Male[3]="Rainman"</v>
      </c>
      <c r="F85" s="234" t="s">
        <v>340</v>
      </c>
      <c r="G85" s="234"/>
      <c r="H85" s="234"/>
      <c r="I85" s="234"/>
      <c r="J85" s="234"/>
    </row>
    <row r="86" spans="1:10" x14ac:dyDescent="0.25">
      <c r="A86" s="240" t="str">
        <f ca="1">IF(INDIRECT("L13")="","\\","(AbilityName="""&amp;VLOOKUP(INDIRECT("L13"),Abilities,2,FALSE)&amp;""""&amp;IF(VLOOKUP(INDIRECT("L13"),Abilities,3,FALSE)="","",", ApplyToWeaponSlot=eInvSlot_"&amp;VLOOKUP(INDIRECT("L13"),Abilities,3,FALSE))&amp;"), \\")</f>
        <v>(AbilityName="HDHolo", ApplyToWeaponSlot=eInvSlot_SecondaryWeapon), \\</v>
      </c>
      <c r="B86" s="234" t="s">
        <v>340</v>
      </c>
      <c r="C86" s="234"/>
      <c r="D86" s="234"/>
      <c r="E86" s="248" t="str">
        <f ca="1">IF(INDIRECT("X8")&lt;&gt;"","RandomNickNames_Male[4]="""&amp;INDIRECT("X8")&amp;"""","")</f>
        <v>RandomNickNames_Male[4]="Rooster"</v>
      </c>
      <c r="F86" s="234" t="s">
        <v>340</v>
      </c>
      <c r="G86" s="234"/>
      <c r="H86" s="234"/>
      <c r="I86" s="234"/>
      <c r="J86" s="234"/>
    </row>
    <row r="87" spans="1:10" x14ac:dyDescent="0.25">
      <c r="A87" s="240" t="s">
        <v>337</v>
      </c>
      <c r="B87" s="234" t="s">
        <v>340</v>
      </c>
      <c r="C87" s="234"/>
      <c r="D87" s="234"/>
      <c r="E87" s="248" t="str">
        <f>"; Female Nicknames"</f>
        <v>; Female Nicknames</v>
      </c>
      <c r="F87" s="234" t="s">
        <v>340</v>
      </c>
      <c r="G87" s="234"/>
      <c r="H87" s="234"/>
      <c r="I87" s="234"/>
      <c r="J87" s="234"/>
    </row>
    <row r="88" spans="1:10" x14ac:dyDescent="0.25">
      <c r="A88" s="240"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(StatType=eStat_HP,StatAmount=0), (StatType=eStat_Hacking,StatAmount=5), (StatType=eStat_Will,StatAmount=3)),\\</v>
      </c>
      <c r="B88" s="234" t="s">
        <v>340</v>
      </c>
      <c r="C88" s="234"/>
      <c r="D88" s="234"/>
      <c r="E88" s="248" t="str">
        <f ca="1">IF(INDIRECT("X10")&lt;&gt;"","RandomNickNames_Female[0]="""&amp;INDIRECT("X10")&amp;"""","")</f>
        <v>RandomNickNames_Female[0]="Priestess"</v>
      </c>
      <c r="F88" s="234" t="s">
        <v>340</v>
      </c>
      <c r="G88" s="234"/>
      <c r="H88" s="234"/>
      <c r="I88" s="234"/>
      <c r="J88" s="234"/>
    </row>
    <row r="89" spans="1:10" x14ac:dyDescent="0.25">
      <c r="A89" s="240" t="s">
        <v>338</v>
      </c>
      <c r="B89" s="234" t="s">
        <v>340</v>
      </c>
      <c r="C89" s="234"/>
      <c r="D89" s="234"/>
      <c r="E89" s="248" t="str">
        <f ca="1">IF(INDIRECT("X11")&lt;&gt;"","RandomNickNames_Female[1]="""&amp;INDIRECT("X11")&amp;"""","")</f>
        <v>RandomNickNames_Female[1]="Wolfmother"</v>
      </c>
      <c r="F89" s="234" t="s">
        <v>340</v>
      </c>
      <c r="G89" s="234"/>
      <c r="H89" s="234"/>
      <c r="I89" s="234"/>
      <c r="J89" s="234"/>
    </row>
    <row r="90" spans="1:10" x14ac:dyDescent="0.25">
      <c r="A90" s="240" t="str">
        <f>"; corporal"</f>
        <v>; corporal</v>
      </c>
      <c r="B90" s="234" t="s">
        <v>340</v>
      </c>
      <c r="C90" s="234"/>
      <c r="D90" s="234"/>
      <c r="E90" s="248" t="str">
        <f ca="1">IF(INDIRECT("X12")&lt;&gt;"","RandomNickNames_Female[2]="""&amp;INDIRECT("X12")&amp;"""","")</f>
        <v>RandomNickNames_Female[2]="Black Widow"</v>
      </c>
      <c r="F90" s="234" t="s">
        <v>340</v>
      </c>
      <c r="G90" s="234"/>
      <c r="H90" s="234"/>
      <c r="I90" s="234"/>
      <c r="J90" s="234"/>
    </row>
    <row r="91" spans="1:10" x14ac:dyDescent="0.25">
      <c r="A91" s="240" t="str">
        <f ca="1">"+SoldierRanks=(  aAbilityTree=( (AbilityName="""&amp;VLOOKUP(INDIRECT("F17"),Abilities,2,FALSE)&amp;""""&amp;IF(VLOOKUP(INDIRECT("F17"),Abilities,3,FALSE)="","",", ApplyToWeaponSlot=eInvSlot_"&amp;VLOOKUP(INDIRECT("F17"),Abilities,3,FALSE))&amp;"), \\"</f>
        <v>+SoldierRanks=(  aAbilityTree=( (AbilityName=" "), \\</v>
      </c>
      <c r="B91" s="234" t="s">
        <v>340</v>
      </c>
      <c r="C91" s="234"/>
      <c r="D91" s="234"/>
      <c r="E91" s="248" t="str">
        <f ca="1">IF(INDIRECT("X13")&lt;&gt;"","RandomNickNames_Female[3]="""&amp;INDIRECT("X13")&amp;"""","")</f>
        <v>RandomNickNames_Female[3]="Duchess"</v>
      </c>
      <c r="F91" s="234" t="s">
        <v>340</v>
      </c>
      <c r="G91" s="234"/>
      <c r="H91" s="234"/>
      <c r="I91" s="234"/>
      <c r="J91" s="234"/>
    </row>
    <row r="92" spans="1:10" ht="15.75" thickBot="1" x14ac:dyDescent="0.3">
      <c r="A92" s="240" t="str">
        <f ca="1">IF(INDIRECT("I17")="","\\","(AbilityName="""&amp;VLOOKUP(INDIRECT("I17"),Abilities,2,FALSE)&amp;""""&amp;IF(VLOOKUP(INDIRECT("I17"),Abilities,3,FALSE)="","",", ApplyToWeaponSlot=eInvSlot_"&amp;VLOOKUP(INDIRECT("I17"),Abilities,3,FALSE))&amp;"), \\")</f>
        <v>(AbilityName="LWD_EagleEyes"), \\</v>
      </c>
      <c r="B92" s="234" t="s">
        <v>340</v>
      </c>
      <c r="C92" s="234"/>
      <c r="D92" s="234"/>
      <c r="E92" s="249" t="str">
        <f ca="1">IF(INDIRECT("X14")&lt;&gt;"","RandomNickNames_Female[4]="""&amp;INDIRECT("X14")&amp;"""","")</f>
        <v>RandomNickNames_Female[4]="Queen"</v>
      </c>
      <c r="F92" s="234" t="s">
        <v>340</v>
      </c>
      <c r="G92" s="234"/>
      <c r="H92" s="234"/>
      <c r="I92" s="234"/>
      <c r="J92" s="234"/>
    </row>
    <row r="93" spans="1:10" x14ac:dyDescent="0.25">
      <c r="A93" s="240" t="str">
        <f ca="1">IF(INDIRECT("L17")="","\\","(AbilityName="""&amp;VLOOKUP(INDIRECT("L17"),Abilities,2,FALSE)&amp;""""&amp;IF(VLOOKUP(INDIRECT("L17"),Abilities,3,FALSE)="","",", ApplyToWeaponSlot=eInvSlot_"&amp;VLOOKUP(INDIRECT("L17"),Abilities,3,FALSE))&amp;"), \\")</f>
        <v>(AbilityName=" "), \\</v>
      </c>
      <c r="B93" s="234" t="s">
        <v>340</v>
      </c>
      <c r="C93" s="234"/>
      <c r="D93" s="234"/>
      <c r="E93" s="234"/>
      <c r="F93" s="234"/>
      <c r="G93" s="234"/>
      <c r="H93" s="234"/>
      <c r="I93" s="234"/>
      <c r="J93" s="234"/>
    </row>
    <row r="94" spans="1:10" x14ac:dyDescent="0.25">
      <c r="A94" s="240" t="s">
        <v>337</v>
      </c>
      <c r="B94" s="234" t="s">
        <v>340</v>
      </c>
      <c r="C94" s="234"/>
      <c r="D94" s="234"/>
      <c r="E94" s="234"/>
      <c r="F94" s="234"/>
      <c r="G94" s="234"/>
      <c r="H94" s="234"/>
      <c r="I94" s="234"/>
      <c r="J94" s="234"/>
    </row>
    <row r="95" spans="1:10" x14ac:dyDescent="0.25">
      <c r="A95" s="240"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aStatProgression=((StatType=eStat_Offense,StatAmount=3), (StatType=eStat_HP,StatAmount=1), (StatType=eStat_Hacking,StatAmount=5)),\\</v>
      </c>
      <c r="B95" s="234" t="s">
        <v>340</v>
      </c>
      <c r="C95" s="234"/>
      <c r="D95" s="234"/>
      <c r="E95" s="234"/>
      <c r="F95" s="234"/>
      <c r="G95" s="234"/>
      <c r="H95" s="234"/>
      <c r="I95" s="234"/>
      <c r="J95" s="234"/>
    </row>
    <row r="96" spans="1:10" x14ac:dyDescent="0.25">
      <c r="A96" s="240" t="s">
        <v>338</v>
      </c>
      <c r="B96" s="234" t="s">
        <v>340</v>
      </c>
      <c r="C96" s="234"/>
      <c r="D96" s="234"/>
      <c r="E96" s="234"/>
      <c r="F96" s="234"/>
      <c r="G96" s="234"/>
      <c r="H96" s="234"/>
      <c r="I96" s="234"/>
      <c r="J96" s="234"/>
    </row>
    <row r="97" spans="1:10" x14ac:dyDescent="0.25">
      <c r="A97" s="240" t="str">
        <f>"; sergeant"</f>
        <v>; sergeant</v>
      </c>
      <c r="B97" s="234" t="s">
        <v>340</v>
      </c>
      <c r="C97" s="234"/>
      <c r="D97" s="234"/>
      <c r="E97" s="234"/>
      <c r="F97" s="234"/>
      <c r="G97" s="234"/>
      <c r="H97" s="234"/>
      <c r="I97" s="234"/>
      <c r="J97" s="234"/>
    </row>
    <row r="98" spans="1:10" x14ac:dyDescent="0.25">
      <c r="A98" s="240" t="str">
        <f ca="1">"+SoldierRanks=(  aAbilityTree=( (AbilityName="""&amp;VLOOKUP(INDIRECT("F21"),Abilities,2,FALSE)&amp;""""&amp;IF(VLOOKUP(INDIRECT("F21"),Abilities,3,FALSE)="","",", ApplyToWeaponSlot=eInvSlot_"&amp;VLOOKUP(INDIRECT("F21"),Abilities,3,FALSE))&amp;"), \\"</f>
        <v>+SoldierRanks=(  aAbilityTree=( (AbilityName="ShadowOps_Tracking"), \\</v>
      </c>
      <c r="B98" s="234" t="s">
        <v>340</v>
      </c>
      <c r="C98" s="234"/>
      <c r="D98" s="234"/>
      <c r="E98" s="234"/>
      <c r="F98" s="234"/>
      <c r="G98" s="234"/>
      <c r="H98" s="234"/>
      <c r="I98" s="234"/>
      <c r="J98" s="234"/>
    </row>
    <row r="99" spans="1:10" x14ac:dyDescent="0.25">
      <c r="A99" s="240" t="str">
        <f ca="1">IF(INDIRECT("I21")="","\\","(AbilityName="""&amp;VLOOKUP(INDIRECT("I21"),Abilities,2,FALSE)&amp;""""&amp;IF(VLOOKUP(INDIRECT("I21"),Abilities,3,FALSE)="","",", ApplyToWeaponSlot=eInvSlot_"&amp;VLOOKUP(INDIRECT("I21"),Abilities,3,FALSE))&amp;"), \\")</f>
        <v>(AbilityName=" "), \\</v>
      </c>
      <c r="B99" s="234" t="s">
        <v>340</v>
      </c>
      <c r="C99" s="234"/>
      <c r="D99" s="234"/>
      <c r="E99" s="234"/>
      <c r="F99" s="234"/>
      <c r="G99" s="234"/>
      <c r="H99" s="234"/>
      <c r="I99" s="234"/>
      <c r="J99" s="234"/>
    </row>
    <row r="100" spans="1:10" x14ac:dyDescent="0.25">
      <c r="A100" s="240" t="str">
        <f ca="1">IF(INDIRECT("L21")="","\\","(AbilityName="""&amp;VLOOKUP(INDIRECT("L21"),Abilities,2,FALSE)&amp;""""&amp;IF(VLOOKUP(INDIRECT("L21"),Abilities,3,FALSE)="","",", ApplyToWeaponSlot=eInvSlot_"&amp;VLOOKUP(INDIRECT("L21"),Abilities,3,FALSE))&amp;"), \\")</f>
        <v>(AbilityName="IndependentTracking", ApplyToWeaponSlot=eInvSlot_SecondaryWeapon), \\</v>
      </c>
      <c r="B100" s="234" t="s">
        <v>340</v>
      </c>
      <c r="C100" s="234"/>
      <c r="D100" s="234"/>
      <c r="E100" s="234"/>
      <c r="F100" s="234"/>
      <c r="G100" s="234"/>
      <c r="H100" s="234"/>
      <c r="I100" s="234"/>
      <c r="J100" s="234"/>
    </row>
    <row r="101" spans="1:10" x14ac:dyDescent="0.25">
      <c r="A101" s="240" t="s">
        <v>337</v>
      </c>
      <c r="B101" s="234" t="s">
        <v>340</v>
      </c>
      <c r="C101" s="234"/>
      <c r="D101" s="234"/>
      <c r="E101" s="234"/>
      <c r="F101" s="234"/>
      <c r="G101" s="234"/>
      <c r="H101" s="234"/>
      <c r="I101" s="234"/>
      <c r="J101" s="234"/>
    </row>
    <row r="102" spans="1:10" x14ac:dyDescent="0.25">
      <c r="A102" s="240"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(StatType=eStat_Hacking,StatAmount=5)),\\</v>
      </c>
      <c r="B102" s="234" t="s">
        <v>340</v>
      </c>
      <c r="C102" s="234"/>
      <c r="D102" s="234"/>
      <c r="E102" s="234"/>
      <c r="F102" s="234"/>
      <c r="G102" s="234"/>
      <c r="H102" s="234"/>
      <c r="I102" s="234"/>
      <c r="J102" s="234"/>
    </row>
    <row r="103" spans="1:10" x14ac:dyDescent="0.25">
      <c r="A103" s="240" t="s">
        <v>338</v>
      </c>
      <c r="B103" s="234" t="s">
        <v>340</v>
      </c>
      <c r="C103" s="234"/>
      <c r="D103" s="234"/>
      <c r="E103" s="234"/>
      <c r="F103" s="234"/>
      <c r="G103" s="234"/>
      <c r="H103" s="234"/>
      <c r="I103" s="234"/>
      <c r="J103" s="234"/>
    </row>
    <row r="104" spans="1:10" x14ac:dyDescent="0.25">
      <c r="A104" s="240" t="str">
        <f>"; staff sergeant"</f>
        <v>; staff sergeant</v>
      </c>
      <c r="B104" s="234" t="s">
        <v>340</v>
      </c>
      <c r="C104" s="234"/>
      <c r="D104" s="234"/>
      <c r="E104" s="234"/>
      <c r="F104" s="234"/>
      <c r="G104" s="234"/>
      <c r="H104" s="234"/>
      <c r="I104" s="234"/>
      <c r="J104" s="234"/>
    </row>
    <row r="105" spans="1:10" x14ac:dyDescent="0.25">
      <c r="A105" s="240" t="str">
        <f ca="1">"+SoldierRanks=(  aAbilityTree=( (AbilityName="""&amp;VLOOKUP(INDIRECT("F25"),Abilities,2,FALSE)&amp;""""&amp;IF(VLOOKUP(INDIRECT("F25"),Abilities,3,FALSE)="","",", ApplyToWeaponSlot=eInvSlot_"&amp;VLOOKUP(INDIRECT("F25"),Abilities,3,FALSE))&amp;"), \\"</f>
        <v>+SoldierRanks=(  aAbilityTree=( (AbilityName="LWD_Watchman"), \\</v>
      </c>
      <c r="B105" s="234" t="s">
        <v>340</v>
      </c>
      <c r="C105" s="234"/>
      <c r="D105" s="234"/>
      <c r="E105" s="234"/>
      <c r="F105" s="234"/>
      <c r="G105" s="234"/>
      <c r="H105" s="234"/>
      <c r="I105" s="234"/>
      <c r="J105" s="234"/>
    </row>
    <row r="106" spans="1:10" x14ac:dyDescent="0.25">
      <c r="A106" s="240" t="str">
        <f ca="1">IF(INDIRECT("I25")="","\\","(AbilityName="""&amp;VLOOKUP(INDIRECT("I25"),Abilities,2,FALSE)&amp;""""&amp;IF(VLOOKUP(INDIRECT("I25"),Abilities,3,FALSE)="","",", ApplyToWeaponSlot=eInvSlot_"&amp;VLOOKUP(INDIRECT("I25"),Abilities,3,FALSE))&amp;"), \\")</f>
        <v>(AbilityName=" "), \\</v>
      </c>
      <c r="B106" s="234" t="s">
        <v>340</v>
      </c>
      <c r="C106" s="234"/>
      <c r="D106" s="234"/>
      <c r="E106" s="234"/>
      <c r="F106" s="234"/>
      <c r="G106" s="234"/>
      <c r="H106" s="234"/>
      <c r="I106" s="234"/>
      <c r="J106" s="234"/>
    </row>
    <row r="107" spans="1:10" x14ac:dyDescent="0.25">
      <c r="A107" s="240" t="str">
        <f ca="1">IF(INDIRECT("L25")="","\\","(AbilityName="""&amp;VLOOKUP(INDIRECT("L25"),Abilities,2,FALSE)&amp;""""&amp;IF(VLOOKUP(INDIRECT("L25"),Abilities,3,FALSE)="","",", ApplyToWeaponSlot=eInvSlot_"&amp;VLOOKUP(INDIRECT("L25"),Abilities,3,FALSE))&amp;"), \\")</f>
        <v>(AbilityName="LWD_Lookout", ApplyToWeaponSlot=eInvSlot_SecondaryWeapon), \\</v>
      </c>
      <c r="B107" s="234" t="s">
        <v>340</v>
      </c>
      <c r="C107" s="234"/>
      <c r="D107" s="234"/>
      <c r="E107" s="234"/>
      <c r="F107" s="234"/>
      <c r="G107" s="234"/>
      <c r="H107" s="234"/>
      <c r="I107" s="234"/>
      <c r="J107" s="234"/>
    </row>
    <row r="108" spans="1:10" x14ac:dyDescent="0.25">
      <c r="A108" s="240" t="s">
        <v>337</v>
      </c>
      <c r="B108" s="234" t="s">
        <v>340</v>
      </c>
      <c r="C108" s="234"/>
      <c r="D108" s="234"/>
      <c r="E108" s="234"/>
      <c r="F108" s="234"/>
      <c r="G108" s="234"/>
      <c r="H108" s="234"/>
      <c r="I108" s="234"/>
      <c r="J108" s="234"/>
    </row>
    <row r="109" spans="1:10" x14ac:dyDescent="0.25">
      <c r="A109" s="240"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(StatType=eStat_HP,StatAmount=0), (StatType=eStat_Hacking,StatAmount=5)),\\</v>
      </c>
      <c r="B109" s="234" t="s">
        <v>340</v>
      </c>
      <c r="C109" s="234"/>
      <c r="D109" s="234"/>
      <c r="E109" s="234"/>
      <c r="F109" s="234"/>
      <c r="G109" s="234"/>
      <c r="H109" s="234"/>
      <c r="I109" s="234"/>
      <c r="J109" s="234"/>
    </row>
    <row r="110" spans="1:10" x14ac:dyDescent="0.25">
      <c r="A110" s="240" t="s">
        <v>338</v>
      </c>
      <c r="B110" s="234" t="s">
        <v>340</v>
      </c>
      <c r="C110" s="234"/>
      <c r="D110" s="234"/>
      <c r="E110" s="234"/>
      <c r="F110" s="234"/>
      <c r="G110" s="234"/>
      <c r="H110" s="234"/>
      <c r="I110" s="234"/>
      <c r="J110" s="234"/>
    </row>
    <row r="111" spans="1:10" x14ac:dyDescent="0.25">
      <c r="A111" s="240" t="str">
        <f>"; tech sergeant"</f>
        <v>; tech sergeant</v>
      </c>
      <c r="B111" s="234" t="s">
        <v>340</v>
      </c>
      <c r="C111" s="234"/>
      <c r="D111" s="234"/>
      <c r="E111" s="234"/>
      <c r="F111" s="234"/>
      <c r="G111" s="234"/>
      <c r="H111" s="234"/>
      <c r="I111" s="234"/>
      <c r="J111" s="234"/>
    </row>
    <row r="112" spans="1:10" x14ac:dyDescent="0.25">
      <c r="A112" s="240" t="str">
        <f ca="1">"+SoldierRanks=(  aAbilityTree=( (AbilityName="""&amp;VLOOKUP(INDIRECT("F29"),Abilities,2,FALSE)&amp;""""&amp;IF(VLOOKUP(INDIRECT("F29"),Abilities,3,FALSE)="","",", ApplyToWeaponSlot=eInvSlot_"&amp;VLOOKUP(INDIRECT("F29"),Abilities,3,FALSE))&amp;"), \\"</f>
        <v>+SoldierRanks=(  aAbilityTree=( (AbilityName="Tradecraft"), \\</v>
      </c>
      <c r="B112" s="234" t="s">
        <v>340</v>
      </c>
      <c r="C112" s="234"/>
      <c r="D112" s="234"/>
      <c r="E112" s="234"/>
      <c r="F112" s="234"/>
      <c r="G112" s="234"/>
      <c r="H112" s="234"/>
      <c r="I112" s="234"/>
      <c r="J112" s="234"/>
    </row>
    <row r="113" spans="1:10" x14ac:dyDescent="0.25">
      <c r="A113" s="240" t="str">
        <f ca="1">IF(INDIRECT("I29")="","\\","(AbilityName="""&amp;VLOOKUP(INDIRECT("I29"),Abilities,2,FALSE)&amp;""""&amp;IF(VLOOKUP(INDIRECT("I29"),Abilities,3,FALSE)="","",", ApplyToWeaponSlot=eInvSlot_"&amp;VLOOKUP(INDIRECT("I29"),Abilities,3,FALSE))&amp;"), \\")</f>
        <v>(AbilityName=" "), \\</v>
      </c>
      <c r="B113" s="234" t="s">
        <v>340</v>
      </c>
      <c r="C113" s="234"/>
      <c r="D113" s="234"/>
      <c r="E113" s="234"/>
      <c r="F113" s="234"/>
      <c r="G113" s="234"/>
      <c r="H113" s="234"/>
      <c r="I113" s="234"/>
      <c r="J113" s="234"/>
    </row>
    <row r="114" spans="1:10" x14ac:dyDescent="0.25">
      <c r="A114" s="240" t="str">
        <f ca="1">IF(INDIRECT("L29")="","\\","(AbilityName="""&amp;VLOOKUP(INDIRECT("L29"),Abilities,2,FALSE)&amp;""""&amp;IF(VLOOKUP(INDIRECT("L29"),Abilities,3,FALSE)="","",", ApplyToWeaponSlot=eInvSlot_"&amp;VLOOKUP(INDIRECT("L29"),Abilities,3,FALSE))&amp;"), \\")</f>
        <v>(AbilityName="RapidTargeting", ApplyToWeaponSlot=eInvSlot_SecondaryWeapon), \\</v>
      </c>
      <c r="B114" s="234" t="s">
        <v>340</v>
      </c>
      <c r="C114" s="234"/>
      <c r="D114" s="234"/>
      <c r="E114" s="234"/>
      <c r="F114" s="234"/>
      <c r="G114" s="234"/>
      <c r="H114" s="234"/>
      <c r="I114" s="234"/>
      <c r="J114" s="234"/>
    </row>
    <row r="115" spans="1:10" x14ac:dyDescent="0.25">
      <c r="A115" s="240" t="s">
        <v>337</v>
      </c>
      <c r="B115" s="234" t="s">
        <v>340</v>
      </c>
      <c r="C115" s="234"/>
      <c r="D115" s="234"/>
      <c r="E115" s="234"/>
      <c r="F115" s="234"/>
      <c r="G115" s="234"/>
      <c r="H115" s="234"/>
      <c r="I115" s="234"/>
      <c r="J115" s="234"/>
    </row>
    <row r="116" spans="1:10" x14ac:dyDescent="0.25">
      <c r="A116" s="240"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(StatType=eStat_Hacking,StatAmount=5)),\\</v>
      </c>
      <c r="B116" s="234" t="s">
        <v>340</v>
      </c>
      <c r="C116" s="234"/>
      <c r="D116" s="234"/>
      <c r="E116" s="234"/>
      <c r="F116" s="234"/>
      <c r="G116" s="234"/>
      <c r="H116" s="234"/>
      <c r="I116" s="234"/>
      <c r="J116" s="234"/>
    </row>
    <row r="117" spans="1:10" x14ac:dyDescent="0.25">
      <c r="A117" s="240" t="s">
        <v>338</v>
      </c>
      <c r="B117" s="234" t="s">
        <v>340</v>
      </c>
      <c r="C117" s="234"/>
      <c r="D117" s="234"/>
      <c r="E117" s="234"/>
      <c r="F117" s="234"/>
      <c r="G117" s="234"/>
      <c r="H117" s="234"/>
      <c r="I117" s="234"/>
      <c r="J117" s="234"/>
    </row>
    <row r="118" spans="1:10" x14ac:dyDescent="0.25">
      <c r="A118" s="240" t="str">
        <f>";  gunnery sergeant"</f>
        <v>;  gunnery sergeant</v>
      </c>
      <c r="B118" s="234" t="s">
        <v>340</v>
      </c>
      <c r="C118" s="234"/>
      <c r="D118" s="234"/>
      <c r="E118" s="234"/>
      <c r="F118" s="234"/>
      <c r="G118" s="234"/>
      <c r="H118" s="234"/>
      <c r="I118" s="234"/>
      <c r="J118" s="234"/>
    </row>
    <row r="119" spans="1:10" x14ac:dyDescent="0.25">
      <c r="A119" s="240" t="str">
        <f ca="1">"+SoldierRanks=(  aAbilityTree=( (AbilityName="""&amp;VLOOKUP(INDIRECT("F33"),Abilities,2,FALSE)&amp;""""&amp;IF(VLOOKUP(INDIRECT("F33"),Abilities,3,FALSE)="","",", ApplyToWeaponSlot=eInvSlot_"&amp;VLOOKUP(INDIRECT("F33"),Abilities,3,FALSE))&amp;"), \\"</f>
        <v>+SoldierRanks=(  aAbilityTree=( (AbilityName=" "), \\</v>
      </c>
      <c r="B119" s="234" t="s">
        <v>340</v>
      </c>
      <c r="C119" s="234"/>
      <c r="D119" s="234"/>
      <c r="E119" s="234"/>
      <c r="F119" s="234"/>
      <c r="G119" s="234"/>
      <c r="H119" s="234"/>
      <c r="I119" s="234"/>
      <c r="J119" s="234"/>
    </row>
    <row r="120" spans="1:10" x14ac:dyDescent="0.25">
      <c r="A120" s="240" t="str">
        <f ca="1">IF(INDIRECT("I33")="","\\","(AbilityName="""&amp;VLOOKUP(INDIRECT("I33"),Abilities,2,FALSE)&amp;""""&amp;IF(VLOOKUP(INDIRECT("I33"),Abilities,3,FALSE)="","",", ApplyToWeaponSlot=eInvSlot_"&amp;VLOOKUP(INDIRECT("I33"),Abilities,3,FALSE))&amp;"), \\")</f>
        <v>(AbilityName="Multitargeting", ApplyToWeaponSlot=eInvSlot_SecondaryWeapon), \\</v>
      </c>
      <c r="B120" s="234" t="s">
        <v>340</v>
      </c>
      <c r="C120" s="234"/>
      <c r="D120" s="234"/>
      <c r="E120" s="234"/>
      <c r="F120" s="234"/>
      <c r="G120" s="234"/>
      <c r="H120" s="234"/>
      <c r="I120" s="234"/>
      <c r="J120" s="234"/>
    </row>
    <row r="121" spans="1:10" x14ac:dyDescent="0.25">
      <c r="A121" s="240" t="str">
        <f ca="1">IF(INDIRECT("L33")="","\\","(AbilityName="""&amp;VLOOKUP(INDIRECT("L33"),Abilities,2,FALSE)&amp;""""&amp;IF(VLOOKUP(INDIRECT("L33"),Abilities,3,FALSE)="","",", ApplyToWeaponSlot=eInvSlot_"&amp;VLOOKUP(INDIRECT("L33"),Abilities,3,FALSE))&amp;"), \\")</f>
        <v>(AbilityName=" "), \\</v>
      </c>
      <c r="B121" s="234" t="s">
        <v>340</v>
      </c>
      <c r="C121" s="234"/>
      <c r="D121" s="234"/>
      <c r="E121" s="234"/>
      <c r="F121" s="234"/>
      <c r="G121" s="234"/>
      <c r="H121" s="234"/>
      <c r="I121" s="234"/>
      <c r="J121" s="234"/>
    </row>
    <row r="122" spans="1:10" x14ac:dyDescent="0.25">
      <c r="A122" s="240" t="s">
        <v>337</v>
      </c>
      <c r="B122" s="234" t="s">
        <v>340</v>
      </c>
      <c r="C122" s="234"/>
      <c r="D122" s="234"/>
      <c r="E122" s="234"/>
      <c r="F122" s="234"/>
      <c r="G122" s="234"/>
      <c r="H122" s="234"/>
      <c r="I122" s="234"/>
      <c r="J122" s="234"/>
    </row>
    <row r="123" spans="1:10" x14ac:dyDescent="0.25">
      <c r="A123" s="240"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(StatType=eStat_HP,StatAmount=1), (StatType=eStat_Hacking,StatAmount=5)),\\</v>
      </c>
      <c r="B123" s="234" t="s">
        <v>340</v>
      </c>
      <c r="C123" s="234"/>
      <c r="D123" s="234"/>
      <c r="E123" s="234"/>
      <c r="F123" s="234"/>
      <c r="G123" s="234"/>
      <c r="H123" s="234"/>
      <c r="I123" s="234"/>
      <c r="J123" s="234"/>
    </row>
    <row r="124" spans="1:10" x14ac:dyDescent="0.25">
      <c r="A124" s="240" t="s">
        <v>338</v>
      </c>
      <c r="B124" s="234" t="s">
        <v>340</v>
      </c>
      <c r="C124" s="234"/>
      <c r="D124" s="234"/>
      <c r="E124" s="234"/>
      <c r="F124" s="234"/>
      <c r="G124" s="234"/>
      <c r="H124" s="234"/>
      <c r="I124" s="234"/>
      <c r="J124" s="234"/>
    </row>
    <row r="125" spans="1:10" x14ac:dyDescent="0.25">
      <c r="A125" s="240" t="str">
        <f>"; master sergeant"</f>
        <v>; master sergeant</v>
      </c>
      <c r="B125" s="234" t="s">
        <v>340</v>
      </c>
      <c r="C125" s="234"/>
      <c r="D125" s="234"/>
      <c r="E125" s="234"/>
      <c r="F125" s="234"/>
      <c r="G125" s="234"/>
      <c r="H125" s="234"/>
      <c r="I125" s="234"/>
      <c r="J125" s="234"/>
    </row>
    <row r="126" spans="1:10" x14ac:dyDescent="0.25">
      <c r="A126" s="240" t="str">
        <f ca="1">"+SoldierRanks=(  aAbilityTree=( (AbilityName="""&amp;VLOOKUP(INDIRECT("F37"),Abilities,2,FALSE)&amp;""""&amp;IF(VLOOKUP(INDIRECT("F37"),Abilities,3,FALSE)="","",", ApplyToWeaponSlot=eInvSlot_"&amp;VLOOKUP(INDIRECT("F37"),Abilities,3,FALSE))&amp;"), \\"</f>
        <v>+SoldierRanks=(  aAbilityTree=( (AbilityName="LWD_Ghost"), \\</v>
      </c>
      <c r="B126" s="234" t="s">
        <v>340</v>
      </c>
      <c r="C126" s="234"/>
      <c r="D126" s="234"/>
      <c r="E126" s="234"/>
      <c r="F126" s="234"/>
      <c r="G126" s="234"/>
      <c r="H126" s="234"/>
      <c r="I126" s="234"/>
      <c r="J126" s="234"/>
    </row>
    <row r="127" spans="1:10" x14ac:dyDescent="0.25">
      <c r="A127" s="240" t="str">
        <f ca="1">IF(INDIRECT("I37")="","\\","(AbilityName="""&amp;VLOOKUP(INDIRECT("I37"),Abilities,2,FALSE)&amp;""""&amp;IF(VLOOKUP(INDIRECT("I37"),Abilities,3,FALSE)="","",", ApplyToWeaponSlot=eInvSlot_"&amp;VLOOKUP(INDIRECT("I37"),Abilities,3,FALSE))&amp;"), \\")</f>
        <v>(AbilityName=" "), \\</v>
      </c>
      <c r="B127" s="234" t="s">
        <v>340</v>
      </c>
      <c r="C127" s="234"/>
      <c r="D127" s="234"/>
      <c r="E127" s="234"/>
      <c r="F127" s="234"/>
      <c r="G127" s="234"/>
      <c r="H127" s="234"/>
      <c r="I127" s="234"/>
      <c r="J127" s="234"/>
    </row>
    <row r="128" spans="1:10" x14ac:dyDescent="0.25">
      <c r="A128" s="240" t="str">
        <f ca="1">IF(INDIRECT("L37")="","\\","(AbilityName="""&amp;VLOOKUP(INDIRECT("L37"),Abilities,2,FALSE)&amp;""""&amp;IF(VLOOKUP(INDIRECT("L37"),Abilities,3,FALSE)="","",", ApplyToWeaponSlot=eInvSlot_"&amp;VLOOKUP(INDIRECT("L37"),Abilities,3,FALSE))&amp;"), \\")</f>
        <v>(AbilityName="ShadowOps_Airstrike", ApplyToWeaponSlot=eInvSlot_SecondaryWeapon), \\</v>
      </c>
      <c r="B128" s="234" t="s">
        <v>340</v>
      </c>
      <c r="C128" s="234"/>
      <c r="D128" s="234"/>
      <c r="E128" s="234"/>
      <c r="F128" s="234"/>
      <c r="G128" s="234"/>
      <c r="H128" s="234"/>
      <c r="I128" s="234"/>
      <c r="J128" s="234"/>
    </row>
    <row r="129" spans="1:10" x14ac:dyDescent="0.25">
      <c r="A129" s="240" t="s">
        <v>337</v>
      </c>
      <c r="B129" s="234" t="s">
        <v>340</v>
      </c>
      <c r="C129" s="234"/>
      <c r="D129" s="234"/>
      <c r="E129" s="234"/>
      <c r="F129" s="234"/>
      <c r="G129" s="234"/>
      <c r="H129" s="234"/>
      <c r="I129" s="234"/>
      <c r="J129" s="234"/>
    </row>
    <row r="130" spans="1:10" x14ac:dyDescent="0.25">
      <c r="A130" s="240"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(StatType=eStat_HP,StatAmount=0), (StatType=eStat_Hacking,StatAmount=5)),\\</v>
      </c>
      <c r="B130" s="234" t="s">
        <v>340</v>
      </c>
      <c r="C130" s="234"/>
      <c r="D130" s="234"/>
      <c r="E130" s="234"/>
      <c r="F130" s="234"/>
      <c r="G130" s="234"/>
      <c r="H130" s="234"/>
      <c r="I130" s="234"/>
      <c r="J130" s="234"/>
    </row>
    <row r="131" spans="1:10" ht="15.75" thickBot="1" x14ac:dyDescent="0.3">
      <c r="A131" s="241" t="s">
        <v>338</v>
      </c>
      <c r="B131" s="234" t="s">
        <v>340</v>
      </c>
      <c r="C131" s="234"/>
      <c r="D131" s="234"/>
      <c r="E131" s="234"/>
      <c r="F131" s="234"/>
      <c r="G131" s="234"/>
      <c r="H131" s="234"/>
      <c r="I131" s="234"/>
      <c r="J131" s="234"/>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I37:J37"/>
    <mergeCell ref="F17:G17"/>
    <mergeCell ref="I17:J17"/>
    <mergeCell ref="L17:M1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L37:M37"/>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A40:B41"/>
    <mergeCell ref="C40:E41"/>
    <mergeCell ref="A42:B42"/>
    <mergeCell ref="C42:D42"/>
    <mergeCell ref="E42:F42"/>
    <mergeCell ref="F38:H39"/>
    <mergeCell ref="I38:K39"/>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9809"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9810"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9811"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9812"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9813"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9814"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9815"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9816"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9817"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9818"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9819"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9820"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9821"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F4</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90" t="s">
        <v>308</v>
      </c>
      <c r="B1" s="91"/>
      <c r="C1" s="94" t="s">
        <v>403</v>
      </c>
      <c r="D1" s="95"/>
      <c r="E1" s="95"/>
      <c r="F1" s="98" t="s">
        <v>324</v>
      </c>
      <c r="G1" s="99"/>
      <c r="H1" s="99"/>
      <c r="I1" s="99"/>
      <c r="J1" s="99"/>
      <c r="K1" s="99"/>
      <c r="L1" s="99"/>
      <c r="M1" s="99"/>
      <c r="N1" s="99"/>
      <c r="O1" s="100" t="s">
        <v>325</v>
      </c>
      <c r="P1" s="101"/>
      <c r="Q1" s="101"/>
      <c r="R1" s="101"/>
      <c r="S1" s="101"/>
      <c r="T1" s="101"/>
      <c r="U1" s="102"/>
      <c r="V1" s="196" t="s">
        <v>776</v>
      </c>
      <c r="W1" s="197"/>
      <c r="X1" s="197"/>
      <c r="Y1" s="197"/>
    </row>
    <row r="2" spans="1:25" ht="15" customHeight="1" thickBot="1" x14ac:dyDescent="0.3">
      <c r="A2" s="92"/>
      <c r="B2" s="93"/>
      <c r="C2" s="96"/>
      <c r="D2" s="97"/>
      <c r="E2" s="97"/>
      <c r="F2" s="98"/>
      <c r="G2" s="99"/>
      <c r="H2" s="99"/>
      <c r="I2" s="99"/>
      <c r="J2" s="99"/>
      <c r="K2" s="99"/>
      <c r="L2" s="99"/>
      <c r="M2" s="99"/>
      <c r="N2" s="99"/>
      <c r="O2" s="103"/>
      <c r="P2" s="104"/>
      <c r="Q2" s="104"/>
      <c r="R2" s="104"/>
      <c r="S2" s="104"/>
      <c r="T2" s="104"/>
      <c r="U2" s="105"/>
      <c r="V2" s="198"/>
      <c r="W2" s="199"/>
      <c r="X2" s="199"/>
      <c r="Y2" s="199"/>
    </row>
    <row r="3" spans="1:25" ht="18" thickBot="1" x14ac:dyDescent="0.35">
      <c r="A3" s="106" t="s">
        <v>309</v>
      </c>
      <c r="B3" s="107"/>
      <c r="C3" s="108" t="str">
        <f>Output!$L$1&amp;SUBSTITUTE(C1," ","")</f>
        <v>LWD_Sapper</v>
      </c>
      <c r="D3" s="109"/>
      <c r="E3" s="109"/>
      <c r="F3" s="110" t="s">
        <v>12</v>
      </c>
      <c r="G3" s="111"/>
      <c r="H3" s="111"/>
      <c r="I3" s="111"/>
      <c r="J3" s="111"/>
      <c r="K3" s="111"/>
      <c r="L3" s="111"/>
      <c r="M3" s="111"/>
      <c r="N3" s="112"/>
      <c r="O3" s="15"/>
      <c r="P3" s="16" t="s">
        <v>79</v>
      </c>
      <c r="Q3" s="17" t="s">
        <v>326</v>
      </c>
      <c r="R3" s="17" t="s">
        <v>328</v>
      </c>
      <c r="S3" s="17" t="s">
        <v>327</v>
      </c>
      <c r="T3" s="17" t="s">
        <v>330</v>
      </c>
      <c r="U3" s="18" t="s">
        <v>329</v>
      </c>
      <c r="V3" s="200" t="s">
        <v>810</v>
      </c>
      <c r="W3" s="201"/>
      <c r="X3" s="200" t="s">
        <v>811</v>
      </c>
      <c r="Y3" s="201"/>
    </row>
    <row r="4" spans="1:25" ht="18" thickTop="1" x14ac:dyDescent="0.3">
      <c r="A4" s="113" t="s">
        <v>310</v>
      </c>
      <c r="B4" s="114"/>
      <c r="C4" s="115" t="s">
        <v>314</v>
      </c>
      <c r="D4" s="116"/>
      <c r="E4" s="116"/>
      <c r="F4" s="119" t="s">
        <v>88</v>
      </c>
      <c r="G4" s="120"/>
      <c r="H4" s="4" t="str">
        <f>IFERROR(VLOOKUP(F4,Abilities,4,FALSE),"")</f>
        <v>XCOM2</v>
      </c>
      <c r="I4" s="121" t="s">
        <v>403</v>
      </c>
      <c r="J4" s="120"/>
      <c r="K4" s="35" t="str">
        <f>IFERROR(VLOOKUP(I4,Abilities,4,FALSE),"")</f>
        <v>LW2</v>
      </c>
      <c r="L4" s="122" t="s">
        <v>469</v>
      </c>
      <c r="M4" s="120"/>
      <c r="N4" s="10" t="str">
        <f>IFERROR(VLOOKUP(L4,Abilities,4,FALSE),"")</f>
        <v>SOLW</v>
      </c>
      <c r="O4" s="19" t="s">
        <v>12</v>
      </c>
      <c r="P4" s="4">
        <v>2</v>
      </c>
      <c r="Q4" s="20">
        <v>0</v>
      </c>
      <c r="R4" s="20"/>
      <c r="S4" s="4">
        <v>0</v>
      </c>
      <c r="T4" s="4">
        <v>1</v>
      </c>
      <c r="U4" s="10"/>
      <c r="V4" s="192" t="s">
        <v>777</v>
      </c>
      <c r="W4" s="193"/>
      <c r="X4" s="192" t="s">
        <v>801</v>
      </c>
      <c r="Y4" s="193"/>
    </row>
    <row r="5" spans="1:25" ht="15" customHeight="1" x14ac:dyDescent="0.25">
      <c r="A5" s="6"/>
      <c r="B5" s="5" t="b">
        <v>0</v>
      </c>
      <c r="C5" s="117"/>
      <c r="D5" s="118"/>
      <c r="E5" s="118"/>
      <c r="F5" s="123" t="str">
        <f>IFERROR(VLOOKUP(F4,Abilities,7,FALSE),"")</f>
        <v>The Grenadier uses a grenade launcher to fire grenades rather than throwing them. This allows for greater grenade range and grenade capacity.The grenadier gains an extra inventory slot that may only be used for grenades.</v>
      </c>
      <c r="G5" s="124"/>
      <c r="H5" s="125"/>
      <c r="I5" s="129">
        <f>IFERROR(VLOOKUP(I4,Abilities,7,FALSE),"")</f>
        <v>0</v>
      </c>
      <c r="J5" s="130"/>
      <c r="K5" s="131"/>
      <c r="L5" s="130" t="str">
        <f>IFERROR(VLOOKUP(L4,Abilities,7,FALSE),"")</f>
        <v>Your standard &lt;Ability:WeaponName/&gt; attacks deal &lt;Ability:Damage&gt;% more damage to inanimate objects such as relays and gas tanks.</v>
      </c>
      <c r="M5" s="130"/>
      <c r="N5" s="135"/>
      <c r="O5" s="26" t="s">
        <v>456</v>
      </c>
      <c r="P5" s="27">
        <v>2</v>
      </c>
      <c r="Q5" s="28">
        <v>1</v>
      </c>
      <c r="R5" s="28"/>
      <c r="S5" s="27">
        <v>0</v>
      </c>
      <c r="T5" s="27"/>
      <c r="U5" s="29"/>
      <c r="V5" s="190" t="s">
        <v>821</v>
      </c>
      <c r="W5" s="191"/>
      <c r="X5" s="190" t="s">
        <v>802</v>
      </c>
      <c r="Y5" s="191"/>
    </row>
    <row r="6" spans="1:25" ht="15" customHeight="1" x14ac:dyDescent="0.25">
      <c r="A6" s="6"/>
      <c r="B6" s="5" t="b">
        <v>1</v>
      </c>
      <c r="C6" s="137" t="s">
        <v>315</v>
      </c>
      <c r="D6" s="138"/>
      <c r="E6" s="11">
        <v>0</v>
      </c>
      <c r="F6" s="126"/>
      <c r="G6" s="127"/>
      <c r="H6" s="128"/>
      <c r="I6" s="132"/>
      <c r="J6" s="133"/>
      <c r="K6" s="134"/>
      <c r="L6" s="133"/>
      <c r="M6" s="133"/>
      <c r="N6" s="136"/>
      <c r="O6" s="19" t="s">
        <v>15</v>
      </c>
      <c r="P6" s="4">
        <v>2</v>
      </c>
      <c r="Q6" s="20">
        <v>0</v>
      </c>
      <c r="R6" s="20"/>
      <c r="S6" s="4">
        <v>0</v>
      </c>
      <c r="T6" s="4"/>
      <c r="U6" s="10"/>
      <c r="V6" s="190" t="s">
        <v>778</v>
      </c>
      <c r="W6" s="191"/>
      <c r="X6" s="192" t="s">
        <v>803</v>
      </c>
      <c r="Y6" s="193"/>
    </row>
    <row r="7" spans="1:25" ht="15" customHeight="1" x14ac:dyDescent="0.25">
      <c r="A7" s="6"/>
      <c r="B7" s="5" t="b">
        <v>1</v>
      </c>
      <c r="C7" s="137" t="s">
        <v>316</v>
      </c>
      <c r="D7" s="138"/>
      <c r="E7" s="11">
        <v>4</v>
      </c>
      <c r="F7" s="139"/>
      <c r="G7" s="140"/>
      <c r="H7" s="4" t="str">
        <f>IFERROR(VLOOKUP(F7,Abilities,4,FALSE),"")</f>
        <v/>
      </c>
      <c r="I7" s="141"/>
      <c r="J7" s="140"/>
      <c r="K7" s="4" t="str">
        <f>IFERROR(VLOOKUP(I7,Abilities,4,FALSE),"")</f>
        <v/>
      </c>
      <c r="L7" s="142"/>
      <c r="M7" s="140"/>
      <c r="N7" s="10" t="str">
        <f>IFERROR(VLOOKUP(L7,Abilities,4,FALSE),"")</f>
        <v/>
      </c>
      <c r="O7" s="26" t="s">
        <v>21</v>
      </c>
      <c r="P7" s="27">
        <v>2</v>
      </c>
      <c r="Q7" s="28">
        <v>1</v>
      </c>
      <c r="R7" s="28"/>
      <c r="S7" s="27">
        <v>0</v>
      </c>
      <c r="T7" s="27"/>
      <c r="U7" s="29"/>
      <c r="V7" s="192" t="s">
        <v>779</v>
      </c>
      <c r="W7" s="193"/>
      <c r="X7" s="190" t="s">
        <v>804</v>
      </c>
      <c r="Y7" s="191"/>
    </row>
    <row r="8" spans="1:25" ht="15" customHeight="1" thickBot="1" x14ac:dyDescent="0.3">
      <c r="A8" s="6"/>
      <c r="B8" s="5" t="b">
        <v>0</v>
      </c>
      <c r="C8" s="137" t="s">
        <v>317</v>
      </c>
      <c r="D8" s="143"/>
      <c r="E8" s="12" t="s">
        <v>757</v>
      </c>
      <c r="F8" s="144" t="str">
        <f>IFERROR(VLOOKUP(F7,Abilities,7,FALSE),"")</f>
        <v/>
      </c>
      <c r="G8" s="130"/>
      <c r="H8" s="131"/>
      <c r="I8" s="129" t="str">
        <f>IFERROR(VLOOKUP(I7,Abilities,7,FALSE),"")</f>
        <v/>
      </c>
      <c r="J8" s="130"/>
      <c r="K8" s="131"/>
      <c r="L8" s="130" t="str">
        <f>IFERROR(VLOOKUP(L7,Abilities,7,FALSE),"")</f>
        <v/>
      </c>
      <c r="M8" s="130"/>
      <c r="N8" s="135"/>
      <c r="O8" s="21" t="s">
        <v>457</v>
      </c>
      <c r="P8" s="4">
        <v>2</v>
      </c>
      <c r="Q8" s="20">
        <v>0</v>
      </c>
      <c r="R8" s="20"/>
      <c r="S8" s="4">
        <v>0</v>
      </c>
      <c r="T8" s="4"/>
      <c r="U8" s="10"/>
      <c r="V8" s="190" t="s">
        <v>780</v>
      </c>
      <c r="W8" s="191"/>
      <c r="X8" s="192" t="s">
        <v>805</v>
      </c>
      <c r="Y8" s="193"/>
    </row>
    <row r="9" spans="1:25" ht="15.75" thickBot="1" x14ac:dyDescent="0.3">
      <c r="A9" s="6"/>
      <c r="B9" s="5" t="b">
        <v>0</v>
      </c>
      <c r="C9" s="137" t="s">
        <v>319</v>
      </c>
      <c r="D9" s="143"/>
      <c r="E9" s="12">
        <v>1</v>
      </c>
      <c r="F9" s="145"/>
      <c r="G9" s="133"/>
      <c r="H9" s="134"/>
      <c r="I9" s="146"/>
      <c r="J9" s="147"/>
      <c r="K9" s="148"/>
      <c r="L9" s="133"/>
      <c r="M9" s="133"/>
      <c r="N9" s="136"/>
      <c r="O9" s="26" t="s">
        <v>458</v>
      </c>
      <c r="P9" s="27">
        <v>2</v>
      </c>
      <c r="Q9" s="28">
        <v>1</v>
      </c>
      <c r="R9" s="28"/>
      <c r="S9" s="27">
        <v>0</v>
      </c>
      <c r="T9" s="27"/>
      <c r="U9" s="29"/>
      <c r="V9" s="192" t="s">
        <v>781</v>
      </c>
      <c r="W9" s="193"/>
      <c r="X9" s="200" t="s">
        <v>812</v>
      </c>
      <c r="Y9" s="201"/>
    </row>
    <row r="10" spans="1:25" ht="18.75" x14ac:dyDescent="0.3">
      <c r="A10" s="6"/>
      <c r="B10" s="5" t="b">
        <v>0</v>
      </c>
      <c r="C10" s="137" t="s">
        <v>318</v>
      </c>
      <c r="D10" s="143"/>
      <c r="E10" s="12">
        <v>4</v>
      </c>
      <c r="F10" s="157" t="s">
        <v>311</v>
      </c>
      <c r="G10" s="158"/>
      <c r="H10" s="159"/>
      <c r="I10" s="160" t="s">
        <v>349</v>
      </c>
      <c r="J10" s="158"/>
      <c r="K10" s="159"/>
      <c r="L10" s="158" t="s">
        <v>312</v>
      </c>
      <c r="M10" s="158"/>
      <c r="N10" s="161"/>
      <c r="O10" s="36" t="s">
        <v>459</v>
      </c>
      <c r="P10" s="37">
        <v>2</v>
      </c>
      <c r="Q10" s="37">
        <v>0</v>
      </c>
      <c r="R10" s="37"/>
      <c r="S10" s="37">
        <v>0</v>
      </c>
      <c r="T10" s="37"/>
      <c r="U10" s="38"/>
      <c r="V10" s="190" t="s">
        <v>782</v>
      </c>
      <c r="W10" s="191"/>
      <c r="X10" s="192" t="s">
        <v>806</v>
      </c>
      <c r="Y10" s="193"/>
    </row>
    <row r="11" spans="1:25" ht="15.75" customHeight="1" thickBot="1" x14ac:dyDescent="0.3">
      <c r="A11" s="6"/>
      <c r="B11" s="5" t="b">
        <v>1</v>
      </c>
      <c r="C11" s="137" t="s">
        <v>320</v>
      </c>
      <c r="D11" s="143"/>
      <c r="E11" s="12">
        <v>4</v>
      </c>
      <c r="F11" s="162" t="s">
        <v>753</v>
      </c>
      <c r="G11" s="163"/>
      <c r="H11" s="164"/>
      <c r="I11" s="165"/>
      <c r="J11" s="163"/>
      <c r="K11" s="164"/>
      <c r="L11" s="163" t="s">
        <v>752</v>
      </c>
      <c r="M11" s="163"/>
      <c r="N11" s="166"/>
      <c r="O11" s="39" t="s">
        <v>460</v>
      </c>
      <c r="P11" s="40">
        <v>2</v>
      </c>
      <c r="Q11" s="41">
        <v>1</v>
      </c>
      <c r="R11" s="41"/>
      <c r="S11" s="40">
        <v>0</v>
      </c>
      <c r="T11" s="40"/>
      <c r="U11" s="42"/>
      <c r="V11" s="192" t="s">
        <v>824</v>
      </c>
      <c r="W11" s="193"/>
      <c r="X11" s="190" t="s">
        <v>807</v>
      </c>
      <c r="Y11" s="191"/>
    </row>
    <row r="12" spans="1:25" ht="18" customHeight="1" thickBot="1" x14ac:dyDescent="0.35">
      <c r="A12" s="6"/>
      <c r="B12" s="5" t="b">
        <v>0</v>
      </c>
      <c r="C12" s="137" t="s">
        <v>321</v>
      </c>
      <c r="D12" s="143"/>
      <c r="E12" s="12">
        <v>1</v>
      </c>
      <c r="F12" s="169" t="s">
        <v>443</v>
      </c>
      <c r="G12" s="170"/>
      <c r="H12" s="170"/>
      <c r="I12" s="170"/>
      <c r="J12" s="170"/>
      <c r="K12" s="170"/>
      <c r="L12" s="170"/>
      <c r="M12" s="170"/>
      <c r="N12" s="171"/>
      <c r="O12" s="149" t="s">
        <v>813</v>
      </c>
      <c r="P12" s="150"/>
      <c r="Q12" s="150"/>
      <c r="R12" s="150"/>
      <c r="S12" s="150"/>
      <c r="T12" s="150"/>
      <c r="U12" s="151"/>
      <c r="V12" s="192" t="s">
        <v>834</v>
      </c>
      <c r="W12" s="193"/>
      <c r="X12" s="192" t="s">
        <v>808</v>
      </c>
      <c r="Y12" s="193"/>
    </row>
    <row r="13" spans="1:25" ht="16.5" thickTop="1" thickBot="1" x14ac:dyDescent="0.3">
      <c r="A13" s="6"/>
      <c r="B13" s="5" t="b">
        <v>0</v>
      </c>
      <c r="C13" s="155" t="s">
        <v>322</v>
      </c>
      <c r="D13" s="156"/>
      <c r="E13" s="13" t="s">
        <v>323</v>
      </c>
      <c r="F13" s="119" t="s">
        <v>416</v>
      </c>
      <c r="G13" s="120"/>
      <c r="H13" s="4" t="str">
        <f>IFERROR(VLOOKUP(F13,Abilities,4,FALSE),"")</f>
        <v>LW2</v>
      </c>
      <c r="I13" s="121" t="s">
        <v>962</v>
      </c>
      <c r="J13" s="120"/>
      <c r="K13" s="35" t="str">
        <f>IFERROR(VLOOKUP(I13,Abilities,4,FALSE),"")</f>
        <v>BLANK</v>
      </c>
      <c r="L13" s="122" t="s">
        <v>582</v>
      </c>
      <c r="M13" s="120"/>
      <c r="N13" s="10" t="str">
        <f>IFERROR(VLOOKUP(L13,Abilities,4,FALSE),"")</f>
        <v>SOLW</v>
      </c>
      <c r="O13" s="152"/>
      <c r="P13" s="153"/>
      <c r="Q13" s="153"/>
      <c r="R13" s="153"/>
      <c r="S13" s="153"/>
      <c r="T13" s="153"/>
      <c r="U13" s="154"/>
      <c r="V13" s="192" t="s">
        <v>818</v>
      </c>
      <c r="W13" s="193"/>
      <c r="X13" s="190" t="s">
        <v>809</v>
      </c>
      <c r="Y13" s="191"/>
    </row>
    <row r="14" spans="1:25" ht="15.75" thickBot="1" x14ac:dyDescent="0.3">
      <c r="A14" s="6"/>
      <c r="B14" s="7" t="b">
        <v>0</v>
      </c>
      <c r="F14" s="144">
        <f>IFERROR(VLOOKUP(F13,Abilities,7,FALSE),"")</f>
        <v>0</v>
      </c>
      <c r="G14" s="130"/>
      <c r="H14" s="131"/>
      <c r="I14" s="129" t="str">
        <f>IFERROR(VLOOKUP(I13,Abilities,7,FALSE),"")</f>
        <v xml:space="preserve"> </v>
      </c>
      <c r="J14" s="130"/>
      <c r="K14" s="131"/>
      <c r="L14" s="130" t="str">
        <f>IFERROR(VLOOKUP(L13,Abilities,7,FALSE),"")</f>
        <v>Fire a shot that destroys cover and shreds &lt;Ability:Shred/&gt; armor in a small area, but deals reduced damage and can't get critical hits. Shotgun only.</v>
      </c>
      <c r="M14" s="130"/>
      <c r="N14" s="135"/>
      <c r="O14" s="22"/>
      <c r="P14" s="23" t="s">
        <v>331</v>
      </c>
      <c r="Q14" s="24" t="s">
        <v>332</v>
      </c>
      <c r="R14" s="24" t="s">
        <v>333</v>
      </c>
      <c r="S14" s="24" t="s">
        <v>334</v>
      </c>
      <c r="T14" s="24" t="s">
        <v>336</v>
      </c>
      <c r="U14" s="25" t="s">
        <v>335</v>
      </c>
      <c r="V14" s="190" t="s">
        <v>784</v>
      </c>
      <c r="W14" s="191"/>
      <c r="X14" s="194" t="s">
        <v>814</v>
      </c>
      <c r="Y14" s="195"/>
    </row>
    <row r="15" spans="1:25" ht="15.75" thickBot="1" x14ac:dyDescent="0.3">
      <c r="A15" s="6"/>
      <c r="B15" s="7" t="b">
        <v>0</v>
      </c>
      <c r="F15" s="167"/>
      <c r="G15" s="147"/>
      <c r="H15" s="148"/>
      <c r="I15" s="146"/>
      <c r="J15" s="147"/>
      <c r="K15" s="148"/>
      <c r="L15" s="147"/>
      <c r="M15" s="147"/>
      <c r="N15" s="168"/>
      <c r="O15" s="19" t="s">
        <v>12</v>
      </c>
      <c r="P15" s="4"/>
      <c r="Q15" s="20">
        <v>4</v>
      </c>
      <c r="R15" s="20"/>
      <c r="S15" s="4"/>
      <c r="T15" s="4"/>
      <c r="U15" s="10"/>
      <c r="V15" s="190" t="s">
        <v>878</v>
      </c>
      <c r="W15" s="191"/>
    </row>
    <row r="16" spans="1:25" ht="18" thickBot="1" x14ac:dyDescent="0.35">
      <c r="A16" s="6"/>
      <c r="B16" s="7" t="b">
        <v>0</v>
      </c>
      <c r="F16" s="169" t="s">
        <v>15</v>
      </c>
      <c r="G16" s="170"/>
      <c r="H16" s="170"/>
      <c r="I16" s="170"/>
      <c r="J16" s="170"/>
      <c r="K16" s="170"/>
      <c r="L16" s="170"/>
      <c r="M16" s="170"/>
      <c r="N16" s="171"/>
      <c r="O16" s="26" t="s">
        <v>456</v>
      </c>
      <c r="P16" s="27"/>
      <c r="Q16" s="28">
        <v>4</v>
      </c>
      <c r="R16" s="28"/>
      <c r="S16" s="27"/>
      <c r="T16" s="27"/>
      <c r="U16" s="29"/>
      <c r="V16" s="190" t="s">
        <v>879</v>
      </c>
      <c r="W16" s="191"/>
    </row>
    <row r="17" spans="1:23" ht="16.5" thickTop="1" thickBot="1" x14ac:dyDescent="0.3">
      <c r="A17" s="8"/>
      <c r="B17" s="9" t="b">
        <v>0</v>
      </c>
      <c r="F17" s="121" t="s">
        <v>962</v>
      </c>
      <c r="G17" s="120"/>
      <c r="H17" s="4" t="str">
        <f>IFERROR(VLOOKUP(F17,Abilities,4,FALSE),"")</f>
        <v>BLANK</v>
      </c>
      <c r="I17" s="121" t="s">
        <v>101</v>
      </c>
      <c r="J17" s="120"/>
      <c r="K17" s="35" t="str">
        <f>IFERROR(VLOOKUP(I17,Abilities,4,FALSE),"")</f>
        <v>LW2</v>
      </c>
      <c r="L17" s="121" t="s">
        <v>962</v>
      </c>
      <c r="M17" s="120"/>
      <c r="N17" s="10" t="str">
        <f>IFERROR(VLOOKUP(L17,Abilities,4,FALSE),"")</f>
        <v>BLANK</v>
      </c>
      <c r="O17" s="19" t="s">
        <v>15</v>
      </c>
      <c r="P17" s="4"/>
      <c r="Q17" s="20"/>
      <c r="R17" s="20"/>
      <c r="S17" s="4"/>
      <c r="T17" s="4"/>
      <c r="U17" s="10"/>
      <c r="V17" s="192" t="s">
        <v>880</v>
      </c>
      <c r="W17" s="193"/>
    </row>
    <row r="18" spans="1:23" x14ac:dyDescent="0.25">
      <c r="A18" s="172" t="s">
        <v>344</v>
      </c>
      <c r="B18" s="173"/>
      <c r="F18" s="144" t="str">
        <f>IFERROR(VLOOKUP(F17,Abilities,7,FALSE),"")</f>
        <v xml:space="preserve"> </v>
      </c>
      <c r="G18" s="130"/>
      <c r="H18" s="131"/>
      <c r="I18" s="129">
        <f>IFERROR(VLOOKUP(I17,Abilities,7,FALSE),"")</f>
        <v>0</v>
      </c>
      <c r="J18" s="130"/>
      <c r="K18" s="131"/>
      <c r="L18" s="130" t="str">
        <f>IFERROR(VLOOKUP(L17,Abilities,7,FALSE),"")</f>
        <v xml:space="preserve"> </v>
      </c>
      <c r="M18" s="130"/>
      <c r="N18" s="135"/>
      <c r="O18" s="26" t="s">
        <v>21</v>
      </c>
      <c r="P18" s="27"/>
      <c r="Q18" s="28"/>
      <c r="R18" s="28"/>
      <c r="S18" s="27"/>
      <c r="T18" s="27"/>
      <c r="U18" s="29"/>
      <c r="V18" s="190" t="s">
        <v>788</v>
      </c>
      <c r="W18" s="191"/>
    </row>
    <row r="19" spans="1:23" ht="15.75" thickBot="1" x14ac:dyDescent="0.3">
      <c r="A19" s="174"/>
      <c r="B19" s="175"/>
      <c r="D19" s="3"/>
      <c r="F19" s="167"/>
      <c r="G19" s="147"/>
      <c r="H19" s="148"/>
      <c r="I19" s="146"/>
      <c r="J19" s="147"/>
      <c r="K19" s="148"/>
      <c r="L19" s="147"/>
      <c r="M19" s="147"/>
      <c r="N19" s="168"/>
      <c r="O19" s="21" t="s">
        <v>457</v>
      </c>
      <c r="P19" s="4"/>
      <c r="Q19" s="20"/>
      <c r="R19" s="20"/>
      <c r="S19" s="4"/>
      <c r="T19" s="4"/>
      <c r="U19" s="10"/>
      <c r="V19" s="192" t="s">
        <v>789</v>
      </c>
      <c r="W19" s="193"/>
    </row>
    <row r="20" spans="1:23" ht="18" thickBot="1" x14ac:dyDescent="0.35">
      <c r="A20" s="176" t="s">
        <v>919</v>
      </c>
      <c r="B20" s="177"/>
      <c r="C20" s="178"/>
      <c r="D20" s="178"/>
      <c r="E20" s="179"/>
      <c r="F20" s="169" t="s">
        <v>21</v>
      </c>
      <c r="G20" s="170"/>
      <c r="H20" s="170"/>
      <c r="I20" s="170"/>
      <c r="J20" s="170"/>
      <c r="K20" s="170"/>
      <c r="L20" s="170"/>
      <c r="M20" s="170"/>
      <c r="N20" s="171"/>
      <c r="O20" s="26" t="s">
        <v>458</v>
      </c>
      <c r="P20" s="27"/>
      <c r="Q20" s="28"/>
      <c r="R20" s="28"/>
      <c r="S20" s="27"/>
      <c r="T20" s="27"/>
      <c r="U20" s="29"/>
      <c r="V20" s="192" t="s">
        <v>790</v>
      </c>
      <c r="W20" s="193"/>
    </row>
    <row r="21" spans="1:23" ht="15.75" thickTop="1" x14ac:dyDescent="0.25">
      <c r="A21" s="176"/>
      <c r="B21" s="177"/>
      <c r="C21" s="177"/>
      <c r="D21" s="177"/>
      <c r="E21" s="180"/>
      <c r="F21" s="119" t="s">
        <v>295</v>
      </c>
      <c r="G21" s="120"/>
      <c r="H21" s="4" t="str">
        <f>IFERROR(VLOOKUP(F21,Abilities,4,FALSE),"")</f>
        <v>LW2</v>
      </c>
      <c r="I21" s="121" t="s">
        <v>962</v>
      </c>
      <c r="J21" s="120"/>
      <c r="K21" s="35" t="str">
        <f>IFERROR(VLOOKUP(I21,Abilities,4,FALSE),"")</f>
        <v>BLANK</v>
      </c>
      <c r="L21" s="122" t="s">
        <v>1091</v>
      </c>
      <c r="M21" s="120"/>
      <c r="N21" s="10" t="str">
        <f>IFERROR(VLOOKUP(L21,Abilities,4,FALSE),"")</f>
        <v>LWD</v>
      </c>
      <c r="O21" s="36" t="s">
        <v>459</v>
      </c>
      <c r="P21" s="37"/>
      <c r="Q21" s="37"/>
      <c r="R21" s="37"/>
      <c r="S21" s="37"/>
      <c r="T21" s="37"/>
      <c r="U21" s="38"/>
      <c r="V21" s="190" t="s">
        <v>791</v>
      </c>
      <c r="W21" s="191"/>
    </row>
    <row r="22" spans="1:23" ht="15.75" thickBot="1" x14ac:dyDescent="0.3">
      <c r="A22" s="181"/>
      <c r="B22" s="182"/>
      <c r="C22" s="182"/>
      <c r="D22" s="182"/>
      <c r="E22" s="183"/>
      <c r="F22" s="144">
        <f>IFERROR(VLOOKUP(F21,Abilities,7,FALSE),"")</f>
        <v>0</v>
      </c>
      <c r="G22" s="130"/>
      <c r="H22" s="131"/>
      <c r="I22" s="129" t="str">
        <f>IFERROR(VLOOKUP(I21,Abilities,7,FALSE),"")</f>
        <v xml:space="preserve"> </v>
      </c>
      <c r="J22" s="130"/>
      <c r="K22" s="131"/>
      <c r="L22" s="130" t="str">
        <f>IFERROR(VLOOKUP(L21,Abilities,7,FALSE),"")</f>
        <v>You always carry a shaped charge into battle, and using shaped charges doesn't cost an action.</v>
      </c>
      <c r="M22" s="130"/>
      <c r="N22" s="135"/>
      <c r="O22" s="39" t="s">
        <v>460</v>
      </c>
      <c r="P22" s="40"/>
      <c r="Q22" s="41"/>
      <c r="R22" s="41"/>
      <c r="S22" s="40"/>
      <c r="T22" s="40"/>
      <c r="U22" s="42"/>
      <c r="V22" s="192" t="s">
        <v>881</v>
      </c>
      <c r="W22" s="193"/>
    </row>
    <row r="23" spans="1:23" ht="15.75" thickBot="1" x14ac:dyDescent="0.3">
      <c r="A23" s="184" t="s">
        <v>352</v>
      </c>
      <c r="B23" s="185"/>
      <c r="C23" s="185"/>
      <c r="D23" s="185"/>
      <c r="E23" s="186"/>
      <c r="F23" s="167"/>
      <c r="G23" s="147"/>
      <c r="H23" s="148"/>
      <c r="I23" s="146"/>
      <c r="J23" s="147"/>
      <c r="K23" s="148"/>
      <c r="L23" s="147"/>
      <c r="M23" s="147"/>
      <c r="N23" s="168"/>
      <c r="O23" s="14"/>
      <c r="P23" s="14"/>
      <c r="Q23" s="3"/>
      <c r="V23" s="190" t="s">
        <v>793</v>
      </c>
      <c r="W23" s="191"/>
    </row>
    <row r="24" spans="1:23" ht="18" thickBot="1" x14ac:dyDescent="0.35">
      <c r="A24" s="187"/>
      <c r="B24" s="188"/>
      <c r="C24" s="188"/>
      <c r="D24" s="188"/>
      <c r="E24" s="189"/>
      <c r="F24" s="169" t="s">
        <v>444</v>
      </c>
      <c r="G24" s="170"/>
      <c r="H24" s="170"/>
      <c r="I24" s="170"/>
      <c r="J24" s="170"/>
      <c r="K24" s="170"/>
      <c r="L24" s="170"/>
      <c r="M24" s="170"/>
      <c r="N24" s="171"/>
      <c r="O24" s="14"/>
      <c r="P24" s="14"/>
      <c r="Q24" s="3"/>
      <c r="V24" s="192" t="s">
        <v>794</v>
      </c>
      <c r="W24" s="193"/>
    </row>
    <row r="25" spans="1:23" ht="15.75" thickTop="1" x14ac:dyDescent="0.25">
      <c r="A25" s="50"/>
      <c r="B25" s="51"/>
      <c r="C25" s="51"/>
      <c r="D25" s="51"/>
      <c r="E25" s="52"/>
      <c r="F25" s="119" t="s">
        <v>427</v>
      </c>
      <c r="G25" s="120"/>
      <c r="H25" s="4" t="str">
        <f>IFERROR(VLOOKUP(F25,Abilities,4,FALSE),"")</f>
        <v>LW2</v>
      </c>
      <c r="I25" s="121" t="s">
        <v>962</v>
      </c>
      <c r="J25" s="120"/>
      <c r="K25" s="35" t="str">
        <f>IFERROR(VLOOKUP(I25,Abilities,4,FALSE),"")</f>
        <v>BLANK</v>
      </c>
      <c r="L25" s="122" t="s">
        <v>418</v>
      </c>
      <c r="M25" s="120"/>
      <c r="N25" s="10" t="str">
        <f>IFERROR(VLOOKUP(L25,Abilities,4,FALSE),"")</f>
        <v>LW2</v>
      </c>
      <c r="O25" s="14"/>
      <c r="P25" s="14"/>
      <c r="Q25" s="3"/>
      <c r="V25" s="190" t="s">
        <v>795</v>
      </c>
      <c r="W25" s="191"/>
    </row>
    <row r="26" spans="1:23" x14ac:dyDescent="0.25">
      <c r="A26" s="50"/>
      <c r="B26" s="51"/>
      <c r="C26" s="51"/>
      <c r="D26" s="51"/>
      <c r="E26" s="52"/>
      <c r="F26" s="144">
        <f>IFERROR(VLOOKUP(F25,Abilities,7,FALSE),"")</f>
        <v>0</v>
      </c>
      <c r="G26" s="130"/>
      <c r="H26" s="131"/>
      <c r="I26" s="129" t="str">
        <f>IFERROR(VLOOKUP(I25,Abilities,7,FALSE),"")</f>
        <v xml:space="preserve"> </v>
      </c>
      <c r="J26" s="130"/>
      <c r="K26" s="131"/>
      <c r="L26" s="130">
        <f>IFERROR(VLOOKUP(L25,Abilities,7,FALSE),"")</f>
        <v>0</v>
      </c>
      <c r="M26" s="130"/>
      <c r="N26" s="135"/>
      <c r="O26" s="14"/>
      <c r="P26" s="14"/>
      <c r="Q26" s="3"/>
      <c r="V26" s="190" t="s">
        <v>797</v>
      </c>
      <c r="W26" s="191"/>
    </row>
    <row r="27" spans="1:23" ht="15.75" thickBot="1" x14ac:dyDescent="0.3">
      <c r="A27" s="50"/>
      <c r="B27" s="51"/>
      <c r="C27" s="51"/>
      <c r="D27" s="51"/>
      <c r="E27" s="52"/>
      <c r="F27" s="167"/>
      <c r="G27" s="147"/>
      <c r="H27" s="148"/>
      <c r="I27" s="146"/>
      <c r="J27" s="147"/>
      <c r="K27" s="148"/>
      <c r="L27" s="147"/>
      <c r="M27" s="147"/>
      <c r="N27" s="168"/>
      <c r="O27" s="14"/>
      <c r="P27" s="14"/>
      <c r="Q27" s="3"/>
      <c r="V27" s="192" t="s">
        <v>798</v>
      </c>
      <c r="W27" s="193"/>
    </row>
    <row r="28" spans="1:23" ht="18" thickBot="1" x14ac:dyDescent="0.35">
      <c r="A28" s="50"/>
      <c r="B28" s="51"/>
      <c r="C28" s="51"/>
      <c r="D28" s="51"/>
      <c r="E28" s="52"/>
      <c r="F28" s="169" t="s">
        <v>445</v>
      </c>
      <c r="G28" s="170"/>
      <c r="H28" s="170"/>
      <c r="I28" s="170"/>
      <c r="J28" s="170"/>
      <c r="K28" s="170"/>
      <c r="L28" s="170"/>
      <c r="M28" s="170"/>
      <c r="N28" s="171"/>
      <c r="O28" s="14"/>
      <c r="P28" s="14"/>
      <c r="Q28" s="3"/>
      <c r="V28" s="190" t="s">
        <v>799</v>
      </c>
      <c r="W28" s="191"/>
    </row>
    <row r="29" spans="1:23" ht="15.75" thickTop="1" x14ac:dyDescent="0.25">
      <c r="A29" s="50"/>
      <c r="B29" s="51"/>
      <c r="C29" s="51"/>
      <c r="D29" s="51"/>
      <c r="E29" s="52"/>
      <c r="F29" s="119" t="s">
        <v>297</v>
      </c>
      <c r="G29" s="120"/>
      <c r="H29" s="4" t="str">
        <f>IFERROR(VLOOKUP(F29,Abilities,4,FALSE),"")</f>
        <v>LW2</v>
      </c>
      <c r="I29" s="121" t="s">
        <v>962</v>
      </c>
      <c r="J29" s="120"/>
      <c r="K29" s="35" t="str">
        <f>IFERROR(VLOOKUP(I29,Abilities,4,FALSE),"")</f>
        <v>BLANK</v>
      </c>
      <c r="L29" s="122" t="s">
        <v>427</v>
      </c>
      <c r="M29" s="120"/>
      <c r="N29" s="10" t="str">
        <f>IFERROR(VLOOKUP(L29,Abilities,4,FALSE),"")</f>
        <v>LW2</v>
      </c>
      <c r="O29" s="14"/>
      <c r="P29" s="14"/>
      <c r="Q29" s="3"/>
      <c r="V29" s="190" t="s">
        <v>825</v>
      </c>
      <c r="W29" s="191"/>
    </row>
    <row r="30" spans="1:23" x14ac:dyDescent="0.25">
      <c r="A30" s="50"/>
      <c r="B30" s="51"/>
      <c r="C30" s="51"/>
      <c r="D30" s="51"/>
      <c r="E30" s="52"/>
      <c r="F30" s="144" t="str">
        <f>IFERROR(VLOOKUP(F29,Abilities,7,FALSE),"")</f>
        <v>Your grenades and standard rockets can inflict critical damage (50% chance for +2 damage)</v>
      </c>
      <c r="G30" s="130"/>
      <c r="H30" s="131"/>
      <c r="I30" s="129" t="str">
        <f>IFERROR(VLOOKUP(I29,Abilities,7,FALSE),"")</f>
        <v xml:space="preserve"> </v>
      </c>
      <c r="J30" s="130"/>
      <c r="K30" s="131"/>
      <c r="L30" s="130">
        <f>IFERROR(VLOOKUP(L29,Abilities,7,FALSE),"")</f>
        <v>0</v>
      </c>
      <c r="M30" s="130"/>
      <c r="N30" s="135"/>
      <c r="O30" s="14"/>
      <c r="P30" s="14"/>
      <c r="Q30" s="3"/>
      <c r="V30" s="190" t="s">
        <v>819</v>
      </c>
      <c r="W30" s="191"/>
    </row>
    <row r="31" spans="1:23" ht="15.75" thickBot="1" x14ac:dyDescent="0.3">
      <c r="A31" s="50"/>
      <c r="B31" s="51"/>
      <c r="C31" s="51"/>
      <c r="D31" s="51"/>
      <c r="E31" s="52"/>
      <c r="F31" s="167"/>
      <c r="G31" s="147"/>
      <c r="H31" s="148"/>
      <c r="I31" s="146"/>
      <c r="J31" s="147"/>
      <c r="K31" s="148"/>
      <c r="L31" s="147"/>
      <c r="M31" s="147"/>
      <c r="N31" s="168"/>
      <c r="O31" s="14"/>
      <c r="P31" s="14"/>
      <c r="Q31" s="3"/>
      <c r="V31" s="192" t="s">
        <v>820</v>
      </c>
      <c r="W31" s="193"/>
    </row>
    <row r="32" spans="1:23" ht="18" thickBot="1" x14ac:dyDescent="0.35">
      <c r="A32" s="50"/>
      <c r="B32" s="51"/>
      <c r="C32" s="51"/>
      <c r="D32" s="51"/>
      <c r="E32" s="52"/>
      <c r="F32" s="169" t="s">
        <v>446</v>
      </c>
      <c r="G32" s="170"/>
      <c r="H32" s="170"/>
      <c r="I32" s="170"/>
      <c r="J32" s="170"/>
      <c r="K32" s="170"/>
      <c r="L32" s="170"/>
      <c r="M32" s="170"/>
      <c r="N32" s="171"/>
      <c r="O32" s="14"/>
      <c r="P32" s="14"/>
      <c r="Q32" s="3"/>
      <c r="V32" s="192" t="s">
        <v>815</v>
      </c>
      <c r="W32" s="193"/>
    </row>
    <row r="33" spans="1:23" ht="15.75" thickTop="1" x14ac:dyDescent="0.25">
      <c r="A33" s="50"/>
      <c r="B33" s="51"/>
      <c r="C33" s="51"/>
      <c r="D33" s="51"/>
      <c r="E33" s="52"/>
      <c r="F33" s="121" t="s">
        <v>962</v>
      </c>
      <c r="G33" s="120"/>
      <c r="H33" s="4" t="str">
        <f>IFERROR(VLOOKUP(F33,Abilities,4,FALSE),"")</f>
        <v>BLANK</v>
      </c>
      <c r="I33" s="121" t="s">
        <v>113</v>
      </c>
      <c r="J33" s="120"/>
      <c r="K33" s="35" t="str">
        <f>IFERROR(VLOOKUP(I33,Abilities,4,FALSE),"")</f>
        <v>XCOM2</v>
      </c>
      <c r="L33" s="121" t="s">
        <v>962</v>
      </c>
      <c r="M33" s="120"/>
      <c r="N33" s="10" t="str">
        <f>IFERROR(VLOOKUP(L33,Abilities,4,FALSE),"")</f>
        <v>BLANK</v>
      </c>
      <c r="O33" s="14"/>
      <c r="P33" s="14"/>
      <c r="Q33" s="3"/>
      <c r="V33" s="192" t="s">
        <v>822</v>
      </c>
      <c r="W33" s="193"/>
    </row>
    <row r="34" spans="1:23" x14ac:dyDescent="0.25">
      <c r="A34" s="50"/>
      <c r="B34" s="51"/>
      <c r="C34" s="51"/>
      <c r="D34" s="51"/>
      <c r="E34" s="52"/>
      <c r="F34" s="144" t="str">
        <f>IFERROR(VLOOKUP(F33,Abilities,7,FALSE),"")</f>
        <v xml:space="preserve"> </v>
      </c>
      <c r="G34" s="130"/>
      <c r="H34" s="131"/>
      <c r="I34" s="129" t="str">
        <f>IFERROR(VLOOKUP(I33,Abilities,7,FALSE),"")</f>
        <v>Using the grenade launcher or a heavy weapon as your first action does not end the turn.</v>
      </c>
      <c r="J34" s="130"/>
      <c r="K34" s="131"/>
      <c r="L34" s="130" t="str">
        <f>IFERROR(VLOOKUP(L33,Abilities,7,FALSE),"")</f>
        <v xml:space="preserve"> </v>
      </c>
      <c r="M34" s="130"/>
      <c r="N34" s="135"/>
      <c r="O34" s="14"/>
      <c r="P34" s="14"/>
      <c r="Q34" s="3"/>
      <c r="V34" s="190" t="s">
        <v>816</v>
      </c>
      <c r="W34" s="191"/>
    </row>
    <row r="35" spans="1:23" ht="15.75" thickBot="1" x14ac:dyDescent="0.3">
      <c r="A35" s="50"/>
      <c r="B35" s="51"/>
      <c r="C35" s="51"/>
      <c r="D35" s="51"/>
      <c r="E35" s="52"/>
      <c r="F35" s="167"/>
      <c r="G35" s="147"/>
      <c r="H35" s="148"/>
      <c r="I35" s="146"/>
      <c r="J35" s="147"/>
      <c r="K35" s="148"/>
      <c r="L35" s="147"/>
      <c r="M35" s="147"/>
      <c r="N35" s="168"/>
      <c r="O35" s="14"/>
      <c r="P35" s="14"/>
      <c r="Q35" s="3"/>
      <c r="V35" s="194" t="s">
        <v>800</v>
      </c>
      <c r="W35" s="195"/>
    </row>
    <row r="36" spans="1:23" ht="18" thickBot="1" x14ac:dyDescent="0.35">
      <c r="A36" s="50"/>
      <c r="B36" s="51"/>
      <c r="C36" s="51"/>
      <c r="D36" s="51"/>
      <c r="E36" s="52"/>
      <c r="F36" s="169" t="s">
        <v>447</v>
      </c>
      <c r="G36" s="170"/>
      <c r="H36" s="170"/>
      <c r="I36" s="170"/>
      <c r="J36" s="170"/>
      <c r="K36" s="170"/>
      <c r="L36" s="170"/>
      <c r="M36" s="170"/>
      <c r="N36" s="171"/>
    </row>
    <row r="37" spans="1:23" ht="15.75" thickTop="1" x14ac:dyDescent="0.25">
      <c r="A37" s="50"/>
      <c r="B37" s="51"/>
      <c r="C37" s="51"/>
      <c r="D37" s="51"/>
      <c r="E37" s="52"/>
      <c r="F37" s="119" t="s">
        <v>302</v>
      </c>
      <c r="G37" s="120"/>
      <c r="H37" s="4" t="str">
        <f>IFERROR(VLOOKUP(F37,Abilities,4,FALSE),"")</f>
        <v>LW2</v>
      </c>
      <c r="I37" s="121" t="s">
        <v>962</v>
      </c>
      <c r="J37" s="120"/>
      <c r="K37" s="35" t="str">
        <f>IFERROR(VLOOKUP(I37,Abilities,4,FALSE),"")</f>
        <v>BLANK</v>
      </c>
      <c r="L37" s="122" t="s">
        <v>304</v>
      </c>
      <c r="M37" s="120"/>
      <c r="N37" s="10" t="str">
        <f>IFERROR(VLOOKUP(L37,Abilities,4,FALSE),"")</f>
        <v>LW2</v>
      </c>
    </row>
    <row r="38" spans="1:23" x14ac:dyDescent="0.25">
      <c r="A38" s="50"/>
      <c r="B38" s="51"/>
      <c r="C38" s="51"/>
      <c r="D38" s="51"/>
      <c r="E38" s="52"/>
      <c r="F38" s="144">
        <f>IFERROR(VLOOKUP(F37,Abilities,7,FALSE),"")</f>
        <v>0</v>
      </c>
      <c r="G38" s="130"/>
      <c r="H38" s="131"/>
      <c r="I38" s="129" t="str">
        <f>IFERROR(VLOOKUP(I37,Abilities,7,FALSE),"")</f>
        <v xml:space="preserve"> </v>
      </c>
      <c r="J38" s="130"/>
      <c r="K38" s="131"/>
      <c r="L38" s="130">
        <f>IFERROR(VLOOKUP(L37,Abilities,7,FALSE),"")</f>
        <v>0</v>
      </c>
      <c r="M38" s="130"/>
      <c r="N38" s="135"/>
    </row>
    <row r="39" spans="1:23" ht="15.75" thickBot="1" x14ac:dyDescent="0.3">
      <c r="A39" s="53"/>
      <c r="B39" s="54"/>
      <c r="C39" s="54"/>
      <c r="D39" s="54"/>
      <c r="E39" s="55"/>
      <c r="F39" s="167"/>
      <c r="G39" s="147"/>
      <c r="H39" s="148"/>
      <c r="I39" s="146"/>
      <c r="J39" s="147"/>
      <c r="K39" s="148"/>
      <c r="L39" s="147"/>
      <c r="M39" s="147"/>
      <c r="N39" s="168"/>
    </row>
    <row r="40" spans="1:23" ht="15" customHeight="1" x14ac:dyDescent="0.25">
      <c r="A40" s="86" t="s">
        <v>1200</v>
      </c>
      <c r="B40" s="86"/>
      <c r="C40" s="88" t="str">
        <f>SUBSTITUTE(C1," ","")</f>
        <v>Sapper</v>
      </c>
      <c r="D40" s="88"/>
      <c r="E40" s="88"/>
      <c r="F40" s="238"/>
      <c r="G40" s="238"/>
      <c r="H40" s="237"/>
      <c r="I40" s="237"/>
      <c r="J40" s="237"/>
    </row>
    <row r="41" spans="1:23" ht="15" customHeight="1" thickBot="1" x14ac:dyDescent="0.3">
      <c r="A41" s="87"/>
      <c r="B41" s="87"/>
      <c r="C41" s="89"/>
      <c r="D41" s="89"/>
      <c r="E41" s="89"/>
      <c r="F41" s="239"/>
      <c r="G41" s="239"/>
      <c r="H41" s="237"/>
      <c r="I41" s="237"/>
      <c r="J41" s="237"/>
    </row>
    <row r="42" spans="1:23" ht="16.5" thickBot="1" x14ac:dyDescent="0.3">
      <c r="A42" s="242" t="s">
        <v>339</v>
      </c>
      <c r="B42" s="244"/>
      <c r="C42" s="253" t="s">
        <v>342</v>
      </c>
      <c r="D42" s="247"/>
      <c r="E42" s="251" t="s">
        <v>343</v>
      </c>
      <c r="F42" s="250"/>
      <c r="G42" s="234"/>
      <c r="H42" s="235"/>
      <c r="I42" s="235"/>
      <c r="J42" s="235"/>
    </row>
    <row r="43" spans="1:23" x14ac:dyDescent="0.25">
      <c r="A43" s="243" t="str">
        <f ca="1">"; "&amp;INDIRECT("C1")&amp;" class data"</f>
        <v>; Sapper class data</v>
      </c>
      <c r="B43" s="234" t="s">
        <v>340</v>
      </c>
      <c r="C43" s="254" t="str">
        <f ca="1">"; "&amp;INDIRECT("C1")&amp;" class loadout"</f>
        <v>; Sapper class loadout</v>
      </c>
      <c r="D43" s="234" t="s">
        <v>340</v>
      </c>
      <c r="E43" s="252" t="str">
        <f ca="1">"["&amp;INDIRECT("C3")&amp;" X2SoldierClassTemplate]"</f>
        <v>[LWD_Sapper X2SoldierClassTemplate]</v>
      </c>
      <c r="F43" s="234" t="s">
        <v>340</v>
      </c>
      <c r="G43" s="234"/>
      <c r="H43" s="235"/>
      <c r="I43" s="235"/>
      <c r="J43" s="235"/>
    </row>
    <row r="44" spans="1:23" x14ac:dyDescent="0.25">
      <c r="A44" s="240"/>
      <c r="B44" s="234"/>
      <c r="C44" s="245"/>
      <c r="D44" s="234" t="s">
        <v>340</v>
      </c>
      <c r="E44" s="248" t="str">
        <f ca="1">"+DisplayName="""&amp;INDIRECT("C1")&amp;""""</f>
        <v>+DisplayName="Sapper"</v>
      </c>
      <c r="F44" s="234" t="s">
        <v>340</v>
      </c>
      <c r="G44" s="234"/>
      <c r="H44" s="235"/>
      <c r="I44" s="235"/>
      <c r="J44" s="235"/>
    </row>
    <row r="45" spans="1:23" x14ac:dyDescent="0.25">
      <c r="A45" s="240" t="str">
        <f>"[XComGame.X2SoldierClass_DefaultClasses]"</f>
        <v>[XComGame.X2SoldierClass_DefaultClasses]</v>
      </c>
      <c r="B45" s="234" t="s">
        <v>340</v>
      </c>
      <c r="C45" s="245" t="s">
        <v>341</v>
      </c>
      <c r="D45" s="234" t="s">
        <v>340</v>
      </c>
      <c r="E45" s="248" t="str">
        <f ca="1">"+ClassSummary="""&amp;INDIRECT("A20")&amp;""""</f>
        <v>+ClassSummary="The Sapper specializes in using their grenade launcher to control the battlefield - usually by destroying it. "</v>
      </c>
      <c r="F45" s="234" t="s">
        <v>340</v>
      </c>
      <c r="G45" s="234"/>
      <c r="H45" s="235"/>
      <c r="I45" s="235"/>
      <c r="J45" s="235"/>
    </row>
    <row r="46" spans="1:23" x14ac:dyDescent="0.25">
      <c r="A46" s="240" t="str">
        <f ca="1">"+SoldierClasses="&amp;INDIRECT("C3")</f>
        <v>+SoldierClasses=LWD_Sapper</v>
      </c>
      <c r="B46" s="234" t="s">
        <v>340</v>
      </c>
      <c r="C46" s="245"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+Loadouts=(LoadoutName="SquaddieLWD_Sapper", Items[0]=(Item="Cannon_CV"), Items[1]=(Item="GrenadeLauncher_CV"))</v>
      </c>
      <c r="D46" s="234" t="s">
        <v>340</v>
      </c>
      <c r="E46" s="248" t="str">
        <f ca="1">"+LeftAbilityTreeTitle="""&amp;INDIRECT("F11")&amp;""""</f>
        <v>+LeftAbilityTreeTitle="Explosives"</v>
      </c>
      <c r="F46" s="234" t="s">
        <v>340</v>
      </c>
      <c r="G46" s="234"/>
      <c r="H46" s="235"/>
      <c r="I46" s="234"/>
      <c r="J46" s="234"/>
    </row>
    <row r="47" spans="1:23" x14ac:dyDescent="0.25">
      <c r="A47" s="240"/>
      <c r="B47" s="234" t="s">
        <v>340</v>
      </c>
      <c r="C47" s="245"/>
      <c r="D47" s="234" t="s">
        <v>340</v>
      </c>
      <c r="E47" s="248" t="str">
        <f ca="1">"+RightAbilityTreeTitle="""&amp;INDIRECT("L11")&amp;""""</f>
        <v>+RightAbilityTreeTitle="Demolitions"</v>
      </c>
      <c r="F47" s="234" t="s">
        <v>340</v>
      </c>
      <c r="G47" s="234"/>
      <c r="H47" s="235"/>
      <c r="I47" s="234"/>
      <c r="J47" s="234"/>
    </row>
    <row r="48" spans="1:23" x14ac:dyDescent="0.25">
      <c r="A48" s="240" t="str">
        <f ca="1">"["&amp;INDIRECT("C3")&amp;" X2SoldierClassTemplate]"</f>
        <v>[LWD_Sapper X2SoldierClassTemplate]</v>
      </c>
      <c r="B48" s="234" t="s">
        <v>340</v>
      </c>
      <c r="C48" s="245" t="s">
        <v>351</v>
      </c>
      <c r="D48" s="234" t="s">
        <v>340</v>
      </c>
      <c r="E48" s="248" t="str">
        <f>"; Nicknames"</f>
        <v>; Nicknames</v>
      </c>
      <c r="F48" s="234" t="s">
        <v>340</v>
      </c>
      <c r="G48" s="234"/>
      <c r="H48" s="234"/>
      <c r="I48" s="234"/>
      <c r="J48" s="234"/>
    </row>
    <row r="49" spans="1:10" ht="15.75" thickBot="1" x14ac:dyDescent="0.3">
      <c r="A49" s="240" t="str">
        <f ca="1">"+bMultiplayerOnly="&amp;INDIRECT("E6")</f>
        <v>+bMultiplayerOnly=0</v>
      </c>
      <c r="B49" s="234" t="s">
        <v>340</v>
      </c>
      <c r="C49" s="246" t="str">
        <f ca="1">"+DEBUG_StartingSoldierClasses="""&amp;INDIRECT("C3")&amp;""""</f>
        <v>+DEBUG_StartingSoldierClasses="LWD_Sapper"</v>
      </c>
      <c r="D49" s="234" t="s">
        <v>340</v>
      </c>
      <c r="E49" s="248" t="str">
        <f ca="1">IF(INDIRECT("V4")&lt;&gt;"","RandomNickNames[0]="""&amp;INDIRECT("V4")&amp;"""","")</f>
        <v>RandomNickNames[0]="Angel"</v>
      </c>
      <c r="F49" s="234" t="s">
        <v>340</v>
      </c>
      <c r="G49" s="234"/>
      <c r="H49" s="234"/>
      <c r="I49" s="234"/>
      <c r="J49" s="234"/>
    </row>
    <row r="50" spans="1:10" x14ac:dyDescent="0.25">
      <c r="A50" s="240" t="str">
        <f ca="1">"+ClassPoints="&amp;INDIRECT("E7")</f>
        <v>+ClassPoints=4</v>
      </c>
      <c r="B50" s="234" t="s">
        <v>340</v>
      </c>
      <c r="C50" s="234"/>
      <c r="D50" s="234"/>
      <c r="E50" s="248" t="str">
        <f ca="1">IF(INDIRECT("V5")&lt;&gt;"","RandomNickNames[1]="""&amp;INDIRECT("V5")&amp;"""","")</f>
        <v>RandomNickNames[1]="Bargain"</v>
      </c>
      <c r="F50" s="234" t="s">
        <v>340</v>
      </c>
      <c r="G50" s="234"/>
      <c r="H50" s="234"/>
      <c r="I50" s="234"/>
      <c r="J50" s="234"/>
    </row>
    <row r="51" spans="1:10" x14ac:dyDescent="0.25">
      <c r="A51" s="240" t="str">
        <f ca="1">"+IconImage="&amp;""""&amp;INDIRECT("E8")&amp;""""</f>
        <v>+IconImage="img:///UILibrary_SOCombatEngineer.class_engineer"</v>
      </c>
      <c r="B51" s="234" t="s">
        <v>340</v>
      </c>
      <c r="C51" s="234"/>
      <c r="D51" s="234"/>
      <c r="E51" s="248" t="str">
        <f ca="1">IF(INDIRECT("V6")&lt;&gt;"","RandomNickNames[2]="""&amp;INDIRECT("V6")&amp;"""","")</f>
        <v>RandomNickNames[2]="Beta"</v>
      </c>
      <c r="F51" s="234" t="s">
        <v>340</v>
      </c>
      <c r="G51" s="234"/>
      <c r="H51" s="234"/>
      <c r="I51" s="234"/>
      <c r="J51" s="234"/>
    </row>
    <row r="52" spans="1:10" x14ac:dyDescent="0.25">
      <c r="A52" s="240" t="str">
        <f ca="1">"+NumInForcedDeck="&amp;INDIRECT("E9")</f>
        <v>+NumInForcedDeck=1</v>
      </c>
      <c r="B52" s="234" t="s">
        <v>340</v>
      </c>
      <c r="C52" s="234"/>
      <c r="D52" s="234"/>
      <c r="E52" s="248" t="str">
        <f ca="1">IF(INDIRECT("V7")&lt;&gt;"","RandomNickNames[3]="""&amp;INDIRECT("V7")&amp;"""","")</f>
        <v>RandomNickNames[3]="Bishop"</v>
      </c>
      <c r="F52" s="234" t="s">
        <v>340</v>
      </c>
      <c r="G52" s="234"/>
      <c r="H52" s="234"/>
      <c r="I52" s="234"/>
      <c r="J52" s="234"/>
    </row>
    <row r="53" spans="1:10" x14ac:dyDescent="0.25">
      <c r="A53" s="240" t="str">
        <f ca="1">"+NumInDeck="&amp;INDIRECT("E10")</f>
        <v>+NumInDeck=4</v>
      </c>
      <c r="B53" s="234" t="s">
        <v>340</v>
      </c>
      <c r="C53" s="234"/>
      <c r="D53" s="234"/>
      <c r="E53" s="248" t="str">
        <f ca="1">IF(INDIRECT("V8")&lt;&gt;"","RandomNickNames[4]="""&amp;INDIRECT("V8")&amp;"""","")</f>
        <v>RandomNickNames[4]="Bones"</v>
      </c>
      <c r="F53" s="234" t="s">
        <v>340</v>
      </c>
      <c r="G53" s="234"/>
      <c r="H53" s="234"/>
      <c r="I53" s="234"/>
      <c r="J53" s="234"/>
    </row>
    <row r="54" spans="1:10" x14ac:dyDescent="0.25">
      <c r="A54" s="240" t="str">
        <f ca="1">"+KillAssistsPerKill="&amp;INDIRECT("E11")</f>
        <v>+KillAssistsPerKill=4</v>
      </c>
      <c r="B54" s="234" t="s">
        <v>340</v>
      </c>
      <c r="C54" s="234"/>
      <c r="D54" s="234"/>
      <c r="E54" s="248" t="str">
        <f ca="1">IF(INDIRECT("V9")&lt;&gt;"","RandomNickNames[5]="""&amp;INDIRECT("V9")&amp;"""","")</f>
        <v>RandomNickNames[5]="Breaker"</v>
      </c>
      <c r="F54" s="234" t="s">
        <v>340</v>
      </c>
      <c r="G54" s="234"/>
      <c r="H54" s="234"/>
      <c r="I54" s="234"/>
      <c r="J54" s="234"/>
    </row>
    <row r="55" spans="1:10" x14ac:dyDescent="0.25">
      <c r="A55" s="240" t="str">
        <f ca="1">"+SquaddieLoadout=Squaddie"&amp;INDIRECT("C3")</f>
        <v>+SquaddieLoadout=SquaddieLWD_Sapper</v>
      </c>
      <c r="B55" s="234" t="s">
        <v>340</v>
      </c>
      <c r="C55" s="234"/>
      <c r="D55" s="234"/>
      <c r="E55" s="248" t="str">
        <f ca="1">IF(INDIRECT("V10")&lt;&gt;"","RandomNickNames[6]="""&amp;INDIRECT("V10")&amp;"""","")</f>
        <v>RandomNickNames[6]="Broker"</v>
      </c>
      <c r="F55" s="234" t="s">
        <v>340</v>
      </c>
      <c r="G55" s="234"/>
      <c r="H55" s="234"/>
      <c r="I55" s="234"/>
      <c r="J55" s="234"/>
    </row>
    <row r="56" spans="1:10" x14ac:dyDescent="0.25">
      <c r="A56" s="240" t="str">
        <f ca="1">";+bAllowAWCAbilities="&amp;INDIRECT("E12")&amp;" ; Not a thing in LW2"</f>
        <v>;+bAllowAWCAbilities=1 ; Not a thing in LW2</v>
      </c>
      <c r="B56" s="234" t="s">
        <v>340</v>
      </c>
      <c r="C56" s="234"/>
      <c r="D56" s="234"/>
      <c r="E56" s="248" t="str">
        <f ca="1">IF(INDIRECT("V11")&lt;&gt;"","RandomNickNames[7]="""&amp;INDIRECT("V11")&amp;"""","")</f>
        <v>RandomNickNames[7]="Conquest"</v>
      </c>
      <c r="F56" s="234" t="s">
        <v>340</v>
      </c>
      <c r="G56" s="234"/>
      <c r="H56" s="234"/>
      <c r="I56" s="234"/>
      <c r="J56" s="234"/>
    </row>
    <row r="57" spans="1:10" x14ac:dyDescent="0.25">
      <c r="A57" s="240" t="str">
        <f ca="1">IF(INDIRECT("B5")=FALSE,";","")&amp;"+AllowedWeapons=(SlotType=eInvSlot_PrimaryWeapon, WeaponType=""rifle"")"</f>
        <v>;+AllowedWeapons=(SlotType=eInvSlot_PrimaryWeapon, WeaponType="rifle")</v>
      </c>
      <c r="B57" s="234" t="s">
        <v>340</v>
      </c>
      <c r="C57" s="234"/>
      <c r="D57" s="234"/>
      <c r="E57" s="248" t="str">
        <f ca="1">IF(INDIRECT("V12")&lt;&gt;"","RandomNickNames[8]="""&amp;INDIRECT("V12")&amp;"""","")</f>
        <v>RandomNickNames[8]="Boomtown"</v>
      </c>
      <c r="F57" s="234" t="s">
        <v>340</v>
      </c>
      <c r="G57" s="234"/>
      <c r="H57" s="234"/>
      <c r="I57" s="234"/>
      <c r="J57" s="234"/>
    </row>
    <row r="58" spans="1:10" x14ac:dyDescent="0.25">
      <c r="A58" s="240" t="str">
        <f ca="1">IF(INDIRECT("B6")=FALSE,";","")&amp;"+AllowedWeapons=(SlotType=eInvSlot_PrimaryWeapon, WeaponType=""cannon"")"</f>
        <v>+AllowedWeapons=(SlotType=eInvSlot_PrimaryWeapon, WeaponType="cannon")</v>
      </c>
      <c r="B58" s="234" t="s">
        <v>340</v>
      </c>
      <c r="C58" s="234"/>
      <c r="D58" s="234"/>
      <c r="E58" s="248" t="str">
        <f ca="1">IF(INDIRECT("V13")&lt;&gt;"","RandomNickNames[9]="""&amp;INDIRECT("V13")&amp;"""","")</f>
        <v>RandomNickNames[9]="Doomtrain"</v>
      </c>
      <c r="F58" s="234" t="s">
        <v>340</v>
      </c>
      <c r="G58" s="234"/>
      <c r="H58" s="234"/>
      <c r="I58" s="234"/>
      <c r="J58" s="234"/>
    </row>
    <row r="59" spans="1:10" x14ac:dyDescent="0.25">
      <c r="A59" s="240" t="str">
        <f ca="1">IF(INDIRECT("B7")=FALSE,";","")&amp;"+AllowedWeapons=(SlotType=eInvSlot_PrimaryWeapon, WeaponType=""shotgun"")"</f>
        <v>+AllowedWeapons=(SlotType=eInvSlot_PrimaryWeapon, WeaponType="shotgun")</v>
      </c>
      <c r="B59" s="234" t="s">
        <v>340</v>
      </c>
      <c r="C59" s="234"/>
      <c r="D59" s="234"/>
      <c r="E59" s="248" t="str">
        <f ca="1">IF(INDIRECT("V14")&lt;&gt;"","RandomNickNames[10]="""&amp;INDIRECT("V14")&amp;"""","")</f>
        <v>RandomNickNames[10]="Dr. Feelgood"</v>
      </c>
      <c r="F59" s="234" t="s">
        <v>340</v>
      </c>
      <c r="G59" s="234"/>
      <c r="H59" s="234"/>
      <c r="I59" s="234"/>
      <c r="J59" s="234"/>
    </row>
    <row r="60" spans="1:10" x14ac:dyDescent="0.25">
      <c r="A60" s="240" t="str">
        <f ca="1">IF(INDIRECT("B8")=FALSE,";","")&amp;"+AllowedWeapons=(SlotType=eInvSlot_PrimaryWeapon, WeaponType=""sniper_rifle"")"</f>
        <v>;+AllowedWeapons=(SlotType=eInvSlot_PrimaryWeapon, WeaponType="sniper_rifle")</v>
      </c>
      <c r="B60" s="234" t="s">
        <v>340</v>
      </c>
      <c r="C60" s="234"/>
      <c r="D60" s="234"/>
      <c r="E60" s="248" t="str">
        <f ca="1">IF(INDIRECT("V15")&lt;&gt;"","RandomNickNames[11]="""&amp;INDIRECT("V15")&amp;"""","")</f>
        <v>RandomNickNames[11]="Downtown"</v>
      </c>
      <c r="F60" s="234" t="s">
        <v>340</v>
      </c>
      <c r="G60" s="234"/>
      <c r="H60" s="234"/>
      <c r="I60" s="234"/>
      <c r="J60" s="234"/>
    </row>
    <row r="61" spans="1:10" x14ac:dyDescent="0.25">
      <c r="A61" s="240" t="str">
        <f ca="1">IF(INDIRECT("B9")=FALSE,";","")&amp;"+AllowedWeapons=(SlotType=eInvSlot_SecondaryWeapon, WeaponType=""gauntlet"")"</f>
        <v>;+AllowedWeapons=(SlotType=eInvSlot_SecondaryWeapon, WeaponType="gauntlet")</v>
      </c>
      <c r="B61" s="234" t="s">
        <v>340</v>
      </c>
      <c r="C61" s="234"/>
      <c r="D61" s="234"/>
      <c r="E61" s="248" t="str">
        <f ca="1">IF(INDIRECT("V16")&lt;&gt;"","RandomNickNames[12]="""&amp;INDIRECT("V16")&amp;"""","")</f>
        <v>RandomNickNames[12]="Demoman"</v>
      </c>
      <c r="F61" s="234" t="s">
        <v>340</v>
      </c>
      <c r="G61" s="234"/>
      <c r="H61" s="234"/>
      <c r="I61" s="234"/>
      <c r="J61" s="234"/>
    </row>
    <row r="62" spans="1:10" x14ac:dyDescent="0.25">
      <c r="A62" s="240" t="str">
        <f ca="1">IF(INDIRECT("B10")=FALSE,";","")&amp;"+AllowedWeapons=(SlotType=eInvSlot_SecondaryWeapon, WeaponType=""combatknife"")"</f>
        <v>;+AllowedWeapons=(SlotType=eInvSlot_SecondaryWeapon, WeaponType="combatknife")</v>
      </c>
      <c r="B62" s="234" t="s">
        <v>340</v>
      </c>
      <c r="C62" s="234"/>
      <c r="D62" s="234"/>
      <c r="E62" s="248" t="str">
        <f ca="1">IF(INDIRECT("V17")&lt;&gt;"","RandomNickNames[13]="""&amp;INDIRECT("V17")&amp;"""","")</f>
        <v>RandomNickNames[13]="Bulldozer"</v>
      </c>
      <c r="F62" s="234" t="s">
        <v>340</v>
      </c>
      <c r="G62" s="234"/>
      <c r="H62" s="234"/>
      <c r="I62" s="234"/>
      <c r="J62" s="234"/>
    </row>
    <row r="63" spans="1:10" x14ac:dyDescent="0.25">
      <c r="A63" s="240" t="str">
        <f ca="1">IF(INDIRECT("B11")=FALSE,";","")&amp;"+AllowedWeapons=(SlotType=eInvSlot_SecondaryWeapon, WeaponType=""grenade_launcher"")"</f>
        <v>+AllowedWeapons=(SlotType=eInvSlot_SecondaryWeapon, WeaponType="grenade_launcher")</v>
      </c>
      <c r="B63" s="234" t="s">
        <v>340</v>
      </c>
      <c r="C63" s="234"/>
      <c r="D63" s="234"/>
      <c r="E63" s="248" t="str">
        <f ca="1">IF(INDIRECT("V18")&lt;&gt;"","RandomNickNames[14]="""&amp;INDIRECT("V18")&amp;"""","")</f>
        <v>RandomNickNames[14]="Genius"</v>
      </c>
      <c r="F63" s="234" t="s">
        <v>340</v>
      </c>
      <c r="G63" s="234"/>
      <c r="H63" s="234"/>
      <c r="I63" s="234"/>
      <c r="J63" s="234"/>
    </row>
    <row r="64" spans="1:10" x14ac:dyDescent="0.25">
      <c r="A64" s="240" t="str">
        <f ca="1">IF(INDIRECT("B12")=FALSE,";","")&amp;"+AllowedWeapons=(SlotType=eInvSlot_SecondaryWeapon, WeaponType=""gremlin"")"</f>
        <v>;+AllowedWeapons=(SlotType=eInvSlot_SecondaryWeapon, WeaponType="gremlin")</v>
      </c>
      <c r="B64" s="234" t="s">
        <v>340</v>
      </c>
      <c r="C64" s="234"/>
      <c r="D64" s="234"/>
      <c r="E64" s="248" t="str">
        <f ca="1">IF(INDIRECT("V19")&lt;&gt;"","RandomNickNames[15]="""&amp;INDIRECT("V19")&amp;"""","")</f>
        <v>RandomNickNames[15]="Gizmo"</v>
      </c>
      <c r="F64" s="234" t="s">
        <v>340</v>
      </c>
      <c r="G64" s="234"/>
      <c r="H64" s="234"/>
      <c r="I64" s="234"/>
      <c r="J64" s="234"/>
    </row>
    <row r="65" spans="1:10" x14ac:dyDescent="0.25">
      <c r="A65" s="240" t="str">
        <f ca="1">IF(INDIRECT("B13")=FALSE,";","")&amp;"+AllowedWeapons=(SlotType=eInvSlot_SecondaryWeapon, WeaponType=""sword"")"</f>
        <v>;+AllowedWeapons=(SlotType=eInvSlot_SecondaryWeapon, WeaponType="sword")</v>
      </c>
      <c r="B65" s="234" t="s">
        <v>340</v>
      </c>
      <c r="C65" s="234"/>
      <c r="D65" s="234"/>
      <c r="E65" s="248" t="str">
        <f ca="1">IF(INDIRECT("V20")&lt;&gt;"","RandomNickNames[16]="""&amp;INDIRECT("V20")&amp;"""","")</f>
        <v>RandomNickNames[16]="Jester"</v>
      </c>
      <c r="F65" s="234" t="s">
        <v>340</v>
      </c>
      <c r="G65" s="234"/>
      <c r="H65" s="234"/>
      <c r="I65" s="234"/>
      <c r="J65" s="234"/>
    </row>
    <row r="66" spans="1:10" x14ac:dyDescent="0.25">
      <c r="A66" s="240" t="str">
        <f ca="1">IF(INDIRECT("B14")=FALSE,";","")&amp;"+AllowedWeapons=(SlotType=eInvSlot_SecondaryWeapon, WeaponType=""sawedoffshotgun"")"</f>
        <v>;+AllowedWeapons=(SlotType=eInvSlot_SecondaryWeapon, WeaponType="sawedoffshotgun")</v>
      </c>
      <c r="B66" s="234" t="s">
        <v>340</v>
      </c>
      <c r="C66" s="234"/>
      <c r="D66" s="234"/>
      <c r="E66" s="248" t="str">
        <f ca="1">IF(INDIRECT("V21")&lt;&gt;"","RandomNickNames[17]="""&amp;INDIRECT("V21")&amp;"""","")</f>
        <v>RandomNickNames[17]="Jolt"</v>
      </c>
      <c r="F66" s="234" t="s">
        <v>340</v>
      </c>
      <c r="G66" s="234"/>
      <c r="H66" s="234"/>
      <c r="I66" s="234"/>
      <c r="J66" s="234"/>
    </row>
    <row r="67" spans="1:10" x14ac:dyDescent="0.25">
      <c r="A67" s="240" t="str">
        <f ca="1">IF(INDIRECT("B15")=FALSE,";","")&amp;"+AllowedWeapons=(SlotType=eInvSlot_SecondaryWeapon, WeaponType=""arcthrower"")"</f>
        <v>;+AllowedWeapons=(SlotType=eInvSlot_SecondaryWeapon, WeaponType="arcthrower")</v>
      </c>
      <c r="B67" s="234" t="s">
        <v>340</v>
      </c>
      <c r="C67" s="234"/>
      <c r="D67" s="234"/>
      <c r="E67" s="248" t="str">
        <f ca="1">IF(INDIRECT("V22")&lt;&gt;"","RandomNickNames[18]="""&amp;INDIRECT("V22")&amp;"""","")</f>
        <v>RandomNickNames[18]="Hard Hat"</v>
      </c>
      <c r="F67" s="234" t="s">
        <v>340</v>
      </c>
      <c r="G67" s="234"/>
      <c r="H67" s="234"/>
      <c r="I67" s="234"/>
      <c r="J67" s="234"/>
    </row>
    <row r="68" spans="1:10" x14ac:dyDescent="0.25">
      <c r="A68" s="240" t="str">
        <f ca="1">IF(INDIRECT("B16")=FALSE,";","")&amp;"+AllowedWeapons=(SlotType=eInvSlot_SecondaryWeapon, WeaponType=""holotargeter"")"</f>
        <v>;+AllowedWeapons=(SlotType=eInvSlot_SecondaryWeapon, WeaponType="holotargeter")</v>
      </c>
      <c r="B68" s="234" t="s">
        <v>340</v>
      </c>
      <c r="C68" s="234"/>
      <c r="D68" s="234"/>
      <c r="E68" s="248" t="str">
        <f ca="1">IF(INDIRECT("V23")&lt;&gt;"","RandomNickNames[19]="""&amp;INDIRECT("V23")&amp;"""","")</f>
        <v>RandomNickNames[19]="Mayday"</v>
      </c>
      <c r="F68" s="234" t="s">
        <v>340</v>
      </c>
      <c r="G68" s="234"/>
      <c r="H68" s="234"/>
      <c r="I68" s="234"/>
      <c r="J68" s="234"/>
    </row>
    <row r="69" spans="1:10" x14ac:dyDescent="0.25">
      <c r="A69" s="240" t="str">
        <f ca="1">IF(INDIRECT("B17")=FALSE,";","")&amp;"+AllowedWeapons=(SlotType=eInvSlot_SecondaryWeapon, WeaponType=""psiamp"")"</f>
        <v>;+AllowedWeapons=(SlotType=eInvSlot_SecondaryWeapon, WeaponType="psiamp")</v>
      </c>
      <c r="B69" s="234" t="s">
        <v>340</v>
      </c>
      <c r="C69" s="234"/>
      <c r="D69" s="234"/>
      <c r="E69" s="248" t="str">
        <f ca="1">IF(INDIRECT("V24")&lt;&gt;"","RandomNickNames[20]="""&amp;INDIRECT("V24")&amp;"""","")</f>
        <v>RandomNickNames[20]="Mega"</v>
      </c>
      <c r="F69" s="234" t="s">
        <v>340</v>
      </c>
      <c r="G69" s="234"/>
      <c r="H69" s="234"/>
      <c r="I69" s="234"/>
      <c r="J69" s="234"/>
    </row>
    <row r="70" spans="1:10" x14ac:dyDescent="0.25">
      <c r="A70" s="240" t="str">
        <f ca="1">IF(INDIRECT("B9")=FALSE,";","")&amp;"+AllowedWeapons=(SlotType=eInvSlot_HeavyWeapon, WeaponType=""heavyammo"")"</f>
        <v>;+AllowedWeapons=(SlotType=eInvSlot_HeavyWeapon, WeaponType="heavyammo")</v>
      </c>
      <c r="B70" s="234" t="s">
        <v>340</v>
      </c>
      <c r="C70" s="234"/>
      <c r="D70" s="234"/>
      <c r="E70" s="248" t="str">
        <f ca="1">IF(INDIRECT("V25")&lt;&gt;"","RandomNickNames[21]="""&amp;INDIRECT("V25")&amp;"""","")</f>
        <v>RandomNickNames[21]="Newton"</v>
      </c>
      <c r="F70" s="234" t="s">
        <v>340</v>
      </c>
      <c r="G70" s="234"/>
      <c r="H70" s="234"/>
      <c r="I70" s="234"/>
      <c r="J70" s="234"/>
    </row>
    <row r="71" spans="1:10" x14ac:dyDescent="0.25">
      <c r="A71" s="240" t="str">
        <f ca="1">IF(INDIRECT("B9")=TRUE,";","")&amp;"+AllowedWeapons=(SlotType=eInvSlot_HeavyWeapon, WeaponType=""heavy"")"</f>
        <v>+AllowedWeapons=(SlotType=eInvSlot_HeavyWeapon, WeaponType="heavy")</v>
      </c>
      <c r="B71" s="234" t="s">
        <v>340</v>
      </c>
      <c r="C71" s="234"/>
      <c r="D71" s="234"/>
      <c r="E71" s="248" t="str">
        <f ca="1">IF(INDIRECT("V26")&lt;&gt;"","RandomNickNames[22]="""&amp;INDIRECT("V26")&amp;"""","")</f>
        <v>RandomNickNames[22]="Ragtime"</v>
      </c>
      <c r="F71" s="234" t="s">
        <v>340</v>
      </c>
      <c r="G71" s="234"/>
      <c r="H71" s="234"/>
      <c r="I71" s="234"/>
      <c r="J71" s="234"/>
    </row>
    <row r="72" spans="1:10" x14ac:dyDescent="0.25">
      <c r="A72" s="240" t="str">
        <f ca="1">"+AllowedArmors="&amp;INDIRECT("E13")</f>
        <v>+AllowedArmors=soldier</v>
      </c>
      <c r="B72" s="234" t="s">
        <v>340</v>
      </c>
      <c r="C72" s="234"/>
      <c r="D72" s="234"/>
      <c r="E72" s="248" t="str">
        <f ca="1">IF(INDIRECT("V27")&lt;&gt;"","RandomNickNames[23]="""&amp;INDIRECT("V27")&amp;"""","")</f>
        <v>RandomNickNames[23]="Rascal"</v>
      </c>
      <c r="F72" s="234" t="s">
        <v>340</v>
      </c>
      <c r="G72" s="234"/>
      <c r="H72" s="234"/>
      <c r="I72" s="234"/>
      <c r="J72" s="234"/>
    </row>
    <row r="73" spans="1:10" x14ac:dyDescent="0.25">
      <c r="A73" s="240" t="str">
        <f>"; squaddie"</f>
        <v>; squaddie</v>
      </c>
      <c r="B73" s="234" t="s">
        <v>340</v>
      </c>
      <c r="C73" s="234"/>
      <c r="D73" s="234"/>
      <c r="E73" s="248" t="str">
        <f ca="1">IF(INDIRECT("V28")&lt;&gt;"","RandomNickNames[24]="""&amp;INDIRECT("V28")&amp;"""","")</f>
        <v>RandomNickNames[24]="Rattler"</v>
      </c>
      <c r="F73" s="234" t="s">
        <v>340</v>
      </c>
      <c r="G73" s="234"/>
      <c r="H73" s="234"/>
      <c r="I73" s="234"/>
      <c r="J73" s="234"/>
    </row>
    <row r="74" spans="1:10" x14ac:dyDescent="0.25">
      <c r="A74" s="240" t="str">
        <f ca="1">"+SoldierRanks=(  aAbilityTree=( (AbilityName="""&amp;VLOOKUP(INDIRECT("F4"),Abilities,2,FALSE)&amp;""""&amp;IF(VLOOKUP(INDIRECT("F4"),Abilities,3,FALSE)="","",", ApplyToWeaponSlot=eInvSlot_"&amp;VLOOKUP(INDIRECT("F4"),Abilities,3,FALSE))&amp;"), \\"</f>
        <v>+SoldierRanks=(  aAbilityTree=( (AbilityName="LaunchGrenade", ApplyToWeaponSlot=eInvSlot_SecondaryWeapon), \\</v>
      </c>
      <c r="B74" s="234" t="s">
        <v>340</v>
      </c>
      <c r="C74" s="234"/>
      <c r="D74" s="234"/>
      <c r="E74" s="248" t="str">
        <f ca="1">IF(INDIRECT("V29")&lt;&gt;"","RandomNickNames[25]="""&amp;INDIRECT("V29")&amp;"""","")</f>
        <v>RandomNickNames[25]="Revelation"</v>
      </c>
      <c r="F74" s="234" t="s">
        <v>340</v>
      </c>
      <c r="G74" s="234"/>
      <c r="H74" s="234"/>
      <c r="I74" s="234"/>
      <c r="J74" s="234"/>
    </row>
    <row r="75" spans="1:10" x14ac:dyDescent="0.25">
      <c r="A75" s="240" t="str">
        <f ca="1">IF(INDIRECT("I4")="","\\","(AbilityName="""&amp;VLOOKUP(INDIRECT("I4"),Abilities,2,FALSE)&amp;""""&amp;IF(VLOOKUP(INDIRECT("I4"),Abilities,3,FALSE)="","",", ApplyToWeaponSlot=eInvSlot_"&amp;VLOOKUP(INDIRECT("I4"),Abilities,3,FALSE))&amp;"), \\")</f>
        <v>(AbilityName="Sapper"), \\</v>
      </c>
      <c r="B75" s="234" t="s">
        <v>340</v>
      </c>
      <c r="C75" s="234"/>
      <c r="D75" s="234"/>
      <c r="E75" s="248" t="str">
        <f ca="1">IF(INDIRECT("V30")&lt;&gt;"","RandomNickNames[26]="""&amp;INDIRECT("V30")&amp;"""","")</f>
        <v>RandomNickNames[26]="Skipper"</v>
      </c>
      <c r="F75" s="234" t="s">
        <v>340</v>
      </c>
      <c r="G75" s="234"/>
      <c r="H75" s="234"/>
      <c r="I75" s="234"/>
      <c r="J75" s="234"/>
    </row>
    <row r="76" spans="1:10" x14ac:dyDescent="0.25">
      <c r="A76" s="240" t="str">
        <f ca="1">IF(INDIRECT("L4")="","\\","(AbilityName="""&amp;VLOOKUP(INDIRECT("L4"),Abilities,2,FALSE)&amp;""""&amp;IF(VLOOKUP(INDIRECT("L4"),Abilities,3,FALSE)="","",", ApplyToWeaponSlot=eInvSlot_"&amp;VLOOKUP(INDIRECT("L4"),Abilities,3,FALSE))&amp;"), \\")</f>
        <v>(AbilityName="ShadowOps_Saboteur", ApplyToWeaponSlot=eInvSlot_PrimaryWeapon), \\</v>
      </c>
      <c r="B76" s="234" t="s">
        <v>340</v>
      </c>
      <c r="C76" s="234"/>
      <c r="D76" s="234"/>
      <c r="E76" s="248" t="str">
        <f ca="1">IF(INDIRECT("V31")&lt;&gt;"","RandomNickNames[27]="""&amp;INDIRECT("V31")&amp;"""","")</f>
        <v>RandomNickNames[27]="Thunder"</v>
      </c>
      <c r="F76" s="234" t="s">
        <v>340</v>
      </c>
      <c r="G76" s="234"/>
      <c r="H76" s="234"/>
      <c r="I76" s="234"/>
      <c r="J76" s="234"/>
    </row>
    <row r="77" spans="1:10" x14ac:dyDescent="0.25">
      <c r="A77" s="240" t="str">
        <f ca="1">IF(INDIRECT("F7")="","\\","(AbilityName="""&amp;VLOOKUP(INDIRECT("F7"),Abilities,2,FALSE)&amp;""""&amp;IF(VLOOKUP(INDIRECT("F7"),Abilities,3,FALSE)="","",", ApplyToWeaponSlot=eInvSlot_"&amp;VLOOKUP(INDIRECT("F7"),Abilities,3,FALSE))&amp;"), \\")</f>
        <v>\\</v>
      </c>
      <c r="B77" s="234" t="s">
        <v>340</v>
      </c>
      <c r="C77" s="234"/>
      <c r="D77" s="234"/>
      <c r="E77" s="248" t="str">
        <f ca="1">IF(INDIRECT("V32")&lt;&gt;"","RandomNickNames[28]="""&amp;INDIRECT("V32")&amp;"""","")</f>
        <v>RandomNickNames[28]="Undertaker"</v>
      </c>
      <c r="F77" s="234" t="s">
        <v>340</v>
      </c>
      <c r="G77" s="234"/>
      <c r="H77" s="234"/>
      <c r="I77" s="234"/>
      <c r="J77" s="234"/>
    </row>
    <row r="78" spans="1:10" x14ac:dyDescent="0.25">
      <c r="A78" s="240" t="str">
        <f ca="1">IF(INDIRECT("I7")="","\\","(AbilityName="""&amp;VLOOKUP(INDIRECT("I7"),Abilities,2,FALSE)&amp;""""&amp;IF(VLOOKUP(INDIRECT("I7"),Abilities,3,FALSE)="","",", ApplyToWeaponSlot=eInvSlot_"&amp;VLOOKUP(INDIRECT("I7"),Abilities,3,FALSE))&amp;"), \\")</f>
        <v>\\</v>
      </c>
      <c r="B78" s="234" t="s">
        <v>340</v>
      </c>
      <c r="C78" s="234"/>
      <c r="D78" s="234"/>
      <c r="E78" s="248" t="str">
        <f ca="1">IF(INDIRECT("V33")&lt;&gt;"","RandomNickNames[29]="""&amp;INDIRECT("V33")&amp;"""","")</f>
        <v>RandomNickNames[29]="War"</v>
      </c>
      <c r="F78" s="234" t="s">
        <v>340</v>
      </c>
      <c r="G78" s="234"/>
      <c r="H78" s="234"/>
      <c r="I78" s="234"/>
      <c r="J78" s="234"/>
    </row>
    <row r="79" spans="1:10" x14ac:dyDescent="0.25">
      <c r="A79" s="240" t="str">
        <f ca="1">IF(INDIRECT("L7")="","\\","(AbilityName="""&amp;VLOOKUP(INDIRECT("L7"),Abilities,2,FALSE)&amp;""""&amp;IF(VLOOKUP(INDIRECT("L7"),Abilities,3,FALSE)="","",", ApplyToWeaponSlot=eInvSlot_"&amp;VLOOKUP(INDIRECT("L7"),Abilities,3,FALSE))&amp;"), \\")</f>
        <v>\\</v>
      </c>
      <c r="B79" s="234" t="s">
        <v>340</v>
      </c>
      <c r="C79" s="234"/>
      <c r="D79" s="234"/>
      <c r="E79" s="248" t="str">
        <f ca="1">IF(INDIRECT("V34")&lt;&gt;"","RandomNickNames[30]="""&amp;INDIRECT("V34")&amp;"""","")</f>
        <v>RandomNickNames[30]="Whoopsie"</v>
      </c>
      <c r="F79" s="234" t="s">
        <v>340</v>
      </c>
      <c r="G79" s="234"/>
      <c r="H79" s="234"/>
      <c r="I79" s="234"/>
      <c r="J79" s="234"/>
    </row>
    <row r="80" spans="1:10" x14ac:dyDescent="0.25">
      <c r="A80" s="240" t="s">
        <v>337</v>
      </c>
      <c r="B80" s="234" t="s">
        <v>340</v>
      </c>
      <c r="C80" s="234"/>
      <c r="D80" s="234"/>
      <c r="E80" s="248" t="str">
        <f ca="1">IF(INDIRECT("V35")&lt;&gt;"","RandomNickNames[31]="""&amp;INDIRECT("V35")&amp;"""","")</f>
        <v>RandomNickNames[31]="Zulu"</v>
      </c>
      <c r="F80" s="234" t="s">
        <v>340</v>
      </c>
      <c r="G80" s="234"/>
      <c r="H80" s="234"/>
      <c r="I80" s="234"/>
      <c r="J80" s="234"/>
    </row>
    <row r="81" spans="1:10" x14ac:dyDescent="0.25">
      <c r="A81" s="240"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(StatType=eStat_Will,StatAmount=4)),\\</v>
      </c>
      <c r="B81" s="234" t="s">
        <v>340</v>
      </c>
      <c r="C81" s="234"/>
      <c r="D81" s="234"/>
      <c r="E81" s="248" t="str">
        <f>"; Male Nicknames"</f>
        <v>; Male Nicknames</v>
      </c>
      <c r="F81" s="234" t="s">
        <v>340</v>
      </c>
      <c r="G81" s="234"/>
      <c r="H81" s="234"/>
      <c r="I81" s="234"/>
      <c r="J81" s="234"/>
    </row>
    <row r="82" spans="1:10" x14ac:dyDescent="0.25">
      <c r="A82" s="240" t="s">
        <v>338</v>
      </c>
      <c r="B82" s="234" t="s">
        <v>340</v>
      </c>
      <c r="C82" s="234"/>
      <c r="D82" s="234"/>
      <c r="E82" s="248" t="str">
        <f ca="1">IF(INDIRECT("X4")&lt;&gt;"","RandomNickNames_Male[0]="""&amp;INDIRECT("X4")&amp;"""","")</f>
        <v>RandomNickNames_Male[0]="Candyman"</v>
      </c>
      <c r="F82" s="234" t="s">
        <v>340</v>
      </c>
      <c r="G82" s="234"/>
      <c r="H82" s="234"/>
      <c r="I82" s="234"/>
      <c r="J82" s="234"/>
    </row>
    <row r="83" spans="1:10" x14ac:dyDescent="0.25">
      <c r="A83" s="240" t="str">
        <f>"; lance corporal"</f>
        <v>; lance corporal</v>
      </c>
      <c r="B83" s="234" t="s">
        <v>340</v>
      </c>
      <c r="C83" s="234"/>
      <c r="D83" s="234"/>
      <c r="E83" s="248" t="str">
        <f ca="1">IF(INDIRECT("X5")&lt;&gt;"","RandomNickNames_Male[1]="""&amp;INDIRECT("X5")&amp;"""","")</f>
        <v>RandomNickNames_Male[1]="Magic Man"</v>
      </c>
      <c r="F83" s="234" t="s">
        <v>340</v>
      </c>
      <c r="G83" s="234"/>
      <c r="H83" s="234"/>
      <c r="I83" s="234"/>
      <c r="J83" s="234"/>
    </row>
    <row r="84" spans="1:10" x14ac:dyDescent="0.25">
      <c r="A84" s="240" t="str">
        <f ca="1">"+SoldierRanks=(  aAbilityTree=( (AbilityName="""&amp;VLOOKUP(INDIRECT("F13"),Abilities,2,FALSE)&amp;""""&amp;IF(VLOOKUP(INDIRECT("F13"),Abilities,3,FALSE)="","",", ApplyToWeaponSlot=eInvSlot_"&amp;VLOOKUP(INDIRECT("F13"),Abilities,3,FALSE))&amp;"), \\"</f>
        <v>+SoldierRanks=(  aAbilityTree=( (AbilityName="NeedleGrenades"), \\</v>
      </c>
      <c r="B84" s="234" t="s">
        <v>340</v>
      </c>
      <c r="C84" s="234"/>
      <c r="D84" s="234"/>
      <c r="E84" s="248" t="str">
        <f ca="1">IF(INDIRECT("X6")&lt;&gt;"","RandomNickNames_Male[2]="""&amp;INDIRECT("X6")&amp;"""","")</f>
        <v>RandomNickNames_Male[2]="Priest"</v>
      </c>
      <c r="F84" s="234" t="s">
        <v>340</v>
      </c>
      <c r="G84" s="234"/>
      <c r="H84" s="234"/>
      <c r="I84" s="234"/>
      <c r="J84" s="234"/>
    </row>
    <row r="85" spans="1:10" x14ac:dyDescent="0.25">
      <c r="A85" s="240" t="str">
        <f ca="1">IF(INDIRECT("I13")="","\\","(AbilityName="""&amp;VLOOKUP(INDIRECT("I13"),Abilities,2,FALSE)&amp;""""&amp;IF(VLOOKUP(INDIRECT("I13"),Abilities,3,FALSE)="","",", ApplyToWeaponSlot=eInvSlot_"&amp;VLOOKUP(INDIRECT("I13"),Abilities,3,FALSE))&amp;"), \\")</f>
        <v>(AbilityName=" "), \\</v>
      </c>
      <c r="B85" s="234" t="s">
        <v>340</v>
      </c>
      <c r="C85" s="234"/>
      <c r="D85" s="234"/>
      <c r="E85" s="248" t="str">
        <f ca="1">IF(INDIRECT("X7")&lt;&gt;"","RandomNickNames_Male[3]="""&amp;INDIRECT("X7")&amp;"""","")</f>
        <v>RandomNickNames_Male[3]="Rainman"</v>
      </c>
      <c r="F85" s="234" t="s">
        <v>340</v>
      </c>
      <c r="G85" s="234"/>
      <c r="H85" s="234"/>
      <c r="I85" s="234"/>
      <c r="J85" s="234"/>
    </row>
    <row r="86" spans="1:10" x14ac:dyDescent="0.25">
      <c r="A86" s="240" t="str">
        <f ca="1">IF(INDIRECT("L13")="","\\","(AbilityName="""&amp;VLOOKUP(INDIRECT("L13"),Abilities,2,FALSE)&amp;""""&amp;IF(VLOOKUP(INDIRECT("L13"),Abilities,3,FALSE)="","",", ApplyToWeaponSlot=eInvSlot_"&amp;VLOOKUP(INDIRECT("L13"),Abilities,3,FALSE))&amp;"), \\")</f>
        <v>(AbilityName="ShadowOps_Breach", ApplyToWeaponSlot=eInvSlot_PrimaryWeapon), \\</v>
      </c>
      <c r="B86" s="234" t="s">
        <v>340</v>
      </c>
      <c r="C86" s="234"/>
      <c r="D86" s="234"/>
      <c r="E86" s="248" t="str">
        <f ca="1">IF(INDIRECT("X8")&lt;&gt;"","RandomNickNames_Male[4]="""&amp;INDIRECT("X8")&amp;"""","")</f>
        <v>RandomNickNames_Male[4]="Rooster"</v>
      </c>
      <c r="F86" s="234" t="s">
        <v>340</v>
      </c>
      <c r="G86" s="234"/>
      <c r="H86" s="234"/>
      <c r="I86" s="234"/>
      <c r="J86" s="234"/>
    </row>
    <row r="87" spans="1:10" x14ac:dyDescent="0.25">
      <c r="A87" s="240" t="s">
        <v>337</v>
      </c>
      <c r="B87" s="234" t="s">
        <v>340</v>
      </c>
      <c r="C87" s="234"/>
      <c r="D87" s="234"/>
      <c r="E87" s="248" t="str">
        <f>"; Female Nicknames"</f>
        <v>; Female Nicknames</v>
      </c>
      <c r="F87" s="234" t="s">
        <v>340</v>
      </c>
      <c r="G87" s="234"/>
      <c r="H87" s="234"/>
      <c r="I87" s="234"/>
      <c r="J87" s="234"/>
    </row>
    <row r="88" spans="1:10" x14ac:dyDescent="0.25">
      <c r="A88" s="240"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(StatType=eStat_Will,StatAmount=4)),\\</v>
      </c>
      <c r="B88" s="234" t="s">
        <v>340</v>
      </c>
      <c r="C88" s="234"/>
      <c r="D88" s="234"/>
      <c r="E88" s="248" t="str">
        <f ca="1">IF(INDIRECT("X10")&lt;&gt;"","RandomNickNames_Female[0]="""&amp;INDIRECT("X10")&amp;"""","")</f>
        <v>RandomNickNames_Female[0]="Priestess"</v>
      </c>
      <c r="F88" s="234" t="s">
        <v>340</v>
      </c>
      <c r="G88" s="234"/>
      <c r="H88" s="234"/>
      <c r="I88" s="234"/>
      <c r="J88" s="234"/>
    </row>
    <row r="89" spans="1:10" x14ac:dyDescent="0.25">
      <c r="A89" s="240" t="s">
        <v>338</v>
      </c>
      <c r="B89" s="234" t="s">
        <v>340</v>
      </c>
      <c r="C89" s="234"/>
      <c r="D89" s="234"/>
      <c r="E89" s="248" t="str">
        <f ca="1">IF(INDIRECT("X11")&lt;&gt;"","RandomNickNames_Female[1]="""&amp;INDIRECT("X11")&amp;"""","")</f>
        <v>RandomNickNames_Female[1]="Wolfmother"</v>
      </c>
      <c r="F89" s="234" t="s">
        <v>340</v>
      </c>
      <c r="G89" s="234"/>
      <c r="H89" s="234"/>
      <c r="I89" s="234"/>
      <c r="J89" s="234"/>
    </row>
    <row r="90" spans="1:10" x14ac:dyDescent="0.25">
      <c r="A90" s="240" t="str">
        <f>"; corporal"</f>
        <v>; corporal</v>
      </c>
      <c r="B90" s="234" t="s">
        <v>340</v>
      </c>
      <c r="C90" s="234"/>
      <c r="D90" s="234"/>
      <c r="E90" s="248" t="str">
        <f ca="1">IF(INDIRECT("X12")&lt;&gt;"","RandomNickNames_Female[2]="""&amp;INDIRECT("X12")&amp;"""","")</f>
        <v>RandomNickNames_Female[2]="Black Widow"</v>
      </c>
      <c r="F90" s="234" t="s">
        <v>340</v>
      </c>
      <c r="G90" s="234"/>
      <c r="H90" s="234"/>
      <c r="I90" s="234"/>
      <c r="J90" s="234"/>
    </row>
    <row r="91" spans="1:10" x14ac:dyDescent="0.25">
      <c r="A91" s="240" t="str">
        <f ca="1">"+SoldierRanks=(  aAbilityTree=( (AbilityName="""&amp;VLOOKUP(INDIRECT("F17"),Abilities,2,FALSE)&amp;""""&amp;IF(VLOOKUP(INDIRECT("F17"),Abilities,3,FALSE)="","",", ApplyToWeaponSlot=eInvSlot_"&amp;VLOOKUP(INDIRECT("F17"),Abilities,3,FALSE))&amp;"), \\"</f>
        <v>+SoldierRanks=(  aAbilityTree=( (AbilityName=" "), \\</v>
      </c>
      <c r="B91" s="234" t="s">
        <v>340</v>
      </c>
      <c r="C91" s="234"/>
      <c r="D91" s="234"/>
      <c r="E91" s="248" t="str">
        <f ca="1">IF(INDIRECT("X13")&lt;&gt;"","RandomNickNames_Female[3]="""&amp;INDIRECT("X13")&amp;"""","")</f>
        <v>RandomNickNames_Female[3]="Duchess"</v>
      </c>
      <c r="F91" s="234" t="s">
        <v>340</v>
      </c>
      <c r="G91" s="234"/>
      <c r="H91" s="234"/>
      <c r="I91" s="234"/>
      <c r="J91" s="234"/>
    </row>
    <row r="92" spans="1:10" ht="15.75" thickBot="1" x14ac:dyDescent="0.3">
      <c r="A92" s="240" t="str">
        <f ca="1">IF(INDIRECT("I17")="","\\","(AbilityName="""&amp;VLOOKUP(INDIRECT("I17"),Abilities,2,FALSE)&amp;""""&amp;IF(VLOOKUP(INDIRECT("I17"),Abilities,3,FALSE)="","",", ApplyToWeaponSlot=eInvSlot_"&amp;VLOOKUP(INDIRECT("I17"),Abilities,3,FALSE))&amp;"), \\")</f>
        <v>(AbilityName="HeavyOrdnance_LW"), \\</v>
      </c>
      <c r="B92" s="234" t="s">
        <v>340</v>
      </c>
      <c r="C92" s="234"/>
      <c r="D92" s="234"/>
      <c r="E92" s="249" t="str">
        <f ca="1">IF(INDIRECT("X14")&lt;&gt;"","RandomNickNames_Female[4]="""&amp;INDIRECT("X14")&amp;"""","")</f>
        <v>RandomNickNames_Female[4]="Queen"</v>
      </c>
      <c r="F92" s="234" t="s">
        <v>340</v>
      </c>
      <c r="G92" s="234"/>
      <c r="H92" s="234"/>
      <c r="I92" s="234"/>
      <c r="J92" s="234"/>
    </row>
    <row r="93" spans="1:10" x14ac:dyDescent="0.25">
      <c r="A93" s="240" t="str">
        <f ca="1">IF(INDIRECT("L17")="","\\","(AbilityName="""&amp;VLOOKUP(INDIRECT("L17"),Abilities,2,FALSE)&amp;""""&amp;IF(VLOOKUP(INDIRECT("L17"),Abilities,3,FALSE)="","",", ApplyToWeaponSlot=eInvSlot_"&amp;VLOOKUP(INDIRECT("L17"),Abilities,3,FALSE))&amp;"), \\")</f>
        <v>(AbilityName=" "), \\</v>
      </c>
      <c r="B93" s="234" t="s">
        <v>340</v>
      </c>
      <c r="C93" s="234"/>
      <c r="D93" s="234"/>
      <c r="E93" s="234"/>
      <c r="F93" s="234"/>
      <c r="G93" s="234"/>
      <c r="H93" s="234"/>
      <c r="I93" s="234"/>
      <c r="J93" s="234"/>
    </row>
    <row r="94" spans="1:10" x14ac:dyDescent="0.25">
      <c r="A94" s="240" t="s">
        <v>337</v>
      </c>
      <c r="B94" s="234" t="s">
        <v>340</v>
      </c>
      <c r="C94" s="234"/>
      <c r="D94" s="234"/>
      <c r="E94" s="234"/>
      <c r="F94" s="234"/>
      <c r="G94" s="234"/>
      <c r="H94" s="234"/>
      <c r="I94" s="234"/>
      <c r="J94" s="234"/>
    </row>
    <row r="95" spans="1:10" x14ac:dyDescent="0.25">
      <c r="A95" s="240"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234" t="s">
        <v>340</v>
      </c>
      <c r="C95" s="234"/>
      <c r="D95" s="234"/>
      <c r="E95" s="234"/>
      <c r="F95" s="234"/>
      <c r="G95" s="234"/>
      <c r="H95" s="234"/>
      <c r="I95" s="234"/>
      <c r="J95" s="234"/>
    </row>
    <row r="96" spans="1:10" x14ac:dyDescent="0.25">
      <c r="A96" s="240" t="s">
        <v>338</v>
      </c>
      <c r="B96" s="234" t="s">
        <v>340</v>
      </c>
      <c r="C96" s="234"/>
      <c r="D96" s="234"/>
      <c r="E96" s="234"/>
      <c r="F96" s="234"/>
      <c r="G96" s="234"/>
      <c r="H96" s="234"/>
      <c r="I96" s="234"/>
      <c r="J96" s="234"/>
    </row>
    <row r="97" spans="1:10" x14ac:dyDescent="0.25">
      <c r="A97" s="240" t="str">
        <f>"; sergeant"</f>
        <v>; sergeant</v>
      </c>
      <c r="B97" s="234" t="s">
        <v>340</v>
      </c>
      <c r="C97" s="234"/>
      <c r="D97" s="234"/>
      <c r="E97" s="234"/>
      <c r="F97" s="234"/>
      <c r="G97" s="234"/>
      <c r="H97" s="234"/>
      <c r="I97" s="234"/>
      <c r="J97" s="234"/>
    </row>
    <row r="98" spans="1:10" x14ac:dyDescent="0.25">
      <c r="A98" s="240" t="str">
        <f ca="1">"+SoldierRanks=(  aAbilityTree=( (AbilityName="""&amp;VLOOKUP(INDIRECT("F21"),Abilities,2,FALSE)&amp;""""&amp;IF(VLOOKUP(INDIRECT("F21"),Abilities,3,FALSE)="","",", ApplyToWeaponSlot=eInvSlot_"&amp;VLOOKUP(INDIRECT("F21"),Abilities,3,FALSE))&amp;"), \\"</f>
        <v>+SoldierRanks=(  aAbilityTree=( (AbilityName="HeavyFrags"), \\</v>
      </c>
      <c r="B98" s="234" t="s">
        <v>340</v>
      </c>
      <c r="C98" s="234"/>
      <c r="D98" s="234"/>
      <c r="E98" s="234"/>
      <c r="F98" s="234"/>
      <c r="G98" s="234"/>
      <c r="H98" s="234"/>
      <c r="I98" s="234"/>
      <c r="J98" s="234"/>
    </row>
    <row r="99" spans="1:10" x14ac:dyDescent="0.25">
      <c r="A99" s="240" t="str">
        <f ca="1">IF(INDIRECT("I21")="","\\","(AbilityName="""&amp;VLOOKUP(INDIRECT("I21"),Abilities,2,FALSE)&amp;""""&amp;IF(VLOOKUP(INDIRECT("I21"),Abilities,3,FALSE)="","",", ApplyToWeaponSlot=eInvSlot_"&amp;VLOOKUP(INDIRECT("I21"),Abilities,3,FALSE))&amp;"), \\")</f>
        <v>(AbilityName=" "), \\</v>
      </c>
      <c r="B99" s="234" t="s">
        <v>340</v>
      </c>
      <c r="C99" s="234"/>
      <c r="D99" s="234"/>
      <c r="E99" s="234"/>
      <c r="F99" s="234"/>
      <c r="G99" s="234"/>
      <c r="H99" s="234"/>
      <c r="I99" s="234"/>
      <c r="J99" s="234"/>
    </row>
    <row r="100" spans="1:10" x14ac:dyDescent="0.25">
      <c r="A100" s="240" t="str">
        <f ca="1">IF(INDIRECT("L21")="","\\","(AbilityName="""&amp;VLOOKUP(INDIRECT("L21"),Abilities,2,FALSE)&amp;""""&amp;IF(VLOOKUP(INDIRECT("L21"),Abilities,3,FALSE)="","",", ApplyToWeaponSlot=eInvSlot_"&amp;VLOOKUP(INDIRECT("L21"),Abilities,3,FALSE))&amp;"), \\")</f>
        <v>(AbilityName="LWD_Dynamite"), \\</v>
      </c>
      <c r="B100" s="234" t="s">
        <v>340</v>
      </c>
      <c r="C100" s="234"/>
      <c r="D100" s="234"/>
      <c r="E100" s="234"/>
      <c r="F100" s="234"/>
      <c r="G100" s="234"/>
      <c r="H100" s="234"/>
      <c r="I100" s="234"/>
      <c r="J100" s="234"/>
    </row>
    <row r="101" spans="1:10" x14ac:dyDescent="0.25">
      <c r="A101" s="240" t="s">
        <v>337</v>
      </c>
      <c r="B101" s="234" t="s">
        <v>340</v>
      </c>
      <c r="C101" s="234"/>
      <c r="D101" s="234"/>
      <c r="E101" s="234"/>
      <c r="F101" s="234"/>
      <c r="G101" s="234"/>
      <c r="H101" s="234"/>
      <c r="I101" s="234"/>
      <c r="J101" s="234"/>
    </row>
    <row r="102" spans="1:10" x14ac:dyDescent="0.25">
      <c r="A102" s="240"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234" t="s">
        <v>340</v>
      </c>
      <c r="C102" s="234"/>
      <c r="D102" s="234"/>
      <c r="E102" s="234"/>
      <c r="F102" s="234"/>
      <c r="G102" s="234"/>
      <c r="H102" s="234"/>
      <c r="I102" s="234"/>
      <c r="J102" s="234"/>
    </row>
    <row r="103" spans="1:10" x14ac:dyDescent="0.25">
      <c r="A103" s="240" t="s">
        <v>338</v>
      </c>
      <c r="B103" s="234" t="s">
        <v>340</v>
      </c>
      <c r="C103" s="234"/>
      <c r="D103" s="234"/>
      <c r="E103" s="234"/>
      <c r="F103" s="234"/>
      <c r="G103" s="234"/>
      <c r="H103" s="234"/>
      <c r="I103" s="234"/>
      <c r="J103" s="234"/>
    </row>
    <row r="104" spans="1:10" x14ac:dyDescent="0.25">
      <c r="A104" s="240" t="str">
        <f>"; staff sergeant"</f>
        <v>; staff sergeant</v>
      </c>
      <c r="B104" s="234" t="s">
        <v>340</v>
      </c>
      <c r="C104" s="234"/>
      <c r="D104" s="234"/>
      <c r="E104" s="234"/>
      <c r="F104" s="234"/>
      <c r="G104" s="234"/>
      <c r="H104" s="234"/>
      <c r="I104" s="234"/>
      <c r="J104" s="234"/>
    </row>
    <row r="105" spans="1:10" x14ac:dyDescent="0.25">
      <c r="A105" s="240" t="str">
        <f ca="1">"+SoldierRanks=(  aAbilityTree=( (AbilityName="""&amp;VLOOKUP(INDIRECT("F25"),Abilities,2,FALSE)&amp;""""&amp;IF(VLOOKUP(INDIRECT("F25"),Abilities,3,FALSE)="","",", ApplyToWeaponSlot=eInvSlot_"&amp;VLOOKUP(INDIRECT("F25"),Abilities,3,FALSE))&amp;"), \\"</f>
        <v>+SoldierRanks=(  aAbilityTree=( (AbilityName="HEATWarheads", ApplyToWeaponSlot=eInvSlot_SecondaryWeapon), \\</v>
      </c>
      <c r="B105" s="234" t="s">
        <v>340</v>
      </c>
      <c r="C105" s="234"/>
      <c r="D105" s="234"/>
      <c r="E105" s="234"/>
      <c r="F105" s="234"/>
      <c r="G105" s="234"/>
      <c r="H105" s="234"/>
      <c r="I105" s="234"/>
      <c r="J105" s="234"/>
    </row>
    <row r="106" spans="1:10" x14ac:dyDescent="0.25">
      <c r="A106" s="240" t="str">
        <f ca="1">IF(INDIRECT("I25")="","\\","(AbilityName="""&amp;VLOOKUP(INDIRECT("I25"),Abilities,2,FALSE)&amp;""""&amp;IF(VLOOKUP(INDIRECT("I25"),Abilities,3,FALSE)="","",", ApplyToWeaponSlot=eInvSlot_"&amp;VLOOKUP(INDIRECT("I25"),Abilities,3,FALSE))&amp;"), \\")</f>
        <v>(AbilityName=" "), \\</v>
      </c>
      <c r="B106" s="234" t="s">
        <v>340</v>
      </c>
      <c r="C106" s="234"/>
      <c r="D106" s="234"/>
      <c r="E106" s="234"/>
      <c r="F106" s="234"/>
      <c r="G106" s="234"/>
      <c r="H106" s="234"/>
      <c r="I106" s="234"/>
      <c r="J106" s="234"/>
    </row>
    <row r="107" spans="1:10" x14ac:dyDescent="0.25">
      <c r="A107" s="240" t="str">
        <f ca="1">IF(INDIRECT("L25")="","\\","(AbilityName="""&amp;VLOOKUP(INDIRECT("L25"),Abilities,2,FALSE)&amp;""""&amp;IF(VLOOKUP(INDIRECT("L25"),Abilities,3,FALSE)="","",", ApplyToWeaponSlot=eInvSlot_"&amp;VLOOKUP(INDIRECT("L25"),Abilities,3,FALSE))&amp;"), \\")</f>
        <v>(AbilityName="TandemWarheads"), \\</v>
      </c>
      <c r="B107" s="234" t="s">
        <v>340</v>
      </c>
      <c r="C107" s="234"/>
      <c r="D107" s="234"/>
      <c r="E107" s="234"/>
      <c r="F107" s="234"/>
      <c r="G107" s="234"/>
      <c r="H107" s="234"/>
      <c r="I107" s="234"/>
      <c r="J107" s="234"/>
    </row>
    <row r="108" spans="1:10" x14ac:dyDescent="0.25">
      <c r="A108" s="240" t="s">
        <v>337</v>
      </c>
      <c r="B108" s="234" t="s">
        <v>340</v>
      </c>
      <c r="C108" s="234"/>
      <c r="D108" s="234"/>
      <c r="E108" s="234"/>
      <c r="F108" s="234"/>
      <c r="G108" s="234"/>
      <c r="H108" s="234"/>
      <c r="I108" s="234"/>
      <c r="J108" s="234"/>
    </row>
    <row r="109" spans="1:10" x14ac:dyDescent="0.25">
      <c r="A109" s="240"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234" t="s">
        <v>340</v>
      </c>
      <c r="C109" s="234"/>
      <c r="D109" s="234"/>
      <c r="E109" s="234"/>
      <c r="F109" s="234"/>
      <c r="G109" s="234"/>
      <c r="H109" s="234"/>
      <c r="I109" s="234"/>
      <c r="J109" s="234"/>
    </row>
    <row r="110" spans="1:10" x14ac:dyDescent="0.25">
      <c r="A110" s="240" t="s">
        <v>338</v>
      </c>
      <c r="B110" s="234" t="s">
        <v>340</v>
      </c>
      <c r="C110" s="234"/>
      <c r="D110" s="234"/>
      <c r="E110" s="234"/>
      <c r="F110" s="234"/>
      <c r="G110" s="234"/>
      <c r="H110" s="234"/>
      <c r="I110" s="234"/>
      <c r="J110" s="234"/>
    </row>
    <row r="111" spans="1:10" x14ac:dyDescent="0.25">
      <c r="A111" s="240" t="str">
        <f>"; tech sergeant"</f>
        <v>; tech sergeant</v>
      </c>
      <c r="B111" s="234" t="s">
        <v>340</v>
      </c>
      <c r="C111" s="234"/>
      <c r="D111" s="234"/>
      <c r="E111" s="234"/>
      <c r="F111" s="234"/>
      <c r="G111" s="234"/>
      <c r="H111" s="234"/>
      <c r="I111" s="234"/>
      <c r="J111" s="234"/>
    </row>
    <row r="112" spans="1:10" x14ac:dyDescent="0.25">
      <c r="A112" s="240" t="str">
        <f ca="1">"+SoldierRanks=(  aAbilityTree=( (AbilityName="""&amp;VLOOKUP(INDIRECT("F29"),Abilities,2,FALSE)&amp;""""&amp;IF(VLOOKUP(INDIRECT("F29"),Abilities,3,FALSE)="","",", ApplyToWeaponSlot=eInvSlot_"&amp;VLOOKUP(INDIRECT("F29"),Abilities,3,FALSE))&amp;"), \\"</f>
        <v>+SoldierRanks=(  aAbilityTree=( (AbilityName="BiggestBooms_LW"), \\</v>
      </c>
      <c r="B112" s="234" t="s">
        <v>340</v>
      </c>
      <c r="C112" s="234"/>
      <c r="D112" s="234"/>
      <c r="E112" s="234"/>
      <c r="F112" s="234"/>
      <c r="G112" s="234"/>
      <c r="H112" s="234"/>
      <c r="I112" s="234"/>
      <c r="J112" s="234"/>
    </row>
    <row r="113" spans="1:10" x14ac:dyDescent="0.25">
      <c r="A113" s="240" t="str">
        <f ca="1">IF(INDIRECT("I29")="","\\","(AbilityName="""&amp;VLOOKUP(INDIRECT("I29"),Abilities,2,FALSE)&amp;""""&amp;IF(VLOOKUP(INDIRECT("I29"),Abilities,3,FALSE)="","",", ApplyToWeaponSlot=eInvSlot_"&amp;VLOOKUP(INDIRECT("I29"),Abilities,3,FALSE))&amp;"), \\")</f>
        <v>(AbilityName=" "), \\</v>
      </c>
      <c r="B113" s="234" t="s">
        <v>340</v>
      </c>
      <c r="C113" s="234"/>
      <c r="D113" s="234"/>
      <c r="E113" s="234"/>
      <c r="F113" s="234"/>
      <c r="G113" s="234"/>
      <c r="H113" s="234"/>
      <c r="I113" s="234"/>
      <c r="J113" s="234"/>
    </row>
    <row r="114" spans="1:10" x14ac:dyDescent="0.25">
      <c r="A114" s="240" t="str">
        <f ca="1">IF(INDIRECT("L29")="","\\","(AbilityName="""&amp;VLOOKUP(INDIRECT("L29"),Abilities,2,FALSE)&amp;""""&amp;IF(VLOOKUP(INDIRECT("L29"),Abilities,3,FALSE)="","",", ApplyToWeaponSlot=eInvSlot_"&amp;VLOOKUP(INDIRECT("L29"),Abilities,3,FALSE))&amp;"), \\")</f>
        <v>(AbilityName="HEATWarheads", ApplyToWeaponSlot=eInvSlot_SecondaryWeapon), \\</v>
      </c>
      <c r="B114" s="234" t="s">
        <v>340</v>
      </c>
      <c r="C114" s="234"/>
      <c r="D114" s="234"/>
      <c r="E114" s="234"/>
      <c r="F114" s="234"/>
      <c r="G114" s="234"/>
      <c r="H114" s="234"/>
      <c r="I114" s="234"/>
      <c r="J114" s="234"/>
    </row>
    <row r="115" spans="1:10" x14ac:dyDescent="0.25">
      <c r="A115" s="240" t="s">
        <v>337</v>
      </c>
      <c r="B115" s="234" t="s">
        <v>340</v>
      </c>
      <c r="C115" s="234"/>
      <c r="D115" s="234"/>
      <c r="E115" s="234"/>
      <c r="F115" s="234"/>
      <c r="G115" s="234"/>
      <c r="H115" s="234"/>
      <c r="I115" s="234"/>
      <c r="J115" s="234"/>
    </row>
    <row r="116" spans="1:10" x14ac:dyDescent="0.25">
      <c r="A116" s="240"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(StatType=eStat_HP,StatAmount=1), (StatType=eStat_Hacking,StatAmount=0)),\\</v>
      </c>
      <c r="B116" s="234" t="s">
        <v>340</v>
      </c>
      <c r="C116" s="234"/>
      <c r="D116" s="234"/>
      <c r="E116" s="234"/>
      <c r="F116" s="234"/>
      <c r="G116" s="234"/>
      <c r="H116" s="234"/>
      <c r="I116" s="234"/>
      <c r="J116" s="234"/>
    </row>
    <row r="117" spans="1:10" x14ac:dyDescent="0.25">
      <c r="A117" s="240" t="s">
        <v>338</v>
      </c>
      <c r="B117" s="234" t="s">
        <v>340</v>
      </c>
      <c r="C117" s="234"/>
      <c r="D117" s="234"/>
      <c r="E117" s="234"/>
      <c r="F117" s="234"/>
      <c r="G117" s="234"/>
      <c r="H117" s="234"/>
      <c r="I117" s="234"/>
      <c r="J117" s="234"/>
    </row>
    <row r="118" spans="1:10" x14ac:dyDescent="0.25">
      <c r="A118" s="240" t="str">
        <f>";  gunnery sergeant"</f>
        <v>;  gunnery sergeant</v>
      </c>
      <c r="B118" s="234" t="s">
        <v>340</v>
      </c>
      <c r="C118" s="234"/>
      <c r="D118" s="234"/>
      <c r="E118" s="234"/>
      <c r="F118" s="234"/>
      <c r="G118" s="234"/>
      <c r="H118" s="234"/>
      <c r="I118" s="234"/>
      <c r="J118" s="234"/>
    </row>
    <row r="119" spans="1:10" x14ac:dyDescent="0.25">
      <c r="A119" s="240" t="str">
        <f ca="1">"+SoldierRanks=(  aAbilityTree=( (AbilityName="""&amp;VLOOKUP(INDIRECT("F33"),Abilities,2,FALSE)&amp;""""&amp;IF(VLOOKUP(INDIRECT("F33"),Abilities,3,FALSE)="","",", ApplyToWeaponSlot=eInvSlot_"&amp;VLOOKUP(INDIRECT("F33"),Abilities,3,FALSE))&amp;"), \\"</f>
        <v>+SoldierRanks=(  aAbilityTree=( (AbilityName=" "), \\</v>
      </c>
      <c r="B119" s="234" t="s">
        <v>340</v>
      </c>
      <c r="C119" s="234"/>
      <c r="D119" s="234"/>
      <c r="E119" s="234"/>
      <c r="F119" s="234"/>
      <c r="G119" s="234"/>
      <c r="H119" s="234"/>
      <c r="I119" s="234"/>
      <c r="J119" s="234"/>
    </row>
    <row r="120" spans="1:10" x14ac:dyDescent="0.25">
      <c r="A120" s="240" t="str">
        <f ca="1">IF(INDIRECT("I33")="","\\","(AbilityName="""&amp;VLOOKUP(INDIRECT("I33"),Abilities,2,FALSE)&amp;""""&amp;IF(VLOOKUP(INDIRECT("I33"),Abilities,3,FALSE)="","",", ApplyToWeaponSlot=eInvSlot_"&amp;VLOOKUP(INDIRECT("I33"),Abilities,3,FALSE))&amp;"), \\")</f>
        <v>(AbilityName="Salvo", ApplyToWeaponSlot=eInvSlot_Unknown), \\</v>
      </c>
      <c r="B120" s="234" t="s">
        <v>340</v>
      </c>
      <c r="C120" s="234"/>
      <c r="D120" s="234"/>
      <c r="E120" s="234"/>
      <c r="F120" s="234"/>
      <c r="G120" s="234"/>
      <c r="H120" s="234"/>
      <c r="I120" s="234"/>
      <c r="J120" s="234"/>
    </row>
    <row r="121" spans="1:10" x14ac:dyDescent="0.25">
      <c r="A121" s="240" t="str">
        <f ca="1">IF(INDIRECT("L33")="","\\","(AbilityName="""&amp;VLOOKUP(INDIRECT("L33"),Abilities,2,FALSE)&amp;""""&amp;IF(VLOOKUP(INDIRECT("L33"),Abilities,3,FALSE)="","",", ApplyToWeaponSlot=eInvSlot_"&amp;VLOOKUP(INDIRECT("L33"),Abilities,3,FALSE))&amp;"), \\")</f>
        <v>(AbilityName=" "), \\</v>
      </c>
      <c r="B121" s="234" t="s">
        <v>340</v>
      </c>
      <c r="C121" s="234"/>
      <c r="D121" s="234"/>
      <c r="E121" s="234"/>
      <c r="F121" s="234"/>
      <c r="G121" s="234"/>
      <c r="H121" s="234"/>
      <c r="I121" s="234"/>
      <c r="J121" s="234"/>
    </row>
    <row r="122" spans="1:10" x14ac:dyDescent="0.25">
      <c r="A122" s="240" t="s">
        <v>337</v>
      </c>
      <c r="B122" s="234" t="s">
        <v>340</v>
      </c>
      <c r="C122" s="234"/>
      <c r="D122" s="234"/>
      <c r="E122" s="234"/>
      <c r="F122" s="234"/>
      <c r="G122" s="234"/>
      <c r="H122" s="234"/>
      <c r="I122" s="234"/>
      <c r="J122" s="234"/>
    </row>
    <row r="123" spans="1:10" x14ac:dyDescent="0.25">
      <c r="A123" s="240"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234" t="s">
        <v>340</v>
      </c>
      <c r="C123" s="234"/>
      <c r="D123" s="234"/>
      <c r="E123" s="234"/>
      <c r="F123" s="234"/>
      <c r="G123" s="234"/>
      <c r="H123" s="234"/>
      <c r="I123" s="234"/>
      <c r="J123" s="234"/>
    </row>
    <row r="124" spans="1:10" x14ac:dyDescent="0.25">
      <c r="A124" s="240" t="s">
        <v>338</v>
      </c>
      <c r="B124" s="234" t="s">
        <v>340</v>
      </c>
      <c r="C124" s="234"/>
      <c r="D124" s="234"/>
      <c r="E124" s="234"/>
      <c r="F124" s="234"/>
      <c r="G124" s="234"/>
      <c r="H124" s="234"/>
      <c r="I124" s="234"/>
      <c r="J124" s="234"/>
    </row>
    <row r="125" spans="1:10" x14ac:dyDescent="0.25">
      <c r="A125" s="240" t="str">
        <f>"; master sergeant"</f>
        <v>; master sergeant</v>
      </c>
      <c r="B125" s="234" t="s">
        <v>340</v>
      </c>
      <c r="C125" s="234"/>
      <c r="D125" s="234"/>
      <c r="E125" s="234"/>
      <c r="F125" s="234"/>
      <c r="G125" s="234"/>
      <c r="H125" s="234"/>
      <c r="I125" s="234"/>
      <c r="J125" s="234"/>
    </row>
    <row r="126" spans="1:10" x14ac:dyDescent="0.25">
      <c r="A126" s="240" t="str">
        <f ca="1">"+SoldierRanks=(  aAbilityTree=( (AbilityName="""&amp;VLOOKUP(INDIRECT("F37"),Abilities,2,FALSE)&amp;""""&amp;IF(VLOOKUP(INDIRECT("F37"),Abilities,3,FALSE)="","",", ApplyToWeaponSlot=eInvSlot_"&amp;VLOOKUP(INDIRECT("F37"),Abilities,3,FALSE))&amp;"), \\"</f>
        <v>+SoldierRanks=(  aAbilityTree=( (AbilityName="FullKit"), \\</v>
      </c>
      <c r="B126" s="234" t="s">
        <v>340</v>
      </c>
      <c r="C126" s="234"/>
      <c r="D126" s="234"/>
      <c r="E126" s="234"/>
      <c r="F126" s="234"/>
      <c r="G126" s="234"/>
      <c r="H126" s="234"/>
      <c r="I126" s="234"/>
      <c r="J126" s="234"/>
    </row>
    <row r="127" spans="1:10" x14ac:dyDescent="0.25">
      <c r="A127" s="240" t="str">
        <f ca="1">IF(INDIRECT("I37")="","\\","(AbilityName="""&amp;VLOOKUP(INDIRECT("I37"),Abilities,2,FALSE)&amp;""""&amp;IF(VLOOKUP(INDIRECT("I37"),Abilities,3,FALSE)="","",", ApplyToWeaponSlot=eInvSlot_"&amp;VLOOKUP(INDIRECT("I37"),Abilities,3,FALSE))&amp;"), \\")</f>
        <v>(AbilityName=" "), \\</v>
      </c>
      <c r="B127" s="234" t="s">
        <v>340</v>
      </c>
      <c r="C127" s="234"/>
      <c r="D127" s="234"/>
      <c r="E127" s="234"/>
      <c r="F127" s="234"/>
      <c r="G127" s="234"/>
      <c r="H127" s="234"/>
      <c r="I127" s="234"/>
      <c r="J127" s="234"/>
    </row>
    <row r="128" spans="1:10" x14ac:dyDescent="0.25">
      <c r="A128" s="240" t="str">
        <f ca="1">IF(INDIRECT("L37")="","\\","(AbilityName="""&amp;VLOOKUP(INDIRECT("L37"),Abilities,2,FALSE)&amp;""""&amp;IF(VLOOKUP(INDIRECT("L37"),Abilities,3,FALSE)="","",", ApplyToWeaponSlot=eInvSlot_"&amp;VLOOKUP(INDIRECT("L37"),Abilities,3,FALSE))&amp;"), \\")</f>
        <v>(AbilityName="CombatEngineer"), \\</v>
      </c>
      <c r="B128" s="234" t="s">
        <v>340</v>
      </c>
      <c r="C128" s="234"/>
      <c r="D128" s="234"/>
      <c r="E128" s="234"/>
      <c r="F128" s="234"/>
      <c r="G128" s="234"/>
      <c r="H128" s="234"/>
      <c r="I128" s="234"/>
      <c r="J128" s="234"/>
    </row>
    <row r="129" spans="1:10" x14ac:dyDescent="0.25">
      <c r="A129" s="240" t="s">
        <v>337</v>
      </c>
      <c r="B129" s="234" t="s">
        <v>340</v>
      </c>
      <c r="C129" s="234"/>
      <c r="D129" s="234"/>
      <c r="E129" s="234"/>
      <c r="F129" s="234"/>
      <c r="G129" s="234"/>
      <c r="H129" s="234"/>
      <c r="I129" s="234"/>
      <c r="J129" s="234"/>
    </row>
    <row r="130" spans="1:10" x14ac:dyDescent="0.25">
      <c r="A130" s="240"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234" t="s">
        <v>340</v>
      </c>
      <c r="C130" s="234"/>
      <c r="D130" s="234"/>
      <c r="E130" s="234"/>
      <c r="F130" s="234"/>
      <c r="G130" s="234"/>
      <c r="H130" s="234"/>
      <c r="I130" s="234"/>
      <c r="J130" s="234"/>
    </row>
    <row r="131" spans="1:10" ht="15.75" thickBot="1" x14ac:dyDescent="0.3">
      <c r="A131" s="241" t="s">
        <v>338</v>
      </c>
      <c r="B131" s="234" t="s">
        <v>340</v>
      </c>
      <c r="C131" s="234"/>
      <c r="D131" s="234"/>
      <c r="E131" s="234"/>
      <c r="F131" s="234"/>
      <c r="G131" s="234"/>
      <c r="H131" s="234"/>
      <c r="I131" s="234"/>
      <c r="J131" s="234"/>
    </row>
  </sheetData>
  <mergeCells count="140">
    <mergeCell ref="V35:W35"/>
    <mergeCell ref="V28:W28"/>
    <mergeCell ref="V29:W29"/>
    <mergeCell ref="V30:W30"/>
    <mergeCell ref="V31:W31"/>
    <mergeCell ref="V32:W32"/>
    <mergeCell ref="V23:W23"/>
    <mergeCell ref="V24:W24"/>
    <mergeCell ref="V25:W25"/>
    <mergeCell ref="V26:W26"/>
    <mergeCell ref="V27:W27"/>
    <mergeCell ref="V1:Y2"/>
    <mergeCell ref="V3:W3"/>
    <mergeCell ref="X3:Y3"/>
    <mergeCell ref="V4:W4"/>
    <mergeCell ref="X4:Y4"/>
    <mergeCell ref="V11:W11"/>
    <mergeCell ref="X11:Y11"/>
    <mergeCell ref="V12:W12"/>
    <mergeCell ref="X12:Y12"/>
    <mergeCell ref="V8:W8"/>
    <mergeCell ref="X8:Y8"/>
    <mergeCell ref="V9:W9"/>
    <mergeCell ref="X9:Y9"/>
    <mergeCell ref="V10:W10"/>
    <mergeCell ref="X10:Y10"/>
    <mergeCell ref="L33:M33"/>
    <mergeCell ref="F34:H35"/>
    <mergeCell ref="I34:K35"/>
    <mergeCell ref="L34:N35"/>
    <mergeCell ref="V5:W5"/>
    <mergeCell ref="X5:Y5"/>
    <mergeCell ref="V6:W6"/>
    <mergeCell ref="X6:Y6"/>
    <mergeCell ref="V7:W7"/>
    <mergeCell ref="X7:Y7"/>
    <mergeCell ref="V13:W13"/>
    <mergeCell ref="X13:Y13"/>
    <mergeCell ref="V18:W18"/>
    <mergeCell ref="V19:W19"/>
    <mergeCell ref="V20:W20"/>
    <mergeCell ref="V21:W21"/>
    <mergeCell ref="V22:W22"/>
    <mergeCell ref="V14:W14"/>
    <mergeCell ref="X14:Y14"/>
    <mergeCell ref="V15:W15"/>
    <mergeCell ref="V16:W16"/>
    <mergeCell ref="V17:W17"/>
    <mergeCell ref="V33:W33"/>
    <mergeCell ref="V34:W34"/>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F36:N36"/>
    <mergeCell ref="F37:G37"/>
    <mergeCell ref="I37:J37"/>
    <mergeCell ref="L37:M37"/>
    <mergeCell ref="F38:H39"/>
    <mergeCell ref="I38:K39"/>
    <mergeCell ref="L38:N39"/>
    <mergeCell ref="I33:J33"/>
    <mergeCell ref="I17:J17"/>
    <mergeCell ref="L17:M17"/>
    <mergeCell ref="C12:D12"/>
    <mergeCell ref="F12:N12"/>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C10:D10"/>
    <mergeCell ref="F10:H10"/>
    <mergeCell ref="I10:K10"/>
    <mergeCell ref="L10:N10"/>
    <mergeCell ref="C11:D11"/>
    <mergeCell ref="F11:H11"/>
    <mergeCell ref="I11:K11"/>
    <mergeCell ref="L11:N11"/>
    <mergeCell ref="O1:U2"/>
    <mergeCell ref="A3:B3"/>
    <mergeCell ref="C3:E3"/>
    <mergeCell ref="F3:N3"/>
    <mergeCell ref="A4:B4"/>
    <mergeCell ref="C4:E5"/>
    <mergeCell ref="F4:G4"/>
    <mergeCell ref="I4:J4"/>
    <mergeCell ref="L4:M4"/>
    <mergeCell ref="F5:H6"/>
    <mergeCell ref="I5:K6"/>
    <mergeCell ref="L5:N6"/>
    <mergeCell ref="C6:D6"/>
    <mergeCell ref="A40:B41"/>
    <mergeCell ref="C40:E41"/>
    <mergeCell ref="A42:B42"/>
    <mergeCell ref="C42:D42"/>
    <mergeCell ref="E42:F42"/>
    <mergeCell ref="A1:B2"/>
    <mergeCell ref="C1:E2"/>
    <mergeCell ref="F1:N2"/>
    <mergeCell ref="C7:D7"/>
    <mergeCell ref="F7:G7"/>
    <mergeCell ref="I7:J7"/>
    <mergeCell ref="L7:M7"/>
    <mergeCell ref="C8:D8"/>
    <mergeCell ref="F8:H9"/>
    <mergeCell ref="I8:K9"/>
    <mergeCell ref="L8:N9"/>
    <mergeCell ref="C9:D9"/>
    <mergeCell ref="F14:H15"/>
    <mergeCell ref="I14:K15"/>
    <mergeCell ref="L14:N15"/>
    <mergeCell ref="F16:N16"/>
    <mergeCell ref="F17:G1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2161"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92162"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92163"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92164"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92165"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92166"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92167"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92168"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92169"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92170"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92171"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92172"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92173"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90" t="s">
        <v>308</v>
      </c>
      <c r="B1" s="91"/>
      <c r="C1" s="94" t="s">
        <v>581</v>
      </c>
      <c r="D1" s="95"/>
      <c r="E1" s="95"/>
      <c r="F1" s="98" t="s">
        <v>324</v>
      </c>
      <c r="G1" s="99"/>
      <c r="H1" s="99"/>
      <c r="I1" s="99"/>
      <c r="J1" s="99"/>
      <c r="K1" s="99"/>
      <c r="L1" s="99"/>
      <c r="M1" s="99"/>
      <c r="N1" s="99"/>
      <c r="O1" s="100" t="s">
        <v>325</v>
      </c>
      <c r="P1" s="101"/>
      <c r="Q1" s="101"/>
      <c r="R1" s="101"/>
      <c r="S1" s="101"/>
      <c r="T1" s="101"/>
      <c r="U1" s="102"/>
      <c r="V1" s="196" t="s">
        <v>776</v>
      </c>
      <c r="W1" s="197"/>
      <c r="X1" s="197"/>
      <c r="Y1" s="197"/>
    </row>
    <row r="2" spans="1:25" ht="15" customHeight="1" thickBot="1" x14ac:dyDescent="0.3">
      <c r="A2" s="92"/>
      <c r="B2" s="93"/>
      <c r="C2" s="96"/>
      <c r="D2" s="97"/>
      <c r="E2" s="97"/>
      <c r="F2" s="98"/>
      <c r="G2" s="99"/>
      <c r="H2" s="99"/>
      <c r="I2" s="99"/>
      <c r="J2" s="99"/>
      <c r="K2" s="99"/>
      <c r="L2" s="99"/>
      <c r="M2" s="99"/>
      <c r="N2" s="99"/>
      <c r="O2" s="103"/>
      <c r="P2" s="104"/>
      <c r="Q2" s="104"/>
      <c r="R2" s="104"/>
      <c r="S2" s="104"/>
      <c r="T2" s="104"/>
      <c r="U2" s="105"/>
      <c r="V2" s="198"/>
      <c r="W2" s="199"/>
      <c r="X2" s="199"/>
      <c r="Y2" s="199"/>
    </row>
    <row r="3" spans="1:25" ht="18" thickBot="1" x14ac:dyDescent="0.35">
      <c r="A3" s="106" t="s">
        <v>309</v>
      </c>
      <c r="B3" s="107"/>
      <c r="C3" s="108" t="str">
        <f>Output!$L$1&amp;SUBSTITUTE(C1," ","")</f>
        <v>LWD_Scrapper</v>
      </c>
      <c r="D3" s="109"/>
      <c r="E3" s="109"/>
      <c r="F3" s="110" t="s">
        <v>12</v>
      </c>
      <c r="G3" s="111"/>
      <c r="H3" s="111"/>
      <c r="I3" s="111"/>
      <c r="J3" s="111"/>
      <c r="K3" s="111"/>
      <c r="L3" s="111"/>
      <c r="M3" s="111"/>
      <c r="N3" s="112"/>
      <c r="O3" s="15"/>
      <c r="P3" s="16" t="s">
        <v>79</v>
      </c>
      <c r="Q3" s="17" t="s">
        <v>326</v>
      </c>
      <c r="R3" s="17" t="s">
        <v>328</v>
      </c>
      <c r="S3" s="17" t="s">
        <v>327</v>
      </c>
      <c r="T3" s="17" t="s">
        <v>330</v>
      </c>
      <c r="U3" s="18" t="s">
        <v>329</v>
      </c>
      <c r="V3" s="200" t="s">
        <v>810</v>
      </c>
      <c r="W3" s="201"/>
      <c r="X3" s="200" t="s">
        <v>811</v>
      </c>
      <c r="Y3" s="201"/>
    </row>
    <row r="4" spans="1:25" ht="18" thickTop="1" x14ac:dyDescent="0.3">
      <c r="A4" s="113" t="s">
        <v>310</v>
      </c>
      <c r="B4" s="114"/>
      <c r="C4" s="115" t="s">
        <v>314</v>
      </c>
      <c r="D4" s="116"/>
      <c r="E4" s="116"/>
      <c r="F4" s="119" t="s">
        <v>420</v>
      </c>
      <c r="G4" s="120"/>
      <c r="H4" s="4" t="str">
        <f>IFERROR(VLOOKUP(F4,Abilities,4,FALSE),"")</f>
        <v>LW2</v>
      </c>
      <c r="I4" s="121" t="s">
        <v>618</v>
      </c>
      <c r="J4" s="120"/>
      <c r="K4" s="35" t="str">
        <f>IFERROR(VLOOKUP(I4,Abilities,4,FALSE),"")</f>
        <v>SOLW</v>
      </c>
      <c r="L4" s="122"/>
      <c r="M4" s="120"/>
      <c r="N4" s="10" t="str">
        <f>IFERROR(VLOOKUP(L4,Abilities,4,FALSE),"")</f>
        <v/>
      </c>
      <c r="O4" s="19" t="s">
        <v>12</v>
      </c>
      <c r="P4" s="4">
        <v>2</v>
      </c>
      <c r="Q4" s="20">
        <v>0</v>
      </c>
      <c r="R4" s="20"/>
      <c r="S4" s="4">
        <v>0</v>
      </c>
      <c r="T4" s="4">
        <v>1</v>
      </c>
      <c r="U4" s="10"/>
      <c r="V4" s="192" t="s">
        <v>827</v>
      </c>
      <c r="W4" s="193"/>
      <c r="X4" s="192" t="s">
        <v>885</v>
      </c>
      <c r="Y4" s="193"/>
    </row>
    <row r="5" spans="1:25" ht="15" customHeight="1" x14ac:dyDescent="0.25">
      <c r="A5" s="6"/>
      <c r="B5" s="5" t="b">
        <v>0</v>
      </c>
      <c r="C5" s="117"/>
      <c r="D5" s="118"/>
      <c r="E5" s="118"/>
      <c r="F5" s="123">
        <f>IFERROR(VLOOKUP(F4,Abilities,7,FALSE),"")</f>
        <v>0</v>
      </c>
      <c r="G5" s="124"/>
      <c r="H5" s="125"/>
      <c r="I5" s="129" t="str">
        <f>IFERROR(VLOOKUP(I4,Abilities,7,FALSE),"")</f>
        <v>Make a special melee attack against any enemy within movement range that deals little damage but stuns the target for 1 turn</v>
      </c>
      <c r="J5" s="130"/>
      <c r="K5" s="131"/>
      <c r="L5" s="130" t="str">
        <f>IFERROR(VLOOKUP(L4,Abilities,7,FALSE),"")</f>
        <v/>
      </c>
      <c r="M5" s="130"/>
      <c r="N5" s="135"/>
      <c r="O5" s="26" t="s">
        <v>456</v>
      </c>
      <c r="P5" s="27">
        <v>2</v>
      </c>
      <c r="Q5" s="28">
        <v>1</v>
      </c>
      <c r="R5" s="28"/>
      <c r="S5" s="27">
        <v>0</v>
      </c>
      <c r="T5" s="27"/>
      <c r="U5" s="29"/>
      <c r="V5" s="190" t="s">
        <v>821</v>
      </c>
      <c r="W5" s="191"/>
      <c r="X5" s="190" t="s">
        <v>802</v>
      </c>
      <c r="Y5" s="191"/>
    </row>
    <row r="6" spans="1:25" ht="15" customHeight="1" x14ac:dyDescent="0.25">
      <c r="A6" s="6"/>
      <c r="B6" s="5" t="b">
        <v>0</v>
      </c>
      <c r="C6" s="137" t="s">
        <v>315</v>
      </c>
      <c r="D6" s="138"/>
      <c r="E6" s="11">
        <v>0</v>
      </c>
      <c r="F6" s="126"/>
      <c r="G6" s="127"/>
      <c r="H6" s="128"/>
      <c r="I6" s="132"/>
      <c r="J6" s="133"/>
      <c r="K6" s="134"/>
      <c r="L6" s="133"/>
      <c r="M6" s="133"/>
      <c r="N6" s="136"/>
      <c r="O6" s="19" t="s">
        <v>15</v>
      </c>
      <c r="P6" s="4">
        <v>2</v>
      </c>
      <c r="Q6" s="20">
        <v>0</v>
      </c>
      <c r="R6" s="20"/>
      <c r="S6" s="4">
        <v>0</v>
      </c>
      <c r="T6" s="4"/>
      <c r="U6" s="10"/>
      <c r="V6" s="190" t="s">
        <v>778</v>
      </c>
      <c r="W6" s="191"/>
      <c r="X6" s="192" t="s">
        <v>803</v>
      </c>
      <c r="Y6" s="193"/>
    </row>
    <row r="7" spans="1:25" ht="15" customHeight="1" x14ac:dyDescent="0.25">
      <c r="A7" s="6"/>
      <c r="B7" s="5" t="b">
        <v>1</v>
      </c>
      <c r="C7" s="137" t="s">
        <v>316</v>
      </c>
      <c r="D7" s="138"/>
      <c r="E7" s="11">
        <v>4</v>
      </c>
      <c r="F7" s="139"/>
      <c r="G7" s="140"/>
      <c r="H7" s="4" t="str">
        <f>IFERROR(VLOOKUP(F7,Abilities,4,FALSE),"")</f>
        <v/>
      </c>
      <c r="I7" s="141"/>
      <c r="J7" s="140"/>
      <c r="K7" s="4" t="str">
        <f>IFERROR(VLOOKUP(I7,Abilities,4,FALSE),"")</f>
        <v/>
      </c>
      <c r="L7" s="142"/>
      <c r="M7" s="140"/>
      <c r="N7" s="10" t="str">
        <f>IFERROR(VLOOKUP(L7,Abilities,4,FALSE),"")</f>
        <v/>
      </c>
      <c r="O7" s="26" t="s">
        <v>21</v>
      </c>
      <c r="P7" s="27">
        <v>2</v>
      </c>
      <c r="Q7" s="28">
        <v>1</v>
      </c>
      <c r="R7" s="28"/>
      <c r="S7" s="27">
        <v>0</v>
      </c>
      <c r="T7" s="27"/>
      <c r="U7" s="29"/>
      <c r="V7" s="192" t="s">
        <v>779</v>
      </c>
      <c r="W7" s="193"/>
      <c r="X7" s="190" t="s">
        <v>804</v>
      </c>
      <c r="Y7" s="191"/>
    </row>
    <row r="8" spans="1:25" ht="15" customHeight="1" thickBot="1" x14ac:dyDescent="0.3">
      <c r="A8" s="6"/>
      <c r="B8" s="5" t="b">
        <v>0</v>
      </c>
      <c r="C8" s="137" t="s">
        <v>317</v>
      </c>
      <c r="D8" s="143"/>
      <c r="E8" s="12" t="s">
        <v>760</v>
      </c>
      <c r="F8" s="144" t="str">
        <f>IFERROR(VLOOKUP(F7,Abilities,7,FALSE),"")</f>
        <v/>
      </c>
      <c r="G8" s="130"/>
      <c r="H8" s="131"/>
      <c r="I8" s="129" t="str">
        <f>IFERROR(VLOOKUP(I7,Abilities,7,FALSE),"")</f>
        <v/>
      </c>
      <c r="J8" s="130"/>
      <c r="K8" s="131"/>
      <c r="L8" s="130" t="str">
        <f>IFERROR(VLOOKUP(L7,Abilities,7,FALSE),"")</f>
        <v/>
      </c>
      <c r="M8" s="130"/>
      <c r="N8" s="135"/>
      <c r="O8" s="21" t="s">
        <v>457</v>
      </c>
      <c r="P8" s="4">
        <v>2</v>
      </c>
      <c r="Q8" s="20">
        <v>0</v>
      </c>
      <c r="R8" s="20"/>
      <c r="S8" s="4">
        <v>0</v>
      </c>
      <c r="T8" s="4"/>
      <c r="U8" s="10"/>
      <c r="V8" s="190" t="s">
        <v>780</v>
      </c>
      <c r="W8" s="191"/>
      <c r="X8" s="192" t="s">
        <v>805</v>
      </c>
      <c r="Y8" s="193"/>
    </row>
    <row r="9" spans="1:25" ht="15.75" thickBot="1" x14ac:dyDescent="0.3">
      <c r="A9" s="6"/>
      <c r="B9" s="5" t="b">
        <v>0</v>
      </c>
      <c r="C9" s="137" t="s">
        <v>319</v>
      </c>
      <c r="D9" s="143"/>
      <c r="E9" s="12">
        <v>1</v>
      </c>
      <c r="F9" s="145"/>
      <c r="G9" s="133"/>
      <c r="H9" s="134"/>
      <c r="I9" s="146"/>
      <c r="J9" s="147"/>
      <c r="K9" s="148"/>
      <c r="L9" s="133"/>
      <c r="M9" s="133"/>
      <c r="N9" s="136"/>
      <c r="O9" s="26" t="s">
        <v>458</v>
      </c>
      <c r="P9" s="27">
        <v>2</v>
      </c>
      <c r="Q9" s="28">
        <v>1</v>
      </c>
      <c r="R9" s="28"/>
      <c r="S9" s="27">
        <v>0</v>
      </c>
      <c r="T9" s="27"/>
      <c r="U9" s="29"/>
      <c r="V9" s="192" t="s">
        <v>781</v>
      </c>
      <c r="W9" s="193"/>
      <c r="X9" s="200" t="s">
        <v>812</v>
      </c>
      <c r="Y9" s="201"/>
    </row>
    <row r="10" spans="1:25" ht="18.75" x14ac:dyDescent="0.3">
      <c r="A10" s="6"/>
      <c r="B10" s="5" t="b">
        <v>1</v>
      </c>
      <c r="C10" s="137" t="s">
        <v>318</v>
      </c>
      <c r="D10" s="143"/>
      <c r="E10" s="12">
        <v>4</v>
      </c>
      <c r="F10" s="157" t="s">
        <v>311</v>
      </c>
      <c r="G10" s="158"/>
      <c r="H10" s="159"/>
      <c r="I10" s="160" t="s">
        <v>349</v>
      </c>
      <c r="J10" s="158"/>
      <c r="K10" s="159"/>
      <c r="L10" s="158" t="s">
        <v>312</v>
      </c>
      <c r="M10" s="158"/>
      <c r="N10" s="161"/>
      <c r="O10" s="36" t="s">
        <v>459</v>
      </c>
      <c r="P10" s="37">
        <v>2</v>
      </c>
      <c r="Q10" s="37">
        <v>0</v>
      </c>
      <c r="R10" s="37"/>
      <c r="S10" s="37">
        <v>0</v>
      </c>
      <c r="T10" s="37"/>
      <c r="U10" s="38"/>
      <c r="V10" s="190" t="s">
        <v>782</v>
      </c>
      <c r="W10" s="191"/>
      <c r="X10" s="192" t="s">
        <v>806</v>
      </c>
      <c r="Y10" s="193"/>
    </row>
    <row r="11" spans="1:25" ht="15.75" customHeight="1" thickBot="1" x14ac:dyDescent="0.3">
      <c r="A11" s="6"/>
      <c r="B11" s="5" t="b">
        <v>0</v>
      </c>
      <c r="C11" s="137" t="s">
        <v>320</v>
      </c>
      <c r="D11" s="143"/>
      <c r="E11" s="12">
        <v>4</v>
      </c>
      <c r="F11" s="162" t="s">
        <v>742</v>
      </c>
      <c r="G11" s="163"/>
      <c r="H11" s="164"/>
      <c r="I11" s="165"/>
      <c r="J11" s="163"/>
      <c r="K11" s="164"/>
      <c r="L11" s="163" t="s">
        <v>743</v>
      </c>
      <c r="M11" s="163"/>
      <c r="N11" s="166"/>
      <c r="O11" s="39" t="s">
        <v>460</v>
      </c>
      <c r="P11" s="40">
        <v>2</v>
      </c>
      <c r="Q11" s="41">
        <v>1</v>
      </c>
      <c r="R11" s="41"/>
      <c r="S11" s="40">
        <v>0</v>
      </c>
      <c r="T11" s="40"/>
      <c r="U11" s="42"/>
      <c r="V11" s="192" t="s">
        <v>824</v>
      </c>
      <c r="W11" s="193"/>
      <c r="X11" s="190" t="s">
        <v>807</v>
      </c>
      <c r="Y11" s="191"/>
    </row>
    <row r="12" spans="1:25" ht="18" customHeight="1" thickBot="1" x14ac:dyDescent="0.35">
      <c r="A12" s="6"/>
      <c r="B12" s="5" t="b">
        <v>0</v>
      </c>
      <c r="C12" s="137" t="s">
        <v>321</v>
      </c>
      <c r="D12" s="143"/>
      <c r="E12" s="12">
        <v>1</v>
      </c>
      <c r="F12" s="169" t="s">
        <v>443</v>
      </c>
      <c r="G12" s="170"/>
      <c r="H12" s="170"/>
      <c r="I12" s="170"/>
      <c r="J12" s="170"/>
      <c r="K12" s="170"/>
      <c r="L12" s="170"/>
      <c r="M12" s="170"/>
      <c r="N12" s="171"/>
      <c r="O12" s="149" t="s">
        <v>813</v>
      </c>
      <c r="P12" s="150"/>
      <c r="Q12" s="150"/>
      <c r="R12" s="150"/>
      <c r="S12" s="150"/>
      <c r="T12" s="150"/>
      <c r="U12" s="151"/>
      <c r="V12" s="192" t="s">
        <v>783</v>
      </c>
      <c r="W12" s="193"/>
      <c r="X12" s="192" t="s">
        <v>808</v>
      </c>
      <c r="Y12" s="193"/>
    </row>
    <row r="13" spans="1:25" ht="16.5" thickTop="1" thickBot="1" x14ac:dyDescent="0.3">
      <c r="A13" s="6"/>
      <c r="B13" s="5" t="b">
        <v>0</v>
      </c>
      <c r="C13" s="155" t="s">
        <v>322</v>
      </c>
      <c r="D13" s="156"/>
      <c r="E13" s="13" t="s">
        <v>323</v>
      </c>
      <c r="F13" s="119" t="s">
        <v>214</v>
      </c>
      <c r="G13" s="120"/>
      <c r="H13" s="4" t="str">
        <f>IFERROR(VLOOKUP(F13,Abilities,4,FALSE),"")</f>
        <v>LW2</v>
      </c>
      <c r="I13" s="121" t="s">
        <v>962</v>
      </c>
      <c r="J13" s="120"/>
      <c r="K13" s="35" t="str">
        <f>IFERROR(VLOOKUP(I13,Abilities,4,FALSE),"")</f>
        <v>BLANK</v>
      </c>
      <c r="L13" s="122" t="s">
        <v>619</v>
      </c>
      <c r="M13" s="120"/>
      <c r="N13" s="10" t="str">
        <f>IFERROR(VLOOKUP(L13,Abilities,4,FALSE),"")</f>
        <v>SOLW</v>
      </c>
      <c r="O13" s="152"/>
      <c r="P13" s="153"/>
      <c r="Q13" s="153"/>
      <c r="R13" s="153"/>
      <c r="S13" s="153"/>
      <c r="T13" s="153"/>
      <c r="U13" s="154"/>
      <c r="V13" s="192" t="s">
        <v>818</v>
      </c>
      <c r="W13" s="193"/>
      <c r="X13" s="190" t="s">
        <v>809</v>
      </c>
      <c r="Y13" s="191"/>
    </row>
    <row r="14" spans="1:25" ht="15.75" thickBot="1" x14ac:dyDescent="0.3">
      <c r="A14" s="6"/>
      <c r="B14" s="7" t="b">
        <v>0</v>
      </c>
      <c r="F14" s="144">
        <f>IFERROR(VLOOKUP(F13,Abilities,7,FALSE),"")</f>
        <v>0</v>
      </c>
      <c r="G14" s="130"/>
      <c r="H14" s="131"/>
      <c r="I14" s="129" t="str">
        <f>IFERROR(VLOOKUP(I13,Abilities,7,FALSE),"")</f>
        <v xml:space="preserve"> </v>
      </c>
      <c r="J14" s="130"/>
      <c r="K14" s="131"/>
      <c r="L14" s="130" t="str">
        <f>IFERROR(VLOOKUP(L13,Abilities,7,FALSE),"")</f>
        <v>Your melee attacks deal &lt;Ability:+Damage/&gt; damage.</v>
      </c>
      <c r="M14" s="130"/>
      <c r="N14" s="135"/>
      <c r="O14" s="22"/>
      <c r="P14" s="23" t="s">
        <v>331</v>
      </c>
      <c r="Q14" s="24" t="s">
        <v>332</v>
      </c>
      <c r="R14" s="24" t="s">
        <v>333</v>
      </c>
      <c r="S14" s="24" t="s">
        <v>334</v>
      </c>
      <c r="T14" s="24" t="s">
        <v>336</v>
      </c>
      <c r="U14" s="25" t="s">
        <v>335</v>
      </c>
      <c r="V14" s="190" t="s">
        <v>784</v>
      </c>
      <c r="W14" s="191"/>
      <c r="X14" s="194" t="s">
        <v>814</v>
      </c>
      <c r="Y14" s="195"/>
    </row>
    <row r="15" spans="1:25" ht="15.75" thickBot="1" x14ac:dyDescent="0.3">
      <c r="A15" s="6"/>
      <c r="B15" s="7" t="b">
        <v>0</v>
      </c>
      <c r="F15" s="167"/>
      <c r="G15" s="147"/>
      <c r="H15" s="148"/>
      <c r="I15" s="146"/>
      <c r="J15" s="147"/>
      <c r="K15" s="148"/>
      <c r="L15" s="147"/>
      <c r="M15" s="147"/>
      <c r="N15" s="168"/>
      <c r="O15" s="19" t="s">
        <v>12</v>
      </c>
      <c r="P15" s="4"/>
      <c r="Q15" s="20">
        <v>5</v>
      </c>
      <c r="R15" s="20"/>
      <c r="S15" s="4">
        <v>2</v>
      </c>
      <c r="T15" s="4"/>
      <c r="U15" s="10"/>
      <c r="V15" s="190" t="s">
        <v>823</v>
      </c>
      <c r="W15" s="191"/>
    </row>
    <row r="16" spans="1:25" ht="18" thickBot="1" x14ac:dyDescent="0.35">
      <c r="A16" s="6"/>
      <c r="B16" s="7" t="b">
        <v>0</v>
      </c>
      <c r="F16" s="169" t="s">
        <v>15</v>
      </c>
      <c r="G16" s="170"/>
      <c r="H16" s="170"/>
      <c r="I16" s="170"/>
      <c r="J16" s="170"/>
      <c r="K16" s="170"/>
      <c r="L16" s="170"/>
      <c r="M16" s="170"/>
      <c r="N16" s="171"/>
      <c r="O16" s="26" t="s">
        <v>456</v>
      </c>
      <c r="P16" s="27"/>
      <c r="Q16" s="28">
        <v>5</v>
      </c>
      <c r="R16" s="28"/>
      <c r="S16" s="27">
        <v>2</v>
      </c>
      <c r="T16" s="27"/>
      <c r="U16" s="29"/>
      <c r="V16" s="190" t="s">
        <v>786</v>
      </c>
      <c r="W16" s="191"/>
    </row>
    <row r="17" spans="1:23" ht="16.5" thickTop="1" thickBot="1" x14ac:dyDescent="0.3">
      <c r="A17" s="8"/>
      <c r="B17" s="9" t="b">
        <v>0</v>
      </c>
      <c r="F17" s="121" t="s">
        <v>962</v>
      </c>
      <c r="G17" s="120"/>
      <c r="H17" s="4" t="str">
        <f>IFERROR(VLOOKUP(F17,Abilities,4,FALSE),"")</f>
        <v>BLANK</v>
      </c>
      <c r="I17" s="121" t="s">
        <v>383</v>
      </c>
      <c r="J17" s="120"/>
      <c r="K17" s="35" t="str">
        <f>IFERROR(VLOOKUP(I17,Abilities,4,FALSE),"")</f>
        <v>LW2</v>
      </c>
      <c r="L17" s="121" t="s">
        <v>962</v>
      </c>
      <c r="M17" s="120"/>
      <c r="N17" s="10" t="str">
        <f>IFERROR(VLOOKUP(L17,Abilities,4,FALSE),"")</f>
        <v>BLANK</v>
      </c>
      <c r="O17" s="19" t="s">
        <v>15</v>
      </c>
      <c r="P17" s="4"/>
      <c r="Q17" s="20"/>
      <c r="R17" s="20"/>
      <c r="S17" s="4">
        <v>1</v>
      </c>
      <c r="T17" s="4"/>
      <c r="U17" s="10"/>
      <c r="V17" s="192" t="s">
        <v>884</v>
      </c>
      <c r="W17" s="193"/>
    </row>
    <row r="18" spans="1:23" x14ac:dyDescent="0.25">
      <c r="A18" s="172" t="s">
        <v>344</v>
      </c>
      <c r="B18" s="173"/>
      <c r="F18" s="144" t="str">
        <f>IFERROR(VLOOKUP(F17,Abilities,7,FALSE),"")</f>
        <v xml:space="preserve"> </v>
      </c>
      <c r="G18" s="130"/>
      <c r="H18" s="131"/>
      <c r="I18" s="129">
        <f>IFERROR(VLOOKUP(I17,Abilities,7,FALSE),"")</f>
        <v>0</v>
      </c>
      <c r="J18" s="130"/>
      <c r="K18" s="131"/>
      <c r="L18" s="130" t="str">
        <f>IFERROR(VLOOKUP(L17,Abilities,7,FALSE),"")</f>
        <v xml:space="preserve"> </v>
      </c>
      <c r="M18" s="130"/>
      <c r="N18" s="135"/>
      <c r="O18" s="26" t="s">
        <v>21</v>
      </c>
      <c r="P18" s="27"/>
      <c r="Q18" s="28"/>
      <c r="R18" s="28"/>
      <c r="S18" s="27"/>
      <c r="T18" s="27"/>
      <c r="U18" s="29"/>
      <c r="V18" s="190" t="s">
        <v>788</v>
      </c>
      <c r="W18" s="191"/>
    </row>
    <row r="19" spans="1:23" ht="15.75" thickBot="1" x14ac:dyDescent="0.3">
      <c r="A19" s="174"/>
      <c r="B19" s="175"/>
      <c r="D19" s="3"/>
      <c r="F19" s="167"/>
      <c r="G19" s="147"/>
      <c r="H19" s="148"/>
      <c r="I19" s="146"/>
      <c r="J19" s="147"/>
      <c r="K19" s="148"/>
      <c r="L19" s="147"/>
      <c r="M19" s="147"/>
      <c r="N19" s="168"/>
      <c r="O19" s="21" t="s">
        <v>457</v>
      </c>
      <c r="P19" s="4"/>
      <c r="Q19" s="20"/>
      <c r="R19" s="20"/>
      <c r="S19" s="4"/>
      <c r="T19" s="4"/>
      <c r="U19" s="10"/>
      <c r="V19" s="192" t="s">
        <v>789</v>
      </c>
      <c r="W19" s="193"/>
    </row>
    <row r="20" spans="1:23" ht="18" thickBot="1" x14ac:dyDescent="0.35">
      <c r="A20" s="176" t="s">
        <v>920</v>
      </c>
      <c r="B20" s="177"/>
      <c r="C20" s="178"/>
      <c r="D20" s="178"/>
      <c r="E20" s="179"/>
      <c r="F20" s="169" t="s">
        <v>21</v>
      </c>
      <c r="G20" s="170"/>
      <c r="H20" s="170"/>
      <c r="I20" s="170"/>
      <c r="J20" s="170"/>
      <c r="K20" s="170"/>
      <c r="L20" s="170"/>
      <c r="M20" s="170"/>
      <c r="N20" s="171"/>
      <c r="O20" s="26" t="s">
        <v>458</v>
      </c>
      <c r="P20" s="27"/>
      <c r="Q20" s="28"/>
      <c r="R20" s="28"/>
      <c r="S20" s="27"/>
      <c r="T20" s="27"/>
      <c r="U20" s="29"/>
      <c r="V20" s="192" t="s">
        <v>790</v>
      </c>
      <c r="W20" s="193"/>
    </row>
    <row r="21" spans="1:23" ht="15.75" thickTop="1" x14ac:dyDescent="0.25">
      <c r="A21" s="176"/>
      <c r="B21" s="177"/>
      <c r="C21" s="177"/>
      <c r="D21" s="177"/>
      <c r="E21" s="180"/>
      <c r="F21" s="119" t="s">
        <v>620</v>
      </c>
      <c r="G21" s="120"/>
      <c r="H21" s="4" t="str">
        <f>IFERROR(VLOOKUP(F21,Abilities,4,FALSE),"")</f>
        <v>SOLW</v>
      </c>
      <c r="I21" s="121" t="s">
        <v>962</v>
      </c>
      <c r="J21" s="120"/>
      <c r="K21" s="35" t="str">
        <f>IFERROR(VLOOKUP(I21,Abilities,4,FALSE),"")</f>
        <v>BLANK</v>
      </c>
      <c r="L21" s="122" t="s">
        <v>23</v>
      </c>
      <c r="M21" s="120"/>
      <c r="N21" s="10" t="str">
        <f>IFERROR(VLOOKUP(L21,Abilities,4,FALSE),"")</f>
        <v>XCOM2</v>
      </c>
      <c r="O21" s="36" t="s">
        <v>459</v>
      </c>
      <c r="P21" s="37"/>
      <c r="Q21" s="37"/>
      <c r="R21" s="37"/>
      <c r="S21" s="37"/>
      <c r="T21" s="37"/>
      <c r="U21" s="38"/>
      <c r="V21" s="190" t="s">
        <v>791</v>
      </c>
      <c r="W21" s="191"/>
    </row>
    <row r="22" spans="1:23" ht="15.75" thickBot="1" x14ac:dyDescent="0.3">
      <c r="A22" s="181"/>
      <c r="B22" s="182"/>
      <c r="C22" s="182"/>
      <c r="D22" s="182"/>
      <c r="E22" s="183"/>
      <c r="F22" s="144" t="str">
        <f>IFERROR(VLOOKUP(F21,Abilities,7,FALSE),"")</f>
        <v>Grants 1 free incendiary grenade item to your inventory.</v>
      </c>
      <c r="G22" s="130"/>
      <c r="H22" s="131"/>
      <c r="I22" s="129" t="str">
        <f>IFERROR(VLOOKUP(I21,Abilities,7,FALSE),"")</f>
        <v xml:space="preserve"> </v>
      </c>
      <c r="J22" s="130"/>
      <c r="K22" s="131"/>
      <c r="L22" s="130" t="str">
        <f>IFERROR(VLOOKUP(L21,Abilities,7,FALSE),"")</f>
        <v>This soldier does not trigger overwatch or reaction fire.</v>
      </c>
      <c r="M22" s="130"/>
      <c r="N22" s="135"/>
      <c r="O22" s="39" t="s">
        <v>460</v>
      </c>
      <c r="P22" s="40"/>
      <c r="Q22" s="41"/>
      <c r="R22" s="41"/>
      <c r="S22" s="40"/>
      <c r="T22" s="40"/>
      <c r="U22" s="42"/>
      <c r="V22" s="192" t="s">
        <v>792</v>
      </c>
      <c r="W22" s="193"/>
    </row>
    <row r="23" spans="1:23" ht="15.75" thickBot="1" x14ac:dyDescent="0.3">
      <c r="A23" s="184" t="s">
        <v>352</v>
      </c>
      <c r="B23" s="185"/>
      <c r="C23" s="185"/>
      <c r="D23" s="185"/>
      <c r="E23" s="186"/>
      <c r="F23" s="167"/>
      <c r="G23" s="147"/>
      <c r="H23" s="148"/>
      <c r="I23" s="146"/>
      <c r="J23" s="147"/>
      <c r="K23" s="148"/>
      <c r="L23" s="147"/>
      <c r="M23" s="147"/>
      <c r="N23" s="168"/>
      <c r="O23" s="14"/>
      <c r="P23" s="14"/>
      <c r="Q23" s="3"/>
      <c r="V23" s="190" t="s">
        <v>793</v>
      </c>
      <c r="W23" s="191"/>
    </row>
    <row r="24" spans="1:23" ht="18" thickBot="1" x14ac:dyDescent="0.35">
      <c r="A24" s="187"/>
      <c r="B24" s="188"/>
      <c r="C24" s="188"/>
      <c r="D24" s="188"/>
      <c r="E24" s="189"/>
      <c r="F24" s="169" t="s">
        <v>444</v>
      </c>
      <c r="G24" s="170"/>
      <c r="H24" s="170"/>
      <c r="I24" s="170"/>
      <c r="J24" s="170"/>
      <c r="K24" s="170"/>
      <c r="L24" s="170"/>
      <c r="M24" s="170"/>
      <c r="N24" s="171"/>
      <c r="O24" s="14"/>
      <c r="P24" s="14"/>
      <c r="Q24" s="3"/>
      <c r="V24" s="192" t="s">
        <v>794</v>
      </c>
      <c r="W24" s="193"/>
    </row>
    <row r="25" spans="1:23" ht="15.75" thickTop="1" x14ac:dyDescent="0.25">
      <c r="A25" s="50"/>
      <c r="B25" s="51"/>
      <c r="C25" s="51"/>
      <c r="D25" s="51"/>
      <c r="E25" s="52"/>
      <c r="F25" s="119" t="s">
        <v>596</v>
      </c>
      <c r="G25" s="120"/>
      <c r="H25" s="4" t="str">
        <f>IFERROR(VLOOKUP(F25,Abilities,4,FALSE),"")</f>
        <v>SOLW</v>
      </c>
      <c r="I25" s="121" t="s">
        <v>962</v>
      </c>
      <c r="J25" s="120"/>
      <c r="K25" s="35" t="str">
        <f>IFERROR(VLOOKUP(I25,Abilities,4,FALSE),"")</f>
        <v>BLANK</v>
      </c>
      <c r="L25" s="122" t="s">
        <v>744</v>
      </c>
      <c r="M25" s="120"/>
      <c r="N25" s="10" t="str">
        <f>IFERROR(VLOOKUP(L25,Abilities,4,FALSE),"")</f>
        <v>LW2</v>
      </c>
      <c r="O25" s="14"/>
      <c r="P25" s="14"/>
      <c r="Q25" s="3"/>
      <c r="V25" s="190" t="s">
        <v>897</v>
      </c>
      <c r="W25" s="191"/>
    </row>
    <row r="26" spans="1:23" x14ac:dyDescent="0.25">
      <c r="A26" s="50"/>
      <c r="B26" s="51"/>
      <c r="C26" s="51"/>
      <c r="D26" s="51"/>
      <c r="E26" s="52"/>
      <c r="F26" s="144" t="str">
        <f>IFERROR(VLOOKUP(F25,Abilities,7,FALSE),"")</f>
        <v>Increases Will by &lt;Ability:Will&gt;, and guarantees that you bleed out instead of die outright once per mission.</v>
      </c>
      <c r="G26" s="130"/>
      <c r="H26" s="131"/>
      <c r="I26" s="129" t="str">
        <f>IFERROR(VLOOKUP(I25,Abilities,7,FALSE),"")</f>
        <v xml:space="preserve"> </v>
      </c>
      <c r="J26" s="130"/>
      <c r="K26" s="131"/>
      <c r="L26" s="130" t="str">
        <f>IFERROR(VLOOKUP(L25,Abilities,7,FALSE),"")</f>
        <v>Enemy attacks against you suffer a -50 penalty to critical hit chances.</v>
      </c>
      <c r="M26" s="130"/>
      <c r="N26" s="135"/>
      <c r="O26" s="14"/>
      <c r="P26" s="14"/>
      <c r="Q26" s="3"/>
      <c r="V26" s="190" t="s">
        <v>797</v>
      </c>
      <c r="W26" s="191"/>
    </row>
    <row r="27" spans="1:23" ht="15.75" thickBot="1" x14ac:dyDescent="0.3">
      <c r="A27" s="50"/>
      <c r="B27" s="51"/>
      <c r="C27" s="51"/>
      <c r="D27" s="51"/>
      <c r="E27" s="52"/>
      <c r="F27" s="167"/>
      <c r="G27" s="147"/>
      <c r="H27" s="148"/>
      <c r="I27" s="146"/>
      <c r="J27" s="147"/>
      <c r="K27" s="148"/>
      <c r="L27" s="147"/>
      <c r="M27" s="147"/>
      <c r="N27" s="168"/>
      <c r="O27" s="14"/>
      <c r="P27" s="14"/>
      <c r="Q27" s="3"/>
      <c r="V27" s="192" t="s">
        <v>798</v>
      </c>
      <c r="W27" s="193"/>
    </row>
    <row r="28" spans="1:23" ht="18" thickBot="1" x14ac:dyDescent="0.35">
      <c r="A28" s="50"/>
      <c r="B28" s="51"/>
      <c r="C28" s="51"/>
      <c r="D28" s="51"/>
      <c r="E28" s="52"/>
      <c r="F28" s="169" t="s">
        <v>445</v>
      </c>
      <c r="G28" s="170"/>
      <c r="H28" s="170"/>
      <c r="I28" s="170"/>
      <c r="J28" s="170"/>
      <c r="K28" s="170"/>
      <c r="L28" s="170"/>
      <c r="M28" s="170"/>
      <c r="N28" s="171"/>
      <c r="O28" s="14"/>
      <c r="P28" s="14"/>
      <c r="Q28" s="3"/>
      <c r="V28" s="190" t="s">
        <v>799</v>
      </c>
      <c r="W28" s="191"/>
    </row>
    <row r="29" spans="1:23" ht="15.75" thickTop="1" x14ac:dyDescent="0.25">
      <c r="A29" s="50"/>
      <c r="B29" s="51"/>
      <c r="C29" s="51"/>
      <c r="D29" s="51"/>
      <c r="E29" s="52"/>
      <c r="F29" s="119" t="s">
        <v>217</v>
      </c>
      <c r="G29" s="120"/>
      <c r="H29" s="4" t="str">
        <f>IFERROR(VLOOKUP(F29,Abilities,4,FALSE),"")</f>
        <v>LW2</v>
      </c>
      <c r="I29" s="121" t="s">
        <v>962</v>
      </c>
      <c r="J29" s="120"/>
      <c r="K29" s="35" t="str">
        <f>IFERROR(VLOOKUP(I29,Abilities,4,FALSE),"")</f>
        <v>BLANK</v>
      </c>
      <c r="L29" s="122" t="s">
        <v>35</v>
      </c>
      <c r="M29" s="120"/>
      <c r="N29" s="10" t="str">
        <f>IFERROR(VLOOKUP(L29,Abilities,4,FALSE),"")</f>
        <v>XCOM2</v>
      </c>
      <c r="O29" s="14"/>
      <c r="P29" s="14"/>
      <c r="Q29" s="3"/>
      <c r="V29" s="190" t="s">
        <v>883</v>
      </c>
      <c r="W29" s="191"/>
    </row>
    <row r="30" spans="1:23" x14ac:dyDescent="0.25">
      <c r="A30" s="50"/>
      <c r="B30" s="51"/>
      <c r="C30" s="51"/>
      <c r="D30" s="51"/>
      <c r="E30" s="52"/>
      <c r="F30" s="144">
        <f>IFERROR(VLOOKUP(F29,Abilities,7,FALSE),"")</f>
        <v>0</v>
      </c>
      <c r="G30" s="130"/>
      <c r="H30" s="131"/>
      <c r="I30" s="129" t="str">
        <f>IFERROR(VLOOKUP(I29,Abilities,7,FALSE),"")</f>
        <v xml:space="preserve"> </v>
      </c>
      <c r="J30" s="130"/>
      <c r="K30" s="131"/>
      <c r="L30" s="130" t="str">
        <f>IFERROR(VLOOKUP(L29,Abilities,7,FALSE),"")</f>
        <v>Free sword attacks on enemies that enter or attack from melee range. If an enemy attempts to attack a Ranger with Bladestorm within melee range, Bladestorm will activate before the enemy attack.</v>
      </c>
      <c r="M30" s="130"/>
      <c r="N30" s="135"/>
      <c r="O30" s="14"/>
      <c r="P30" s="14"/>
      <c r="Q30" s="3"/>
      <c r="V30" s="190" t="s">
        <v>819</v>
      </c>
      <c r="W30" s="191"/>
    </row>
    <row r="31" spans="1:23" ht="15.75" thickBot="1" x14ac:dyDescent="0.3">
      <c r="A31" s="50"/>
      <c r="B31" s="51"/>
      <c r="C31" s="51"/>
      <c r="D31" s="51"/>
      <c r="E31" s="52"/>
      <c r="F31" s="167"/>
      <c r="G31" s="147"/>
      <c r="H31" s="148"/>
      <c r="I31" s="146"/>
      <c r="J31" s="147"/>
      <c r="K31" s="148"/>
      <c r="L31" s="147"/>
      <c r="M31" s="147"/>
      <c r="N31" s="168"/>
      <c r="O31" s="14"/>
      <c r="P31" s="14"/>
      <c r="Q31" s="3"/>
      <c r="V31" s="192" t="s">
        <v>820</v>
      </c>
      <c r="W31" s="193"/>
    </row>
    <row r="32" spans="1:23" ht="18" thickBot="1" x14ac:dyDescent="0.35">
      <c r="A32" s="50"/>
      <c r="B32" s="51"/>
      <c r="C32" s="51"/>
      <c r="D32" s="51"/>
      <c r="E32" s="52"/>
      <c r="F32" s="169" t="s">
        <v>446</v>
      </c>
      <c r="G32" s="170"/>
      <c r="H32" s="170"/>
      <c r="I32" s="170"/>
      <c r="J32" s="170"/>
      <c r="K32" s="170"/>
      <c r="L32" s="170"/>
      <c r="M32" s="170"/>
      <c r="N32" s="171"/>
      <c r="O32" s="14"/>
      <c r="P32" s="14"/>
      <c r="Q32" s="3"/>
      <c r="V32" s="192" t="s">
        <v>815</v>
      </c>
      <c r="W32" s="193"/>
    </row>
    <row r="33" spans="1:23" ht="15.75" thickTop="1" x14ac:dyDescent="0.25">
      <c r="A33" s="50"/>
      <c r="B33" s="51"/>
      <c r="C33" s="51"/>
      <c r="D33" s="51"/>
      <c r="E33" s="52"/>
      <c r="F33" s="121" t="s">
        <v>962</v>
      </c>
      <c r="G33" s="120"/>
      <c r="H33" s="4" t="str">
        <f>IFERROR(VLOOKUP(F33,Abilities,4,FALSE),"")</f>
        <v>BLANK</v>
      </c>
      <c r="I33" s="121" t="s">
        <v>41</v>
      </c>
      <c r="J33" s="120"/>
      <c r="K33" s="35" t="str">
        <f>IFERROR(VLOOKUP(I33,Abilities,4,FALSE),"")</f>
        <v>XCOM2</v>
      </c>
      <c r="L33" s="121" t="s">
        <v>962</v>
      </c>
      <c r="M33" s="120"/>
      <c r="N33" s="10" t="str">
        <f>IFERROR(VLOOKUP(L33,Abilities,4,FALSE),"")</f>
        <v>BLANK</v>
      </c>
      <c r="O33" s="14"/>
      <c r="P33" s="14"/>
      <c r="Q33" s="3"/>
      <c r="V33" s="192" t="s">
        <v>822</v>
      </c>
      <c r="W33" s="193"/>
    </row>
    <row r="34" spans="1:23" x14ac:dyDescent="0.25">
      <c r="A34" s="50"/>
      <c r="B34" s="51"/>
      <c r="C34" s="51"/>
      <c r="D34" s="51"/>
      <c r="E34" s="52"/>
      <c r="F34" s="144" t="str">
        <f>IFERROR(VLOOKUP(F33,Abilities,7,FALSE),"")</f>
        <v xml:space="preserve"> </v>
      </c>
      <c r="G34" s="130"/>
      <c r="H34" s="131"/>
      <c r="I34" s="129" t="str">
        <f>IFERROR(VLOOKUP(I33,Abilities,7,FALSE),"")</f>
        <v>If you score a kill during your turn, the next attack against you during the enemy turn will miss.</v>
      </c>
      <c r="J34" s="130"/>
      <c r="K34" s="131"/>
      <c r="L34" s="130" t="str">
        <f>IFERROR(VLOOKUP(L33,Abilities,7,FALSE),"")</f>
        <v xml:space="preserve"> </v>
      </c>
      <c r="M34" s="130"/>
      <c r="N34" s="135"/>
      <c r="O34" s="14"/>
      <c r="P34" s="14"/>
      <c r="Q34" s="3"/>
      <c r="V34" s="190" t="s">
        <v>816</v>
      </c>
      <c r="W34" s="191"/>
    </row>
    <row r="35" spans="1:23" ht="15.75" thickBot="1" x14ac:dyDescent="0.3">
      <c r="A35" s="50"/>
      <c r="B35" s="51"/>
      <c r="C35" s="51"/>
      <c r="D35" s="51"/>
      <c r="E35" s="52"/>
      <c r="F35" s="167"/>
      <c r="G35" s="147"/>
      <c r="H35" s="148"/>
      <c r="I35" s="146"/>
      <c r="J35" s="147"/>
      <c r="K35" s="148"/>
      <c r="L35" s="147"/>
      <c r="M35" s="147"/>
      <c r="N35" s="168"/>
      <c r="O35" s="14"/>
      <c r="P35" s="14"/>
      <c r="Q35" s="3"/>
      <c r="V35" s="194" t="s">
        <v>882</v>
      </c>
      <c r="W35" s="195"/>
    </row>
    <row r="36" spans="1:23" ht="18" thickBot="1" x14ac:dyDescent="0.35">
      <c r="A36" s="50"/>
      <c r="B36" s="51"/>
      <c r="C36" s="51"/>
      <c r="D36" s="51"/>
      <c r="E36" s="52"/>
      <c r="F36" s="169" t="s">
        <v>447</v>
      </c>
      <c r="G36" s="170"/>
      <c r="H36" s="170"/>
      <c r="I36" s="170"/>
      <c r="J36" s="170"/>
      <c r="K36" s="170"/>
      <c r="L36" s="170"/>
      <c r="M36" s="170"/>
      <c r="N36" s="171"/>
    </row>
    <row r="37" spans="1:23" ht="15.75" thickTop="1" x14ac:dyDescent="0.25">
      <c r="A37" s="50"/>
      <c r="B37" s="51"/>
      <c r="C37" s="51"/>
      <c r="D37" s="51"/>
      <c r="E37" s="52"/>
      <c r="F37" s="119" t="s">
        <v>432</v>
      </c>
      <c r="G37" s="120"/>
      <c r="H37" s="4" t="str">
        <f>IFERROR(VLOOKUP(F37,Abilities,4,FALSE),"")</f>
        <v>LW2</v>
      </c>
      <c r="I37" s="121" t="s">
        <v>962</v>
      </c>
      <c r="J37" s="120"/>
      <c r="K37" s="35" t="str">
        <f>IFERROR(VLOOKUP(I37,Abilities,4,FALSE),"")</f>
        <v>BLANK</v>
      </c>
      <c r="L37" s="122" t="s">
        <v>609</v>
      </c>
      <c r="M37" s="120"/>
      <c r="N37" s="10" t="str">
        <f>IFERROR(VLOOKUP(L37,Abilities,4,FALSE),"")</f>
        <v>SOLW</v>
      </c>
    </row>
    <row r="38" spans="1:23" x14ac:dyDescent="0.25">
      <c r="A38" s="50"/>
      <c r="B38" s="51"/>
      <c r="C38" s="51"/>
      <c r="D38" s="51"/>
      <c r="E38" s="52"/>
      <c r="F38" s="144">
        <f>IFERROR(VLOOKUP(F37,Abilities,7,FALSE),"")</f>
        <v>0</v>
      </c>
      <c r="G38" s="130"/>
      <c r="H38" s="131"/>
      <c r="I38" s="129" t="str">
        <f>IFERROR(VLOOKUP(I37,Abilities,7,FALSE),"")</f>
        <v xml:space="preserve"> </v>
      </c>
      <c r="J38" s="130"/>
      <c r="K38" s="131"/>
      <c r="L38" s="130" t="str">
        <f>IFERROR(VLOOKUP(L37,Abilities,7,FALSE),"")</f>
        <v>Increases damage against organic targets by 30%.</v>
      </c>
      <c r="M38" s="130"/>
      <c r="N38" s="135"/>
    </row>
    <row r="39" spans="1:23" ht="15.75" thickBot="1" x14ac:dyDescent="0.3">
      <c r="A39" s="53"/>
      <c r="B39" s="54"/>
      <c r="C39" s="54"/>
      <c r="D39" s="54"/>
      <c r="E39" s="55"/>
      <c r="F39" s="167"/>
      <c r="G39" s="147"/>
      <c r="H39" s="148"/>
      <c r="I39" s="146"/>
      <c r="J39" s="147"/>
      <c r="K39" s="148"/>
      <c r="L39" s="147"/>
      <c r="M39" s="147"/>
      <c r="N39" s="168"/>
    </row>
    <row r="40" spans="1:23" ht="15" customHeight="1" x14ac:dyDescent="0.25">
      <c r="A40" s="86" t="s">
        <v>1200</v>
      </c>
      <c r="B40" s="86"/>
      <c r="C40" s="88" t="str">
        <f>SUBSTITUTE(C1," ","")</f>
        <v>Scrapper</v>
      </c>
      <c r="D40" s="88"/>
      <c r="E40" s="88"/>
      <c r="F40" s="238"/>
      <c r="G40" s="238"/>
      <c r="H40" s="237"/>
      <c r="I40" s="237"/>
      <c r="J40" s="237"/>
    </row>
    <row r="41" spans="1:23" ht="15" customHeight="1" thickBot="1" x14ac:dyDescent="0.3">
      <c r="A41" s="87"/>
      <c r="B41" s="87"/>
      <c r="C41" s="89"/>
      <c r="D41" s="89"/>
      <c r="E41" s="89"/>
      <c r="F41" s="239"/>
      <c r="G41" s="239"/>
      <c r="H41" s="237"/>
      <c r="I41" s="237"/>
      <c r="J41" s="237"/>
    </row>
    <row r="42" spans="1:23" ht="16.5" thickBot="1" x14ac:dyDescent="0.3">
      <c r="A42" s="242" t="s">
        <v>339</v>
      </c>
      <c r="B42" s="244"/>
      <c r="C42" s="253" t="s">
        <v>342</v>
      </c>
      <c r="D42" s="247"/>
      <c r="E42" s="251" t="s">
        <v>343</v>
      </c>
      <c r="F42" s="250"/>
      <c r="G42" s="234"/>
      <c r="H42" s="235"/>
      <c r="I42" s="235"/>
      <c r="J42" s="235"/>
    </row>
    <row r="43" spans="1:23" x14ac:dyDescent="0.25">
      <c r="A43" s="243" t="str">
        <f ca="1">"; "&amp;INDIRECT("C1")&amp;" class data"</f>
        <v>; Scrapper class data</v>
      </c>
      <c r="B43" s="234" t="s">
        <v>340</v>
      </c>
      <c r="C43" s="254" t="str">
        <f ca="1">"; "&amp;INDIRECT("C1")&amp;" class loadout"</f>
        <v>; Scrapper class loadout</v>
      </c>
      <c r="D43" s="234" t="s">
        <v>340</v>
      </c>
      <c r="E43" s="252" t="str">
        <f ca="1">"["&amp;INDIRECT("C3")&amp;" X2SoldierClassTemplate]"</f>
        <v>[LWD_Scrapper X2SoldierClassTemplate]</v>
      </c>
      <c r="F43" s="234" t="s">
        <v>340</v>
      </c>
      <c r="G43" s="234"/>
      <c r="H43" s="235"/>
      <c r="I43" s="235"/>
      <c r="J43" s="235"/>
    </row>
    <row r="44" spans="1:23" x14ac:dyDescent="0.25">
      <c r="A44" s="240"/>
      <c r="B44" s="234"/>
      <c r="C44" s="245"/>
      <c r="D44" s="234" t="s">
        <v>340</v>
      </c>
      <c r="E44" s="248" t="str">
        <f ca="1">"+DisplayName="""&amp;INDIRECT("C1")&amp;""""</f>
        <v>+DisplayName="Scrapper"</v>
      </c>
      <c r="F44" s="234" t="s">
        <v>340</v>
      </c>
      <c r="G44" s="234"/>
      <c r="H44" s="235"/>
      <c r="I44" s="235"/>
      <c r="J44" s="235"/>
    </row>
    <row r="45" spans="1:23" x14ac:dyDescent="0.25">
      <c r="A45" s="240" t="str">
        <f>"[XComGame.X2SoldierClass_DefaultClasses]"</f>
        <v>[XComGame.X2SoldierClass_DefaultClasses]</v>
      </c>
      <c r="B45" s="234" t="s">
        <v>340</v>
      </c>
      <c r="C45" s="245" t="s">
        <v>341</v>
      </c>
      <c r="D45" s="234" t="s">
        <v>340</v>
      </c>
      <c r="E45" s="248" t="str">
        <f ca="1">"+ClassSummary="""&amp;INDIRECT("A20")&amp;""""</f>
        <v>+ClassSummary="The Scrapper wishes they didn't have to carry a gun in the first place. They like to solve things with their fists, and, if the situation is really dire, knives."</v>
      </c>
      <c r="F45" s="234" t="s">
        <v>340</v>
      </c>
      <c r="G45" s="234"/>
      <c r="H45" s="235"/>
      <c r="I45" s="235"/>
      <c r="J45" s="235"/>
    </row>
    <row r="46" spans="1:23" x14ac:dyDescent="0.25">
      <c r="A46" s="240" t="str">
        <f ca="1">"+SoldierClasses="&amp;INDIRECT("C3")</f>
        <v>+SoldierClasses=LWD_Scrapper</v>
      </c>
      <c r="B46" s="234" t="s">
        <v>340</v>
      </c>
      <c r="C46" s="245"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+Loadouts=(LoadoutName="SquaddieLWD_Scrapper", Items[0]=(Item="Shotgun_CV"), Items[1]=(Item="CombatKnife_CV"))</v>
      </c>
      <c r="D46" s="234" t="s">
        <v>340</v>
      </c>
      <c r="E46" s="248" t="str">
        <f ca="1">"+LeftAbilityTreeTitle="""&amp;INDIRECT("F11")&amp;""""</f>
        <v>+LeftAbilityTreeTitle="Thug"</v>
      </c>
      <c r="F46" s="234" t="s">
        <v>340</v>
      </c>
      <c r="G46" s="234"/>
      <c r="H46" s="235"/>
      <c r="I46" s="234"/>
      <c r="J46" s="234"/>
    </row>
    <row r="47" spans="1:23" x14ac:dyDescent="0.25">
      <c r="A47" s="240"/>
      <c r="B47" s="234" t="s">
        <v>340</v>
      </c>
      <c r="C47" s="245"/>
      <c r="D47" s="234" t="s">
        <v>340</v>
      </c>
      <c r="E47" s="248" t="str">
        <f ca="1">"+RightAbilityTreeTitle="""&amp;INDIRECT("L11")&amp;""""</f>
        <v>+RightAbilityTreeTitle="Brawler"</v>
      </c>
      <c r="F47" s="234" t="s">
        <v>340</v>
      </c>
      <c r="G47" s="234"/>
      <c r="H47" s="235"/>
      <c r="I47" s="234"/>
      <c r="J47" s="234"/>
    </row>
    <row r="48" spans="1:23" x14ac:dyDescent="0.25">
      <c r="A48" s="240" t="str">
        <f ca="1">"["&amp;INDIRECT("C3")&amp;" X2SoldierClassTemplate]"</f>
        <v>[LWD_Scrapper X2SoldierClassTemplate]</v>
      </c>
      <c r="B48" s="234" t="s">
        <v>340</v>
      </c>
      <c r="C48" s="245" t="s">
        <v>351</v>
      </c>
      <c r="D48" s="234" t="s">
        <v>340</v>
      </c>
      <c r="E48" s="248" t="str">
        <f>"; Nicknames"</f>
        <v>; Nicknames</v>
      </c>
      <c r="F48" s="234" t="s">
        <v>340</v>
      </c>
      <c r="G48" s="234"/>
      <c r="H48" s="234"/>
      <c r="I48" s="234"/>
      <c r="J48" s="234"/>
    </row>
    <row r="49" spans="1:10" ht="15.75" thickBot="1" x14ac:dyDescent="0.3">
      <c r="A49" s="240" t="str">
        <f ca="1">"+bMultiplayerOnly="&amp;INDIRECT("E6")</f>
        <v>+bMultiplayerOnly=0</v>
      </c>
      <c r="B49" s="234" t="s">
        <v>340</v>
      </c>
      <c r="C49" s="246" t="str">
        <f ca="1">"+DEBUG_StartingSoldierClasses="""&amp;INDIRECT("C3")&amp;""""</f>
        <v>+DEBUG_StartingSoldierClasses="LWD_Scrapper"</v>
      </c>
      <c r="D49" s="234" t="s">
        <v>340</v>
      </c>
      <c r="E49" s="248" t="str">
        <f ca="1">IF(INDIRECT("V4")&lt;&gt;"","RandomNickNames[0]="""&amp;INDIRECT("V4")&amp;"""","")</f>
        <v>RandomNickNames[0]="Facetime"</v>
      </c>
      <c r="F49" s="234" t="s">
        <v>340</v>
      </c>
      <c r="G49" s="234"/>
      <c r="H49" s="234"/>
      <c r="I49" s="234"/>
      <c r="J49" s="234"/>
    </row>
    <row r="50" spans="1:10" x14ac:dyDescent="0.25">
      <c r="A50" s="240" t="str">
        <f ca="1">"+ClassPoints="&amp;INDIRECT("E7")</f>
        <v>+ClassPoints=4</v>
      </c>
      <c r="B50" s="234" t="s">
        <v>340</v>
      </c>
      <c r="C50" s="234"/>
      <c r="D50" s="234"/>
      <c r="E50" s="248" t="str">
        <f ca="1">IF(INDIRECT("V5")&lt;&gt;"","RandomNickNames[1]="""&amp;INDIRECT("V5")&amp;"""","")</f>
        <v>RandomNickNames[1]="Bargain"</v>
      </c>
      <c r="F50" s="234" t="s">
        <v>340</v>
      </c>
      <c r="G50" s="234"/>
      <c r="H50" s="234"/>
      <c r="I50" s="234"/>
      <c r="J50" s="234"/>
    </row>
    <row r="51" spans="1:10" x14ac:dyDescent="0.25">
      <c r="A51" s="240" t="str">
        <f ca="1">"+IconImage="&amp;""""&amp;INDIRECT("E8")&amp;""""</f>
        <v>+IconImage="img:///UILibrary_SOCombatEngineer.class_scrapper"</v>
      </c>
      <c r="B51" s="234" t="s">
        <v>340</v>
      </c>
      <c r="C51" s="234"/>
      <c r="D51" s="234"/>
      <c r="E51" s="248" t="str">
        <f ca="1">IF(INDIRECT("V6")&lt;&gt;"","RandomNickNames[2]="""&amp;INDIRECT("V6")&amp;"""","")</f>
        <v>RandomNickNames[2]="Beta"</v>
      </c>
      <c r="F51" s="234" t="s">
        <v>340</v>
      </c>
      <c r="G51" s="234"/>
      <c r="H51" s="234"/>
      <c r="I51" s="234"/>
      <c r="J51" s="234"/>
    </row>
    <row r="52" spans="1:10" x14ac:dyDescent="0.25">
      <c r="A52" s="240" t="str">
        <f ca="1">"+NumInForcedDeck="&amp;INDIRECT("E9")</f>
        <v>+NumInForcedDeck=1</v>
      </c>
      <c r="B52" s="234" t="s">
        <v>340</v>
      </c>
      <c r="C52" s="234"/>
      <c r="D52" s="234"/>
      <c r="E52" s="248" t="str">
        <f ca="1">IF(INDIRECT("V7")&lt;&gt;"","RandomNickNames[3]="""&amp;INDIRECT("V7")&amp;"""","")</f>
        <v>RandomNickNames[3]="Bishop"</v>
      </c>
      <c r="F52" s="234" t="s">
        <v>340</v>
      </c>
      <c r="G52" s="234"/>
      <c r="H52" s="234"/>
      <c r="I52" s="234"/>
      <c r="J52" s="234"/>
    </row>
    <row r="53" spans="1:10" x14ac:dyDescent="0.25">
      <c r="A53" s="240" t="str">
        <f ca="1">"+NumInDeck="&amp;INDIRECT("E10")</f>
        <v>+NumInDeck=4</v>
      </c>
      <c r="B53" s="234" t="s">
        <v>340</v>
      </c>
      <c r="C53" s="234"/>
      <c r="D53" s="234"/>
      <c r="E53" s="248" t="str">
        <f ca="1">IF(INDIRECT("V8")&lt;&gt;"","RandomNickNames[4]="""&amp;INDIRECT("V8")&amp;"""","")</f>
        <v>RandomNickNames[4]="Bones"</v>
      </c>
      <c r="F53" s="234" t="s">
        <v>340</v>
      </c>
      <c r="G53" s="234"/>
      <c r="H53" s="234"/>
      <c r="I53" s="234"/>
      <c r="J53" s="234"/>
    </row>
    <row r="54" spans="1:10" x14ac:dyDescent="0.25">
      <c r="A54" s="240" t="str">
        <f ca="1">"+KillAssistsPerKill="&amp;INDIRECT("E11")</f>
        <v>+KillAssistsPerKill=4</v>
      </c>
      <c r="B54" s="234" t="s">
        <v>340</v>
      </c>
      <c r="C54" s="234"/>
      <c r="D54" s="234"/>
      <c r="E54" s="248" t="str">
        <f ca="1">IF(INDIRECT("V9")&lt;&gt;"","RandomNickNames[5]="""&amp;INDIRECT("V9")&amp;"""","")</f>
        <v>RandomNickNames[5]="Breaker"</v>
      </c>
      <c r="F54" s="234" t="s">
        <v>340</v>
      </c>
      <c r="G54" s="234"/>
      <c r="H54" s="234"/>
      <c r="I54" s="234"/>
      <c r="J54" s="234"/>
    </row>
    <row r="55" spans="1:10" x14ac:dyDescent="0.25">
      <c r="A55" s="240" t="str">
        <f ca="1">"+SquaddieLoadout=Squaddie"&amp;INDIRECT("C3")</f>
        <v>+SquaddieLoadout=SquaddieLWD_Scrapper</v>
      </c>
      <c r="B55" s="234" t="s">
        <v>340</v>
      </c>
      <c r="C55" s="234"/>
      <c r="D55" s="234"/>
      <c r="E55" s="248" t="str">
        <f ca="1">IF(INDIRECT("V10")&lt;&gt;"","RandomNickNames[6]="""&amp;INDIRECT("V10")&amp;"""","")</f>
        <v>RandomNickNames[6]="Broker"</v>
      </c>
      <c r="F55" s="234" t="s">
        <v>340</v>
      </c>
      <c r="G55" s="234"/>
      <c r="H55" s="234"/>
      <c r="I55" s="234"/>
      <c r="J55" s="234"/>
    </row>
    <row r="56" spans="1:10" x14ac:dyDescent="0.25">
      <c r="A56" s="240" t="str">
        <f ca="1">";+bAllowAWCAbilities="&amp;INDIRECT("E12")&amp;" ; Not a thing in LW2"</f>
        <v>;+bAllowAWCAbilities=1 ; Not a thing in LW2</v>
      </c>
      <c r="B56" s="234" t="s">
        <v>340</v>
      </c>
      <c r="C56" s="234"/>
      <c r="D56" s="234"/>
      <c r="E56" s="248" t="str">
        <f ca="1">IF(INDIRECT("V11")&lt;&gt;"","RandomNickNames[7]="""&amp;INDIRECT("V11")&amp;"""","")</f>
        <v>RandomNickNames[7]="Conquest"</v>
      </c>
      <c r="F56" s="234" t="s">
        <v>340</v>
      </c>
      <c r="G56" s="234"/>
      <c r="H56" s="234"/>
      <c r="I56" s="234"/>
      <c r="J56" s="234"/>
    </row>
    <row r="57" spans="1:10" x14ac:dyDescent="0.25">
      <c r="A57" s="240" t="str">
        <f ca="1">IF(INDIRECT("B5")=FALSE,";","")&amp;"+AllowedWeapons=(SlotType=eInvSlot_PrimaryWeapon, WeaponType=""rifle"")"</f>
        <v>;+AllowedWeapons=(SlotType=eInvSlot_PrimaryWeapon, WeaponType="rifle")</v>
      </c>
      <c r="B57" s="234" t="s">
        <v>340</v>
      </c>
      <c r="C57" s="234"/>
      <c r="D57" s="234"/>
      <c r="E57" s="248" t="str">
        <f ca="1">IF(INDIRECT("V12")&lt;&gt;"","RandomNickNames[8]="""&amp;INDIRECT("V12")&amp;"""","")</f>
        <v>RandomNickNames[8]="Deacon"</v>
      </c>
      <c r="F57" s="234" t="s">
        <v>340</v>
      </c>
      <c r="G57" s="234"/>
      <c r="H57" s="234"/>
      <c r="I57" s="234"/>
      <c r="J57" s="234"/>
    </row>
    <row r="58" spans="1:10" x14ac:dyDescent="0.25">
      <c r="A58" s="240" t="str">
        <f ca="1">IF(INDIRECT("B6")=FALSE,";","")&amp;"+AllowedWeapons=(SlotType=eInvSlot_PrimaryWeapon, WeaponType=""cannon"")"</f>
        <v>;+AllowedWeapons=(SlotType=eInvSlot_PrimaryWeapon, WeaponType="cannon")</v>
      </c>
      <c r="B58" s="234" t="s">
        <v>340</v>
      </c>
      <c r="C58" s="234"/>
      <c r="D58" s="234"/>
      <c r="E58" s="248" t="str">
        <f ca="1">IF(INDIRECT("V13")&lt;&gt;"","RandomNickNames[9]="""&amp;INDIRECT("V13")&amp;"""","")</f>
        <v>RandomNickNames[9]="Doomtrain"</v>
      </c>
      <c r="F58" s="234" t="s">
        <v>340</v>
      </c>
      <c r="G58" s="234"/>
      <c r="H58" s="234"/>
      <c r="I58" s="234"/>
      <c r="J58" s="234"/>
    </row>
    <row r="59" spans="1:10" x14ac:dyDescent="0.25">
      <c r="A59" s="240" t="str">
        <f ca="1">IF(INDIRECT("B7")=FALSE,";","")&amp;"+AllowedWeapons=(SlotType=eInvSlot_PrimaryWeapon, WeaponType=""shotgun"")"</f>
        <v>+AllowedWeapons=(SlotType=eInvSlot_PrimaryWeapon, WeaponType="shotgun")</v>
      </c>
      <c r="B59" s="234" t="s">
        <v>340</v>
      </c>
      <c r="C59" s="234"/>
      <c r="D59" s="234"/>
      <c r="E59" s="248" t="str">
        <f ca="1">IF(INDIRECT("V14")&lt;&gt;"","RandomNickNames[10]="""&amp;INDIRECT("V14")&amp;"""","")</f>
        <v>RandomNickNames[10]="Dr. Feelgood"</v>
      </c>
      <c r="F59" s="234" t="s">
        <v>340</v>
      </c>
      <c r="G59" s="234"/>
      <c r="H59" s="234"/>
      <c r="I59" s="234"/>
      <c r="J59" s="234"/>
    </row>
    <row r="60" spans="1:10" x14ac:dyDescent="0.25">
      <c r="A60" s="240" t="str">
        <f ca="1">IF(INDIRECT("B8")=FALSE,";","")&amp;"+AllowedWeapons=(SlotType=eInvSlot_PrimaryWeapon, WeaponType=""sniper_rifle"")"</f>
        <v>;+AllowedWeapons=(SlotType=eInvSlot_PrimaryWeapon, WeaponType="sniper_rifle")</v>
      </c>
      <c r="B60" s="234" t="s">
        <v>340</v>
      </c>
      <c r="C60" s="234"/>
      <c r="D60" s="234"/>
      <c r="E60" s="248" t="str">
        <f ca="1">IF(INDIRECT("V15")&lt;&gt;"","RandomNickNames[11]="""&amp;INDIRECT("V15")&amp;"""","")</f>
        <v>RandomNickNames[11]="Famine"</v>
      </c>
      <c r="F60" s="234" t="s">
        <v>340</v>
      </c>
      <c r="G60" s="234"/>
      <c r="H60" s="234"/>
      <c r="I60" s="234"/>
      <c r="J60" s="234"/>
    </row>
    <row r="61" spans="1:10" x14ac:dyDescent="0.25">
      <c r="A61" s="240" t="str">
        <f ca="1">IF(INDIRECT("B9")=FALSE,";","")&amp;"+AllowedWeapons=(SlotType=eInvSlot_SecondaryWeapon, WeaponType=""gauntlet"")"</f>
        <v>;+AllowedWeapons=(SlotType=eInvSlot_SecondaryWeapon, WeaponType="gauntlet")</v>
      </c>
      <c r="B61" s="234" t="s">
        <v>340</v>
      </c>
      <c r="C61" s="234"/>
      <c r="D61" s="234"/>
      <c r="E61" s="248" t="str">
        <f ca="1">IF(INDIRECT("V16")&lt;&gt;"","RandomNickNames[12]="""&amp;INDIRECT("V16")&amp;"""","")</f>
        <v>RandomNickNames[12]="Feedback"</v>
      </c>
      <c r="F61" s="234" t="s">
        <v>340</v>
      </c>
      <c r="G61" s="234"/>
      <c r="H61" s="234"/>
      <c r="I61" s="234"/>
      <c r="J61" s="234"/>
    </row>
    <row r="62" spans="1:10" x14ac:dyDescent="0.25">
      <c r="A62" s="240" t="str">
        <f ca="1">IF(INDIRECT("B10")=FALSE,";","")&amp;"+AllowedWeapons=(SlotType=eInvSlot_SecondaryWeapon, WeaponType=""combatknife"")"</f>
        <v>+AllowedWeapons=(SlotType=eInvSlot_SecondaryWeapon, WeaponType="combatknife")</v>
      </c>
      <c r="B62" s="234" t="s">
        <v>340</v>
      </c>
      <c r="C62" s="234"/>
      <c r="D62" s="234"/>
      <c r="E62" s="248" t="str">
        <f ca="1">IF(INDIRECT("V17")&lt;&gt;"","RandomNickNames[13]="""&amp;INDIRECT("V17")&amp;"""","")</f>
        <v>RandomNickNames[13]="Cuddles"</v>
      </c>
      <c r="F62" s="234" t="s">
        <v>340</v>
      </c>
      <c r="G62" s="234"/>
      <c r="H62" s="234"/>
      <c r="I62" s="234"/>
      <c r="J62" s="234"/>
    </row>
    <row r="63" spans="1:10" x14ac:dyDescent="0.25">
      <c r="A63" s="240" t="str">
        <f ca="1">IF(INDIRECT("B11")=FALSE,";","")&amp;"+AllowedWeapons=(SlotType=eInvSlot_SecondaryWeapon, WeaponType=""grenade_launcher"")"</f>
        <v>;+AllowedWeapons=(SlotType=eInvSlot_SecondaryWeapon, WeaponType="grenade_launcher")</v>
      </c>
      <c r="B63" s="234" t="s">
        <v>340</v>
      </c>
      <c r="C63" s="234"/>
      <c r="D63" s="234"/>
      <c r="E63" s="248" t="str">
        <f ca="1">IF(INDIRECT("V18")&lt;&gt;"","RandomNickNames[14]="""&amp;INDIRECT("V18")&amp;"""","")</f>
        <v>RandomNickNames[14]="Genius"</v>
      </c>
      <c r="F63" s="234" t="s">
        <v>340</v>
      </c>
      <c r="G63" s="234"/>
      <c r="H63" s="234"/>
      <c r="I63" s="234"/>
      <c r="J63" s="234"/>
    </row>
    <row r="64" spans="1:10" x14ac:dyDescent="0.25">
      <c r="A64" s="240" t="str">
        <f ca="1">IF(INDIRECT("B12")=FALSE,";","")&amp;"+AllowedWeapons=(SlotType=eInvSlot_SecondaryWeapon, WeaponType=""gremlin"")"</f>
        <v>;+AllowedWeapons=(SlotType=eInvSlot_SecondaryWeapon, WeaponType="gremlin")</v>
      </c>
      <c r="B64" s="234" t="s">
        <v>340</v>
      </c>
      <c r="C64" s="234"/>
      <c r="D64" s="234"/>
      <c r="E64" s="248" t="str">
        <f ca="1">IF(INDIRECT("V19")&lt;&gt;"","RandomNickNames[15]="""&amp;INDIRECT("V19")&amp;"""","")</f>
        <v>RandomNickNames[15]="Gizmo"</v>
      </c>
      <c r="F64" s="234" t="s">
        <v>340</v>
      </c>
      <c r="G64" s="234"/>
      <c r="H64" s="234"/>
      <c r="I64" s="234"/>
      <c r="J64" s="234"/>
    </row>
    <row r="65" spans="1:10" x14ac:dyDescent="0.25">
      <c r="A65" s="240" t="str">
        <f ca="1">IF(INDIRECT("B13")=FALSE,";","")&amp;"+AllowedWeapons=(SlotType=eInvSlot_SecondaryWeapon, WeaponType=""sword"")"</f>
        <v>;+AllowedWeapons=(SlotType=eInvSlot_SecondaryWeapon, WeaponType="sword")</v>
      </c>
      <c r="B65" s="234" t="s">
        <v>340</v>
      </c>
      <c r="C65" s="234"/>
      <c r="D65" s="234"/>
      <c r="E65" s="248" t="str">
        <f ca="1">IF(INDIRECT("V20")&lt;&gt;"","RandomNickNames[16]="""&amp;INDIRECT("V20")&amp;"""","")</f>
        <v>RandomNickNames[16]="Jester"</v>
      </c>
      <c r="F65" s="234" t="s">
        <v>340</v>
      </c>
      <c r="G65" s="234"/>
      <c r="H65" s="234"/>
      <c r="I65" s="234"/>
      <c r="J65" s="234"/>
    </row>
    <row r="66" spans="1:10" x14ac:dyDescent="0.25">
      <c r="A66" s="240" t="str">
        <f ca="1">IF(INDIRECT("B14")=FALSE,";","")&amp;"+AllowedWeapons=(SlotType=eInvSlot_SecondaryWeapon, WeaponType=""sawedoffshotgun"")"</f>
        <v>;+AllowedWeapons=(SlotType=eInvSlot_SecondaryWeapon, WeaponType="sawedoffshotgun")</v>
      </c>
      <c r="B66" s="234" t="s">
        <v>340</v>
      </c>
      <c r="C66" s="234"/>
      <c r="D66" s="234"/>
      <c r="E66" s="248" t="str">
        <f ca="1">IF(INDIRECT("V21")&lt;&gt;"","RandomNickNames[17]="""&amp;INDIRECT("V21")&amp;"""","")</f>
        <v>RandomNickNames[17]="Jolt"</v>
      </c>
      <c r="F66" s="234" t="s">
        <v>340</v>
      </c>
      <c r="G66" s="234"/>
      <c r="H66" s="234"/>
      <c r="I66" s="234"/>
      <c r="J66" s="234"/>
    </row>
    <row r="67" spans="1:10" x14ac:dyDescent="0.25">
      <c r="A67" s="240" t="str">
        <f ca="1">IF(INDIRECT("B15")=FALSE,";","")&amp;"+AllowedWeapons=(SlotType=eInvSlot_SecondaryWeapon, WeaponType=""arcthrower"")"</f>
        <v>;+AllowedWeapons=(SlotType=eInvSlot_SecondaryWeapon, WeaponType="arcthrower")</v>
      </c>
      <c r="B67" s="234" t="s">
        <v>340</v>
      </c>
      <c r="C67" s="234"/>
      <c r="D67" s="234"/>
      <c r="E67" s="248" t="str">
        <f ca="1">IF(INDIRECT("V22")&lt;&gt;"","RandomNickNames[18]="""&amp;INDIRECT("V22")&amp;"""","")</f>
        <v>RandomNickNames[18]="Lightning"</v>
      </c>
      <c r="F67" s="234" t="s">
        <v>340</v>
      </c>
      <c r="G67" s="234"/>
      <c r="H67" s="234"/>
      <c r="I67" s="234"/>
      <c r="J67" s="234"/>
    </row>
    <row r="68" spans="1:10" x14ac:dyDescent="0.25">
      <c r="A68" s="240" t="str">
        <f ca="1">IF(INDIRECT("B16")=FALSE,";","")&amp;"+AllowedWeapons=(SlotType=eInvSlot_SecondaryWeapon, WeaponType=""holotargeter"")"</f>
        <v>;+AllowedWeapons=(SlotType=eInvSlot_SecondaryWeapon, WeaponType="holotargeter")</v>
      </c>
      <c r="B68" s="234" t="s">
        <v>340</v>
      </c>
      <c r="C68" s="234"/>
      <c r="D68" s="234"/>
      <c r="E68" s="248" t="str">
        <f ca="1">IF(INDIRECT("V23")&lt;&gt;"","RandomNickNames[19]="""&amp;INDIRECT("V23")&amp;"""","")</f>
        <v>RandomNickNames[19]="Mayday"</v>
      </c>
      <c r="F68" s="234" t="s">
        <v>340</v>
      </c>
      <c r="G68" s="234"/>
      <c r="H68" s="234"/>
      <c r="I68" s="234"/>
      <c r="J68" s="234"/>
    </row>
    <row r="69" spans="1:10" x14ac:dyDescent="0.25">
      <c r="A69" s="240" t="str">
        <f ca="1">IF(INDIRECT("B17")=FALSE,";","")&amp;"+AllowedWeapons=(SlotType=eInvSlot_SecondaryWeapon, WeaponType=""psiamp"")"</f>
        <v>;+AllowedWeapons=(SlotType=eInvSlot_SecondaryWeapon, WeaponType="psiamp")</v>
      </c>
      <c r="B69" s="234" t="s">
        <v>340</v>
      </c>
      <c r="C69" s="234"/>
      <c r="D69" s="234"/>
      <c r="E69" s="248" t="str">
        <f ca="1">IF(INDIRECT("V24")&lt;&gt;"","RandomNickNames[20]="""&amp;INDIRECT("V24")&amp;"""","")</f>
        <v>RandomNickNames[20]="Mega"</v>
      </c>
      <c r="F69" s="234" t="s">
        <v>340</v>
      </c>
      <c r="G69" s="234"/>
      <c r="H69" s="234"/>
      <c r="I69" s="234"/>
      <c r="J69" s="234"/>
    </row>
    <row r="70" spans="1:10" x14ac:dyDescent="0.25">
      <c r="A70" s="240" t="str">
        <f ca="1">IF(INDIRECT("B9")=FALSE,";","")&amp;"+AllowedWeapons=(SlotType=eInvSlot_HeavyWeapon, WeaponType=""heavyammo"")"</f>
        <v>;+AllowedWeapons=(SlotType=eInvSlot_HeavyWeapon, WeaponType="heavyammo")</v>
      </c>
      <c r="B70" s="234" t="s">
        <v>340</v>
      </c>
      <c r="C70" s="234"/>
      <c r="D70" s="234"/>
      <c r="E70" s="248" t="str">
        <f ca="1">IF(INDIRECT("V25")&lt;&gt;"","RandomNickNames[21]="""&amp;INDIRECT("V25")&amp;"""","")</f>
        <v>RandomNickNames[21]="Judo"</v>
      </c>
      <c r="F70" s="234" t="s">
        <v>340</v>
      </c>
      <c r="G70" s="234"/>
      <c r="H70" s="234"/>
      <c r="I70" s="234"/>
      <c r="J70" s="234"/>
    </row>
    <row r="71" spans="1:10" x14ac:dyDescent="0.25">
      <c r="A71" s="240" t="str">
        <f ca="1">IF(INDIRECT("B9")=TRUE,";","")&amp;"+AllowedWeapons=(SlotType=eInvSlot_HeavyWeapon, WeaponType=""heavy"")"</f>
        <v>+AllowedWeapons=(SlotType=eInvSlot_HeavyWeapon, WeaponType="heavy")</v>
      </c>
      <c r="B71" s="234" t="s">
        <v>340</v>
      </c>
      <c r="C71" s="234"/>
      <c r="D71" s="234"/>
      <c r="E71" s="248" t="str">
        <f ca="1">IF(INDIRECT("V26")&lt;&gt;"","RandomNickNames[22]="""&amp;INDIRECT("V26")&amp;"""","")</f>
        <v>RandomNickNames[22]="Ragtime"</v>
      </c>
      <c r="F71" s="234" t="s">
        <v>340</v>
      </c>
      <c r="G71" s="234"/>
      <c r="H71" s="234"/>
      <c r="I71" s="234"/>
      <c r="J71" s="234"/>
    </row>
    <row r="72" spans="1:10" x14ac:dyDescent="0.25">
      <c r="A72" s="240" t="str">
        <f ca="1">"+AllowedArmors="&amp;INDIRECT("E13")</f>
        <v>+AllowedArmors=soldier</v>
      </c>
      <c r="B72" s="234" t="s">
        <v>340</v>
      </c>
      <c r="C72" s="234"/>
      <c r="D72" s="234"/>
      <c r="E72" s="248" t="str">
        <f ca="1">IF(INDIRECT("V27")&lt;&gt;"","RandomNickNames[23]="""&amp;INDIRECT("V27")&amp;"""","")</f>
        <v>RandomNickNames[23]="Rascal"</v>
      </c>
      <c r="F72" s="234" t="s">
        <v>340</v>
      </c>
      <c r="G72" s="234"/>
      <c r="H72" s="234"/>
      <c r="I72" s="234"/>
      <c r="J72" s="234"/>
    </row>
    <row r="73" spans="1:10" x14ac:dyDescent="0.25">
      <c r="A73" s="240" t="str">
        <f>"; squaddie"</f>
        <v>; squaddie</v>
      </c>
      <c r="B73" s="234" t="s">
        <v>340</v>
      </c>
      <c r="C73" s="234"/>
      <c r="D73" s="234"/>
      <c r="E73" s="248" t="str">
        <f ca="1">IF(INDIRECT("V28")&lt;&gt;"","RandomNickNames[24]="""&amp;INDIRECT("V28")&amp;"""","")</f>
        <v>RandomNickNames[24]="Rattler"</v>
      </c>
      <c r="F73" s="234" t="s">
        <v>340</v>
      </c>
      <c r="G73" s="234"/>
      <c r="H73" s="234"/>
      <c r="I73" s="234"/>
      <c r="J73" s="234"/>
    </row>
    <row r="74" spans="1:10" x14ac:dyDescent="0.25">
      <c r="A74" s="240" t="str">
        <f ca="1">"+SoldierRanks=(  aAbilityTree=( (AbilityName="""&amp;VLOOKUP(INDIRECT("F4"),Abilities,2,FALSE)&amp;""""&amp;IF(VLOOKUP(INDIRECT("F4"),Abilities,3,FALSE)="","",", ApplyToWeaponSlot=eInvSlot_"&amp;VLOOKUP(INDIRECT("F4"),Abilities,3,FALSE))&amp;"), \\"</f>
        <v>+SoldierRanks=(  aAbilityTree=( (AbilityName="KnifeFighter", ApplyToWeaponSlot=eInvSlot_SecondaryWeapon), \\</v>
      </c>
      <c r="B74" s="234" t="s">
        <v>340</v>
      </c>
      <c r="C74" s="234"/>
      <c r="D74" s="234"/>
      <c r="E74" s="248" t="str">
        <f ca="1">IF(INDIRECT("V29")&lt;&gt;"","RandomNickNames[25]="""&amp;INDIRECT("V29")&amp;"""","")</f>
        <v>RandomNickNames[25]="Hug-n-snug"</v>
      </c>
      <c r="F74" s="234" t="s">
        <v>340</v>
      </c>
      <c r="G74" s="234"/>
      <c r="H74" s="234"/>
      <c r="I74" s="234"/>
      <c r="J74" s="234"/>
    </row>
    <row r="75" spans="1:10" x14ac:dyDescent="0.25">
      <c r="A75" s="240" t="str">
        <f ca="1">IF(INDIRECT("I4")="","\\","(AbilityName="""&amp;VLOOKUP(INDIRECT("I4"),Abilities,2,FALSE)&amp;""""&amp;IF(VLOOKUP(INDIRECT("I4"),Abilities,3,FALSE)="","",", ApplyToWeaponSlot=eInvSlot_"&amp;VLOOKUP(INDIRECT("I4"),Abilities,3,FALSE))&amp;"), \\")</f>
        <v>(AbilityName="ShadowOps_BullRush"), \\</v>
      </c>
      <c r="B75" s="234" t="s">
        <v>340</v>
      </c>
      <c r="C75" s="234"/>
      <c r="D75" s="234"/>
      <c r="E75" s="248" t="str">
        <f ca="1">IF(INDIRECT("V30")&lt;&gt;"","RandomNickNames[26]="""&amp;INDIRECT("V30")&amp;"""","")</f>
        <v>RandomNickNames[26]="Skipper"</v>
      </c>
      <c r="F75" s="234" t="s">
        <v>340</v>
      </c>
      <c r="G75" s="234"/>
      <c r="H75" s="234"/>
      <c r="I75" s="234"/>
      <c r="J75" s="234"/>
    </row>
    <row r="76" spans="1:10" x14ac:dyDescent="0.25">
      <c r="A76" s="240" t="str">
        <f ca="1">IF(INDIRECT("L4")="","\\","(AbilityName="""&amp;VLOOKUP(INDIRECT("L4"),Abilities,2,FALSE)&amp;""""&amp;IF(VLOOKUP(INDIRECT("L4"),Abilities,3,FALSE)="","",", ApplyToWeaponSlot=eInvSlot_"&amp;VLOOKUP(INDIRECT("L4"),Abilities,3,FALSE))&amp;"), \\")</f>
        <v>\\</v>
      </c>
      <c r="B76" s="234" t="s">
        <v>340</v>
      </c>
      <c r="C76" s="234"/>
      <c r="D76" s="234"/>
      <c r="E76" s="248" t="str">
        <f ca="1">IF(INDIRECT("V31")&lt;&gt;"","RandomNickNames[27]="""&amp;INDIRECT("V31")&amp;"""","")</f>
        <v>RandomNickNames[27]="Thunder"</v>
      </c>
      <c r="F76" s="234" t="s">
        <v>340</v>
      </c>
      <c r="G76" s="234"/>
      <c r="H76" s="234"/>
      <c r="I76" s="234"/>
      <c r="J76" s="234"/>
    </row>
    <row r="77" spans="1:10" x14ac:dyDescent="0.25">
      <c r="A77" s="240" t="str">
        <f ca="1">IF(INDIRECT("F7")="","\\","(AbilityName="""&amp;VLOOKUP(INDIRECT("F7"),Abilities,2,FALSE)&amp;""""&amp;IF(VLOOKUP(INDIRECT("F7"),Abilities,3,FALSE)="","",", ApplyToWeaponSlot=eInvSlot_"&amp;VLOOKUP(INDIRECT("F7"),Abilities,3,FALSE))&amp;"), \\")</f>
        <v>\\</v>
      </c>
      <c r="B77" s="234" t="s">
        <v>340</v>
      </c>
      <c r="C77" s="234"/>
      <c r="D77" s="234"/>
      <c r="E77" s="248" t="str">
        <f ca="1">IF(INDIRECT("V32")&lt;&gt;"","RandomNickNames[28]="""&amp;INDIRECT("V32")&amp;"""","")</f>
        <v>RandomNickNames[28]="Undertaker"</v>
      </c>
      <c r="F77" s="234" t="s">
        <v>340</v>
      </c>
      <c r="G77" s="234"/>
      <c r="H77" s="234"/>
      <c r="I77" s="234"/>
      <c r="J77" s="234"/>
    </row>
    <row r="78" spans="1:10" x14ac:dyDescent="0.25">
      <c r="A78" s="240" t="str">
        <f ca="1">IF(INDIRECT("I7")="","\\","(AbilityName="""&amp;VLOOKUP(INDIRECT("I7"),Abilities,2,FALSE)&amp;""""&amp;IF(VLOOKUP(INDIRECT("I7"),Abilities,3,FALSE)="","",", ApplyToWeaponSlot=eInvSlot_"&amp;VLOOKUP(INDIRECT("I7"),Abilities,3,FALSE))&amp;"), \\")</f>
        <v>\\</v>
      </c>
      <c r="B78" s="234" t="s">
        <v>340</v>
      </c>
      <c r="C78" s="234"/>
      <c r="D78" s="234"/>
      <c r="E78" s="248" t="str">
        <f ca="1">IF(INDIRECT("V33")&lt;&gt;"","RandomNickNames[29]="""&amp;INDIRECT("V33")&amp;"""","")</f>
        <v>RandomNickNames[29]="War"</v>
      </c>
      <c r="F78" s="234" t="s">
        <v>340</v>
      </c>
      <c r="G78" s="234"/>
      <c r="H78" s="234"/>
      <c r="I78" s="234"/>
      <c r="J78" s="234"/>
    </row>
    <row r="79" spans="1:10" x14ac:dyDescent="0.25">
      <c r="A79" s="240" t="str">
        <f ca="1">IF(INDIRECT("L7")="","\\","(AbilityName="""&amp;VLOOKUP(INDIRECT("L7"),Abilities,2,FALSE)&amp;""""&amp;IF(VLOOKUP(INDIRECT("L7"),Abilities,3,FALSE)="","",", ApplyToWeaponSlot=eInvSlot_"&amp;VLOOKUP(INDIRECT("L7"),Abilities,3,FALSE))&amp;"), \\")</f>
        <v>\\</v>
      </c>
      <c r="B79" s="234" t="s">
        <v>340</v>
      </c>
      <c r="C79" s="234"/>
      <c r="D79" s="234"/>
      <c r="E79" s="248" t="str">
        <f ca="1">IF(INDIRECT("V34")&lt;&gt;"","RandomNickNames[30]="""&amp;INDIRECT("V34")&amp;"""","")</f>
        <v>RandomNickNames[30]="Whoopsie"</v>
      </c>
      <c r="F79" s="234" t="s">
        <v>340</v>
      </c>
      <c r="G79" s="234"/>
      <c r="H79" s="234"/>
      <c r="I79" s="234"/>
      <c r="J79" s="234"/>
    </row>
    <row r="80" spans="1:10" x14ac:dyDescent="0.25">
      <c r="A80" s="240" t="s">
        <v>337</v>
      </c>
      <c r="B80" s="234" t="s">
        <v>340</v>
      </c>
      <c r="C80" s="234"/>
      <c r="D80" s="234"/>
      <c r="E80" s="248" t="str">
        <f ca="1">IF(INDIRECT("V35")&lt;&gt;"","RandomNickNames[31]="""&amp;INDIRECT("V35")&amp;"""","")</f>
        <v>RandomNickNames[31]="Knife"</v>
      </c>
      <c r="F80" s="234" t="s">
        <v>340</v>
      </c>
      <c r="G80" s="234"/>
      <c r="H80" s="234"/>
      <c r="I80" s="234"/>
      <c r="J80" s="234"/>
    </row>
    <row r="81" spans="1:10" x14ac:dyDescent="0.25">
      <c r="A81" s="240"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(StatType=eStat_Will,StatAmount=5), (StatType=eStat_Dodge,StatAmount=2)),\\</v>
      </c>
      <c r="B81" s="234" t="s">
        <v>340</v>
      </c>
      <c r="C81" s="234"/>
      <c r="D81" s="234"/>
      <c r="E81" s="248" t="str">
        <f>"; Male Nicknames"</f>
        <v>; Male Nicknames</v>
      </c>
      <c r="F81" s="234" t="s">
        <v>340</v>
      </c>
      <c r="G81" s="234"/>
      <c r="H81" s="234"/>
      <c r="I81" s="234"/>
      <c r="J81" s="234"/>
    </row>
    <row r="82" spans="1:10" x14ac:dyDescent="0.25">
      <c r="A82" s="240" t="s">
        <v>338</v>
      </c>
      <c r="B82" s="234" t="s">
        <v>340</v>
      </c>
      <c r="C82" s="234"/>
      <c r="D82" s="234"/>
      <c r="E82" s="248" t="str">
        <f ca="1">IF(INDIRECT("X4")&lt;&gt;"","RandomNickNames_Male[0]="""&amp;INDIRECT("X4")&amp;"""","")</f>
        <v>RandomNickNames_Male[0]="Mr. Tibbs"</v>
      </c>
      <c r="F82" s="234" t="s">
        <v>340</v>
      </c>
      <c r="G82" s="234"/>
      <c r="H82" s="234"/>
      <c r="I82" s="234"/>
      <c r="J82" s="234"/>
    </row>
    <row r="83" spans="1:10" x14ac:dyDescent="0.25">
      <c r="A83" s="240" t="str">
        <f>"; lance corporal"</f>
        <v>; lance corporal</v>
      </c>
      <c r="B83" s="234" t="s">
        <v>340</v>
      </c>
      <c r="C83" s="234"/>
      <c r="D83" s="234"/>
      <c r="E83" s="248" t="str">
        <f ca="1">IF(INDIRECT("X5")&lt;&gt;"","RandomNickNames_Male[1]="""&amp;INDIRECT("X5")&amp;"""","")</f>
        <v>RandomNickNames_Male[1]="Magic Man"</v>
      </c>
      <c r="F83" s="234" t="s">
        <v>340</v>
      </c>
      <c r="G83" s="234"/>
      <c r="H83" s="234"/>
      <c r="I83" s="234"/>
      <c r="J83" s="234"/>
    </row>
    <row r="84" spans="1:10" x14ac:dyDescent="0.25">
      <c r="A84" s="240" t="str">
        <f ca="1">"+SoldierRanks=(  aAbilityTree=( (AbilityName="""&amp;VLOOKUP(INDIRECT("F13"),Abilities,2,FALSE)&amp;""""&amp;IF(VLOOKUP(INDIRECT("F13"),Abilities,3,FALSE)="","",", ApplyToWeaponSlot=eInvSlot_"&amp;VLOOKUP(INDIRECT("F13"),Abilities,3,FALSE))&amp;"), \\"</f>
        <v>+SoldierRanks=(  aAbilityTree=( (AbilityName="CloseAndPersonal", ApplyToWeaponSlot=eInvSlot_Unknown), \\</v>
      </c>
      <c r="B84" s="234" t="s">
        <v>340</v>
      </c>
      <c r="C84" s="234"/>
      <c r="D84" s="234"/>
      <c r="E84" s="248" t="str">
        <f ca="1">IF(INDIRECT("X6")&lt;&gt;"","RandomNickNames_Male[2]="""&amp;INDIRECT("X6")&amp;"""","")</f>
        <v>RandomNickNames_Male[2]="Priest"</v>
      </c>
      <c r="F84" s="234" t="s">
        <v>340</v>
      </c>
      <c r="G84" s="234"/>
      <c r="H84" s="234"/>
      <c r="I84" s="234"/>
      <c r="J84" s="234"/>
    </row>
    <row r="85" spans="1:10" x14ac:dyDescent="0.25">
      <c r="A85" s="240" t="str">
        <f ca="1">IF(INDIRECT("I13")="","\\","(AbilityName="""&amp;VLOOKUP(INDIRECT("I13"),Abilities,2,FALSE)&amp;""""&amp;IF(VLOOKUP(INDIRECT("I13"),Abilities,3,FALSE)="","",", ApplyToWeaponSlot=eInvSlot_"&amp;VLOOKUP(INDIRECT("I13"),Abilities,3,FALSE))&amp;"), \\")</f>
        <v>(AbilityName=" "), \\</v>
      </c>
      <c r="B85" s="234" t="s">
        <v>340</v>
      </c>
      <c r="C85" s="234"/>
      <c r="D85" s="234"/>
      <c r="E85" s="248" t="str">
        <f ca="1">IF(INDIRECT("X7")&lt;&gt;"","RandomNickNames_Male[3]="""&amp;INDIRECT("X7")&amp;"""","")</f>
        <v>RandomNickNames_Male[3]="Rainman"</v>
      </c>
      <c r="F85" s="234" t="s">
        <v>340</v>
      </c>
      <c r="G85" s="234"/>
      <c r="H85" s="234"/>
      <c r="I85" s="234"/>
      <c r="J85" s="234"/>
    </row>
    <row r="86" spans="1:10" x14ac:dyDescent="0.25">
      <c r="A86" s="240" t="str">
        <f ca="1">IF(INDIRECT("L13")="","\\","(AbilityName="""&amp;VLOOKUP(INDIRECT("L13"),Abilities,2,FALSE)&amp;""""&amp;IF(VLOOKUP(INDIRECT("L13"),Abilities,3,FALSE)="","",", ApplyToWeaponSlot=eInvSlot_"&amp;VLOOKUP(INDIRECT("L13"),Abilities,3,FALSE))&amp;"), \\")</f>
        <v>(AbilityName="ShadowOps_BareKnuckle"), \\</v>
      </c>
      <c r="B86" s="234" t="s">
        <v>340</v>
      </c>
      <c r="C86" s="234"/>
      <c r="D86" s="234"/>
      <c r="E86" s="248" t="str">
        <f ca="1">IF(INDIRECT("X8")&lt;&gt;"","RandomNickNames_Male[4]="""&amp;INDIRECT("X8")&amp;"""","")</f>
        <v>RandomNickNames_Male[4]="Rooster"</v>
      </c>
      <c r="F86" s="234" t="s">
        <v>340</v>
      </c>
      <c r="G86" s="234"/>
      <c r="H86" s="234"/>
      <c r="I86" s="234"/>
      <c r="J86" s="234"/>
    </row>
    <row r="87" spans="1:10" x14ac:dyDescent="0.25">
      <c r="A87" s="240" t="s">
        <v>337</v>
      </c>
      <c r="B87" s="234" t="s">
        <v>340</v>
      </c>
      <c r="C87" s="234"/>
      <c r="D87" s="234"/>
      <c r="E87" s="248" t="str">
        <f>"; Female Nicknames"</f>
        <v>; Female Nicknames</v>
      </c>
      <c r="F87" s="234" t="s">
        <v>340</v>
      </c>
      <c r="G87" s="234"/>
      <c r="H87" s="234"/>
      <c r="I87" s="234"/>
      <c r="J87" s="234"/>
    </row>
    <row r="88" spans="1:10" x14ac:dyDescent="0.25">
      <c r="A88" s="240"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(StatType=eStat_Will,StatAmount=5), (StatType=eStat_Dodge,StatAmount=2)),\\</v>
      </c>
      <c r="B88" s="234" t="s">
        <v>340</v>
      </c>
      <c r="C88" s="234"/>
      <c r="D88" s="234"/>
      <c r="E88" s="248" t="str">
        <f ca="1">IF(INDIRECT("X10")&lt;&gt;"","RandomNickNames_Female[0]="""&amp;INDIRECT("X10")&amp;"""","")</f>
        <v>RandomNickNames_Female[0]="Priestess"</v>
      </c>
      <c r="F88" s="234" t="s">
        <v>340</v>
      </c>
      <c r="G88" s="234"/>
      <c r="H88" s="234"/>
      <c r="I88" s="234"/>
      <c r="J88" s="234"/>
    </row>
    <row r="89" spans="1:10" x14ac:dyDescent="0.25">
      <c r="A89" s="240" t="s">
        <v>338</v>
      </c>
      <c r="B89" s="234" t="s">
        <v>340</v>
      </c>
      <c r="C89" s="234"/>
      <c r="D89" s="234"/>
      <c r="E89" s="248" t="str">
        <f ca="1">IF(INDIRECT("X11")&lt;&gt;"","RandomNickNames_Female[1]="""&amp;INDIRECT("X11")&amp;"""","")</f>
        <v>RandomNickNames_Female[1]="Wolfmother"</v>
      </c>
      <c r="F89" s="234" t="s">
        <v>340</v>
      </c>
      <c r="G89" s="234"/>
      <c r="H89" s="234"/>
      <c r="I89" s="234"/>
      <c r="J89" s="234"/>
    </row>
    <row r="90" spans="1:10" x14ac:dyDescent="0.25">
      <c r="A90" s="240" t="str">
        <f>"; corporal"</f>
        <v>; corporal</v>
      </c>
      <c r="B90" s="234" t="s">
        <v>340</v>
      </c>
      <c r="C90" s="234"/>
      <c r="D90" s="234"/>
      <c r="E90" s="248" t="str">
        <f ca="1">IF(INDIRECT("X12")&lt;&gt;"","RandomNickNames_Female[2]="""&amp;INDIRECT("X12")&amp;"""","")</f>
        <v>RandomNickNames_Female[2]="Black Widow"</v>
      </c>
      <c r="F90" s="234" t="s">
        <v>340</v>
      </c>
      <c r="G90" s="234"/>
      <c r="H90" s="234"/>
      <c r="I90" s="234"/>
      <c r="J90" s="234"/>
    </row>
    <row r="91" spans="1:10" x14ac:dyDescent="0.25">
      <c r="A91" s="240" t="str">
        <f ca="1">"+SoldierRanks=(  aAbilityTree=( (AbilityName="""&amp;VLOOKUP(INDIRECT("F17"),Abilities,2,FALSE)&amp;""""&amp;IF(VLOOKUP(INDIRECT("F17"),Abilities,3,FALSE)="","",", ApplyToWeaponSlot=eInvSlot_"&amp;VLOOKUP(INDIRECT("F17"),Abilities,3,FALSE))&amp;"), \\"</f>
        <v>+SoldierRanks=(  aAbilityTree=( (AbilityName=" "), \\</v>
      </c>
      <c r="B91" s="234" t="s">
        <v>340</v>
      </c>
      <c r="C91" s="234"/>
      <c r="D91" s="234"/>
      <c r="E91" s="248" t="str">
        <f ca="1">IF(INDIRECT("X13")&lt;&gt;"","RandomNickNames_Female[3]="""&amp;INDIRECT("X13")&amp;"""","")</f>
        <v>RandomNickNames_Female[3]="Duchess"</v>
      </c>
      <c r="F91" s="234" t="s">
        <v>340</v>
      </c>
      <c r="G91" s="234"/>
      <c r="H91" s="234"/>
      <c r="I91" s="234"/>
      <c r="J91" s="234"/>
    </row>
    <row r="92" spans="1:10" ht="15.75" thickBot="1" x14ac:dyDescent="0.3">
      <c r="A92" s="240" t="str">
        <f ca="1">IF(INDIRECT("I17")="","\\","(AbilityName="""&amp;VLOOKUP(INDIRECT("I17"),Abilities,2,FALSE)&amp;""""&amp;IF(VLOOKUP(INDIRECT("I17"),Abilities,3,FALSE)="","",", ApplyToWeaponSlot=eInvSlot_"&amp;VLOOKUP(INDIRECT("I17"),Abilities,3,FALSE))&amp;"), \\")</f>
        <v>(AbilityName="Combatives", ApplyToWeaponSlot=eInvSlot_SecondaryWeapon), \\</v>
      </c>
      <c r="B92" s="234" t="s">
        <v>340</v>
      </c>
      <c r="C92" s="234"/>
      <c r="D92" s="234"/>
      <c r="E92" s="249" t="str">
        <f ca="1">IF(INDIRECT("X14")&lt;&gt;"","RandomNickNames_Female[4]="""&amp;INDIRECT("X14")&amp;"""","")</f>
        <v>RandomNickNames_Female[4]="Queen"</v>
      </c>
      <c r="F92" s="234" t="s">
        <v>340</v>
      </c>
      <c r="G92" s="234"/>
      <c r="H92" s="234"/>
      <c r="I92" s="234"/>
      <c r="J92" s="234"/>
    </row>
    <row r="93" spans="1:10" x14ac:dyDescent="0.25">
      <c r="A93" s="240" t="str">
        <f ca="1">IF(INDIRECT("L17")="","\\","(AbilityName="""&amp;VLOOKUP(INDIRECT("L17"),Abilities,2,FALSE)&amp;""""&amp;IF(VLOOKUP(INDIRECT("L17"),Abilities,3,FALSE)="","",", ApplyToWeaponSlot=eInvSlot_"&amp;VLOOKUP(INDIRECT("L17"),Abilities,3,FALSE))&amp;"), \\")</f>
        <v>(AbilityName=" "), \\</v>
      </c>
      <c r="B93" s="234" t="s">
        <v>340</v>
      </c>
      <c r="C93" s="234"/>
      <c r="D93" s="234"/>
      <c r="E93" s="234"/>
      <c r="F93" s="234"/>
      <c r="G93" s="234"/>
      <c r="H93" s="234"/>
      <c r="I93" s="234"/>
      <c r="J93" s="234"/>
    </row>
    <row r="94" spans="1:10" x14ac:dyDescent="0.25">
      <c r="A94" s="240" t="s">
        <v>337</v>
      </c>
      <c r="B94" s="234" t="s">
        <v>340</v>
      </c>
      <c r="C94" s="234"/>
      <c r="D94" s="234"/>
      <c r="E94" s="234"/>
      <c r="F94" s="234"/>
      <c r="G94" s="234"/>
      <c r="H94" s="234"/>
      <c r="I94" s="234"/>
      <c r="J94" s="234"/>
    </row>
    <row r="95" spans="1:10" x14ac:dyDescent="0.25">
      <c r="A95" s="240"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 (StatType=eStat_Dodge,StatAmount=1)),\\</v>
      </c>
      <c r="B95" s="234" t="s">
        <v>340</v>
      </c>
      <c r="C95" s="234"/>
      <c r="D95" s="234"/>
      <c r="E95" s="234"/>
      <c r="F95" s="234"/>
      <c r="G95" s="234"/>
      <c r="H95" s="234"/>
      <c r="I95" s="234"/>
      <c r="J95" s="234"/>
    </row>
    <row r="96" spans="1:10" x14ac:dyDescent="0.25">
      <c r="A96" s="240" t="s">
        <v>338</v>
      </c>
      <c r="B96" s="234" t="s">
        <v>340</v>
      </c>
      <c r="C96" s="234"/>
      <c r="D96" s="234"/>
      <c r="E96" s="234"/>
      <c r="F96" s="234"/>
      <c r="G96" s="234"/>
      <c r="H96" s="234"/>
      <c r="I96" s="234"/>
      <c r="J96" s="234"/>
    </row>
    <row r="97" spans="1:10" x14ac:dyDescent="0.25">
      <c r="A97" s="240" t="str">
        <f>"; sergeant"</f>
        <v>; sergeant</v>
      </c>
      <c r="B97" s="234" t="s">
        <v>340</v>
      </c>
      <c r="C97" s="234"/>
      <c r="D97" s="234"/>
      <c r="E97" s="234"/>
      <c r="F97" s="234"/>
      <c r="G97" s="234"/>
      <c r="H97" s="234"/>
      <c r="I97" s="234"/>
      <c r="J97" s="234"/>
    </row>
    <row r="98" spans="1:10" x14ac:dyDescent="0.25">
      <c r="A98" s="240" t="str">
        <f ca="1">"+SoldierRanks=(  aAbilityTree=( (AbilityName="""&amp;VLOOKUP(INDIRECT("F21"),Abilities,2,FALSE)&amp;""""&amp;IF(VLOOKUP(INDIRECT("F21"),Abilities,3,FALSE)="","",", ApplyToWeaponSlot=eInvSlot_"&amp;VLOOKUP(INDIRECT("F21"),Abilities,3,FALSE))&amp;"), \\"</f>
        <v>+SoldierRanks=(  aAbilityTree=( (AbilityName="ShadowOps_Pyromaniac"), \\</v>
      </c>
      <c r="B98" s="234" t="s">
        <v>340</v>
      </c>
      <c r="C98" s="234"/>
      <c r="D98" s="234"/>
      <c r="E98" s="234"/>
      <c r="F98" s="234"/>
      <c r="G98" s="234"/>
      <c r="H98" s="234"/>
      <c r="I98" s="234"/>
      <c r="J98" s="234"/>
    </row>
    <row r="99" spans="1:10" x14ac:dyDescent="0.25">
      <c r="A99" s="240" t="str">
        <f ca="1">IF(INDIRECT("I21")="","\\","(AbilityName="""&amp;VLOOKUP(INDIRECT("I21"),Abilities,2,FALSE)&amp;""""&amp;IF(VLOOKUP(INDIRECT("I21"),Abilities,3,FALSE)="","",", ApplyToWeaponSlot=eInvSlot_"&amp;VLOOKUP(INDIRECT("I21"),Abilities,3,FALSE))&amp;"), \\")</f>
        <v>(AbilityName=" "), \\</v>
      </c>
      <c r="B99" s="234" t="s">
        <v>340</v>
      </c>
      <c r="C99" s="234"/>
      <c r="D99" s="234"/>
      <c r="E99" s="234"/>
      <c r="F99" s="234"/>
      <c r="G99" s="234"/>
      <c r="H99" s="234"/>
      <c r="I99" s="234"/>
      <c r="J99" s="234"/>
    </row>
    <row r="100" spans="1:10" x14ac:dyDescent="0.25">
      <c r="A100" s="240" t="str">
        <f ca="1">IF(INDIRECT("L21")="","\\","(AbilityName="""&amp;VLOOKUP(INDIRECT("L21"),Abilities,2,FALSE)&amp;""""&amp;IF(VLOOKUP(INDIRECT("L21"),Abilities,3,FALSE)="","",", ApplyToWeaponSlot=eInvSlot_"&amp;VLOOKUP(INDIRECT("L21"),Abilities,3,FALSE))&amp;"), \\")</f>
        <v>(AbilityName="Shadowstep", ApplyToWeaponSlot=eInvSlot_Unknown), \\</v>
      </c>
      <c r="B100" s="234" t="s">
        <v>340</v>
      </c>
      <c r="C100" s="234"/>
      <c r="D100" s="234"/>
      <c r="E100" s="234"/>
      <c r="F100" s="234"/>
      <c r="G100" s="234"/>
      <c r="H100" s="234"/>
      <c r="I100" s="234"/>
      <c r="J100" s="234"/>
    </row>
    <row r="101" spans="1:10" x14ac:dyDescent="0.25">
      <c r="A101" s="240" t="s">
        <v>337</v>
      </c>
      <c r="B101" s="234" t="s">
        <v>340</v>
      </c>
      <c r="C101" s="234"/>
      <c r="D101" s="234"/>
      <c r="E101" s="234"/>
      <c r="F101" s="234"/>
      <c r="G101" s="234"/>
      <c r="H101" s="234"/>
      <c r="I101" s="234"/>
      <c r="J101" s="234"/>
    </row>
    <row r="102" spans="1:10" x14ac:dyDescent="0.25">
      <c r="A102" s="240"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234" t="s">
        <v>340</v>
      </c>
      <c r="C102" s="234"/>
      <c r="D102" s="234"/>
      <c r="E102" s="234"/>
      <c r="F102" s="234"/>
      <c r="G102" s="234"/>
      <c r="H102" s="234"/>
      <c r="I102" s="234"/>
      <c r="J102" s="234"/>
    </row>
    <row r="103" spans="1:10" x14ac:dyDescent="0.25">
      <c r="A103" s="240" t="s">
        <v>338</v>
      </c>
      <c r="B103" s="234" t="s">
        <v>340</v>
      </c>
      <c r="C103" s="234"/>
      <c r="D103" s="234"/>
      <c r="E103" s="234"/>
      <c r="F103" s="234"/>
      <c r="G103" s="234"/>
      <c r="H103" s="234"/>
      <c r="I103" s="234"/>
      <c r="J103" s="234"/>
    </row>
    <row r="104" spans="1:10" x14ac:dyDescent="0.25">
      <c r="A104" s="240" t="str">
        <f>"; staff sergeant"</f>
        <v>; staff sergeant</v>
      </c>
      <c r="B104" s="234" t="s">
        <v>340</v>
      </c>
      <c r="C104" s="234"/>
      <c r="D104" s="234"/>
      <c r="E104" s="234"/>
      <c r="F104" s="234"/>
      <c r="G104" s="234"/>
      <c r="H104" s="234"/>
      <c r="I104" s="234"/>
      <c r="J104" s="234"/>
    </row>
    <row r="105" spans="1:10" x14ac:dyDescent="0.25">
      <c r="A105" s="240" t="str">
        <f ca="1">"+SoldierRanks=(  aAbilityTree=( (AbilityName="""&amp;VLOOKUP(INDIRECT("F25"),Abilities,2,FALSE)&amp;""""&amp;IF(VLOOKUP(INDIRECT("F25"),Abilities,3,FALSE)="","",", ApplyToWeaponSlot=eInvSlot_"&amp;VLOOKUP(INDIRECT("F25"),Abilities,3,FALSE))&amp;"), \\"</f>
        <v>+SoldierRanks=(  aAbilityTree=( (AbilityName="ShadowOps_IronWill"), \\</v>
      </c>
      <c r="B105" s="234" t="s">
        <v>340</v>
      </c>
      <c r="C105" s="234"/>
      <c r="D105" s="234"/>
      <c r="E105" s="234"/>
      <c r="F105" s="234"/>
      <c r="G105" s="234"/>
      <c r="H105" s="234"/>
      <c r="I105" s="234"/>
      <c r="J105" s="234"/>
    </row>
    <row r="106" spans="1:10" x14ac:dyDescent="0.25">
      <c r="A106" s="240" t="str">
        <f ca="1">IF(INDIRECT("I25")="","\\","(AbilityName="""&amp;VLOOKUP(INDIRECT("I25"),Abilities,2,FALSE)&amp;""""&amp;IF(VLOOKUP(INDIRECT("I25"),Abilities,3,FALSE)="","",", ApplyToWeaponSlot=eInvSlot_"&amp;VLOOKUP(INDIRECT("I25"),Abilities,3,FALSE))&amp;"), \\")</f>
        <v>(AbilityName=" "), \\</v>
      </c>
      <c r="B106" s="234" t="s">
        <v>340</v>
      </c>
      <c r="C106" s="234"/>
      <c r="D106" s="234"/>
      <c r="E106" s="234"/>
      <c r="F106" s="234"/>
      <c r="G106" s="234"/>
      <c r="H106" s="234"/>
      <c r="I106" s="234"/>
      <c r="J106" s="234"/>
    </row>
    <row r="107" spans="1:10" x14ac:dyDescent="0.25">
      <c r="A107" s="240" t="str">
        <f ca="1">IF(INDIRECT("L25")="","\\","(AbilityName="""&amp;VLOOKUP(INDIRECT("L25"),Abilities,2,FALSE)&amp;""""&amp;IF(VLOOKUP(INDIRECT("L25"),Abilities,3,FALSE)="","",", ApplyToWeaponSlot=eInvSlot_"&amp;VLOOKUP(INDIRECT("L25"),Abilities,3,FALSE))&amp;"), \\")</f>
        <v>(AbilityName="Resilience"), \\</v>
      </c>
      <c r="B107" s="234" t="s">
        <v>340</v>
      </c>
      <c r="C107" s="234"/>
      <c r="D107" s="234"/>
      <c r="E107" s="234"/>
      <c r="F107" s="234"/>
      <c r="G107" s="234"/>
      <c r="H107" s="234"/>
      <c r="I107" s="234"/>
      <c r="J107" s="234"/>
    </row>
    <row r="108" spans="1:10" x14ac:dyDescent="0.25">
      <c r="A108" s="240" t="s">
        <v>337</v>
      </c>
      <c r="B108" s="234" t="s">
        <v>340</v>
      </c>
      <c r="C108" s="234"/>
      <c r="D108" s="234"/>
      <c r="E108" s="234"/>
      <c r="F108" s="234"/>
      <c r="G108" s="234"/>
      <c r="H108" s="234"/>
      <c r="I108" s="234"/>
      <c r="J108" s="234"/>
    </row>
    <row r="109" spans="1:10" x14ac:dyDescent="0.25">
      <c r="A109" s="240"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234" t="s">
        <v>340</v>
      </c>
      <c r="C109" s="234"/>
      <c r="D109" s="234"/>
      <c r="E109" s="234"/>
      <c r="F109" s="234"/>
      <c r="G109" s="234"/>
      <c r="H109" s="234"/>
      <c r="I109" s="234"/>
      <c r="J109" s="234"/>
    </row>
    <row r="110" spans="1:10" x14ac:dyDescent="0.25">
      <c r="A110" s="240" t="s">
        <v>338</v>
      </c>
      <c r="B110" s="234" t="s">
        <v>340</v>
      </c>
      <c r="C110" s="234"/>
      <c r="D110" s="234"/>
      <c r="E110" s="234"/>
      <c r="F110" s="234"/>
      <c r="G110" s="234"/>
      <c r="H110" s="234"/>
      <c r="I110" s="234"/>
      <c r="J110" s="234"/>
    </row>
    <row r="111" spans="1:10" x14ac:dyDescent="0.25">
      <c r="A111" s="240" t="str">
        <f>"; tech sergeant"</f>
        <v>; tech sergeant</v>
      </c>
      <c r="B111" s="234" t="s">
        <v>340</v>
      </c>
      <c r="C111" s="234"/>
      <c r="D111" s="234"/>
      <c r="E111" s="234"/>
      <c r="F111" s="234"/>
      <c r="G111" s="234"/>
      <c r="H111" s="234"/>
      <c r="I111" s="234"/>
      <c r="J111" s="234"/>
    </row>
    <row r="112" spans="1:10" x14ac:dyDescent="0.25">
      <c r="A112" s="240" t="str">
        <f ca="1">"+SoldierRanks=(  aAbilityTree=( (AbilityName="""&amp;VLOOKUP(INDIRECT("F29"),Abilities,2,FALSE)&amp;""""&amp;IF(VLOOKUP(INDIRECT("F29"),Abilities,3,FALSE)="","",", ApplyToWeaponSlot=eInvSlot_"&amp;VLOOKUP(INDIRECT("F29"),Abilities,3,FALSE))&amp;"), \\"</f>
        <v>+SoldierRanks=(  aAbilityTree=( (AbilityName="StreetSweeper", ApplyToWeaponSlot=eInvSlot_PrimaryWeapon), \\</v>
      </c>
      <c r="B112" s="234" t="s">
        <v>340</v>
      </c>
      <c r="C112" s="234"/>
      <c r="D112" s="234"/>
      <c r="E112" s="234"/>
      <c r="F112" s="234"/>
      <c r="G112" s="234"/>
      <c r="H112" s="234"/>
      <c r="I112" s="234"/>
      <c r="J112" s="234"/>
    </row>
    <row r="113" spans="1:10" x14ac:dyDescent="0.25">
      <c r="A113" s="240" t="str">
        <f ca="1">IF(INDIRECT("I29")="","\\","(AbilityName="""&amp;VLOOKUP(INDIRECT("I29"),Abilities,2,FALSE)&amp;""""&amp;IF(VLOOKUP(INDIRECT("I29"),Abilities,3,FALSE)="","",", ApplyToWeaponSlot=eInvSlot_"&amp;VLOOKUP(INDIRECT("I29"),Abilities,3,FALSE))&amp;"), \\")</f>
        <v>(AbilityName=" "), \\</v>
      </c>
      <c r="B113" s="234" t="s">
        <v>340</v>
      </c>
      <c r="C113" s="234"/>
      <c r="D113" s="234"/>
      <c r="E113" s="234"/>
      <c r="F113" s="234"/>
      <c r="G113" s="234"/>
      <c r="H113" s="234"/>
      <c r="I113" s="234"/>
      <c r="J113" s="234"/>
    </row>
    <row r="114" spans="1:10" x14ac:dyDescent="0.25">
      <c r="A114" s="240" t="str">
        <f ca="1">IF(INDIRECT("L29")="","\\","(AbilityName="""&amp;VLOOKUP(INDIRECT("L29"),Abilities,2,FALSE)&amp;""""&amp;IF(VLOOKUP(INDIRECT("L29"),Abilities,3,FALSE)="","",", ApplyToWeaponSlot=eInvSlot_"&amp;VLOOKUP(INDIRECT("L29"),Abilities,3,FALSE))&amp;"), \\")</f>
        <v>(AbilityName="Bladestorm", ApplyToWeaponSlot=eInvSlot_SecondaryWeapon), \\</v>
      </c>
      <c r="B114" s="234" t="s">
        <v>340</v>
      </c>
      <c r="C114" s="234"/>
      <c r="D114" s="234"/>
      <c r="E114" s="234"/>
      <c r="F114" s="234"/>
      <c r="G114" s="234"/>
      <c r="H114" s="234"/>
      <c r="I114" s="234"/>
      <c r="J114" s="234"/>
    </row>
    <row r="115" spans="1:10" x14ac:dyDescent="0.25">
      <c r="A115" s="240" t="s">
        <v>337</v>
      </c>
      <c r="B115" s="234" t="s">
        <v>340</v>
      </c>
      <c r="C115" s="234"/>
      <c r="D115" s="234"/>
      <c r="E115" s="234"/>
      <c r="F115" s="234"/>
      <c r="G115" s="234"/>
      <c r="H115" s="234"/>
      <c r="I115" s="234"/>
      <c r="J115" s="234"/>
    </row>
    <row r="116" spans="1:10" x14ac:dyDescent="0.25">
      <c r="A116" s="240"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(StatType=eStat_HP,StatAmount=1), (StatType=eStat_Hacking,StatAmount=0)),\\</v>
      </c>
      <c r="B116" s="234" t="s">
        <v>340</v>
      </c>
      <c r="C116" s="234"/>
      <c r="D116" s="234"/>
      <c r="E116" s="234"/>
      <c r="F116" s="234"/>
      <c r="G116" s="234"/>
      <c r="H116" s="234"/>
      <c r="I116" s="234"/>
      <c r="J116" s="234"/>
    </row>
    <row r="117" spans="1:10" x14ac:dyDescent="0.25">
      <c r="A117" s="240" t="s">
        <v>338</v>
      </c>
      <c r="B117" s="234" t="s">
        <v>340</v>
      </c>
      <c r="C117" s="234"/>
      <c r="D117" s="234"/>
      <c r="E117" s="234"/>
      <c r="F117" s="234"/>
      <c r="G117" s="234"/>
      <c r="H117" s="234"/>
      <c r="I117" s="234"/>
      <c r="J117" s="234"/>
    </row>
    <row r="118" spans="1:10" x14ac:dyDescent="0.25">
      <c r="A118" s="240" t="str">
        <f>";  gunnery sergeant"</f>
        <v>;  gunnery sergeant</v>
      </c>
      <c r="B118" s="234" t="s">
        <v>340</v>
      </c>
      <c r="C118" s="234"/>
      <c r="D118" s="234"/>
      <c r="E118" s="234"/>
      <c r="F118" s="234"/>
      <c r="G118" s="234"/>
      <c r="H118" s="234"/>
      <c r="I118" s="234"/>
      <c r="J118" s="234"/>
    </row>
    <row r="119" spans="1:10" x14ac:dyDescent="0.25">
      <c r="A119" s="240" t="str">
        <f ca="1">"+SoldierRanks=(  aAbilityTree=( (AbilityName="""&amp;VLOOKUP(INDIRECT("F33"),Abilities,2,FALSE)&amp;""""&amp;IF(VLOOKUP(INDIRECT("F33"),Abilities,3,FALSE)="","",", ApplyToWeaponSlot=eInvSlot_"&amp;VLOOKUP(INDIRECT("F33"),Abilities,3,FALSE))&amp;"), \\"</f>
        <v>+SoldierRanks=(  aAbilityTree=( (AbilityName=" "), \\</v>
      </c>
      <c r="B119" s="234" t="s">
        <v>340</v>
      </c>
      <c r="C119" s="234"/>
      <c r="D119" s="234"/>
      <c r="E119" s="234"/>
      <c r="F119" s="234"/>
      <c r="G119" s="234"/>
      <c r="H119" s="234"/>
      <c r="I119" s="234"/>
      <c r="J119" s="234"/>
    </row>
    <row r="120" spans="1:10" x14ac:dyDescent="0.25">
      <c r="A120" s="240" t="str">
        <f ca="1">IF(INDIRECT("I33")="","\\","(AbilityName="""&amp;VLOOKUP(INDIRECT("I33"),Abilities,2,FALSE)&amp;""""&amp;IF(VLOOKUP(INDIRECT("I33"),Abilities,3,FALSE)="","",", ApplyToWeaponSlot=eInvSlot_"&amp;VLOOKUP(INDIRECT("I33"),Abilities,3,FALSE))&amp;"), \\")</f>
        <v>(AbilityName="Untouchable"), \\</v>
      </c>
      <c r="B120" s="234" t="s">
        <v>340</v>
      </c>
      <c r="C120" s="234"/>
      <c r="D120" s="234"/>
      <c r="E120" s="234"/>
      <c r="F120" s="234"/>
      <c r="G120" s="234"/>
      <c r="H120" s="234"/>
      <c r="I120" s="234"/>
      <c r="J120" s="234"/>
    </row>
    <row r="121" spans="1:10" x14ac:dyDescent="0.25">
      <c r="A121" s="240" t="str">
        <f ca="1">IF(INDIRECT("L33")="","\\","(AbilityName="""&amp;VLOOKUP(INDIRECT("L33"),Abilities,2,FALSE)&amp;""""&amp;IF(VLOOKUP(INDIRECT("L33"),Abilities,3,FALSE)="","",", ApplyToWeaponSlot=eInvSlot_"&amp;VLOOKUP(INDIRECT("L33"),Abilities,3,FALSE))&amp;"), \\")</f>
        <v>(AbilityName=" "), \\</v>
      </c>
      <c r="B121" s="234" t="s">
        <v>340</v>
      </c>
      <c r="C121" s="234"/>
      <c r="D121" s="234"/>
      <c r="E121" s="234"/>
      <c r="F121" s="234"/>
      <c r="G121" s="234"/>
      <c r="H121" s="234"/>
      <c r="I121" s="234"/>
      <c r="J121" s="234"/>
    </row>
    <row r="122" spans="1:10" x14ac:dyDescent="0.25">
      <c r="A122" s="240" t="s">
        <v>337</v>
      </c>
      <c r="B122" s="234" t="s">
        <v>340</v>
      </c>
      <c r="C122" s="234"/>
      <c r="D122" s="234"/>
      <c r="E122" s="234"/>
      <c r="F122" s="234"/>
      <c r="G122" s="234"/>
      <c r="H122" s="234"/>
      <c r="I122" s="234"/>
      <c r="J122" s="234"/>
    </row>
    <row r="123" spans="1:10" x14ac:dyDescent="0.25">
      <c r="A123" s="240"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234" t="s">
        <v>340</v>
      </c>
      <c r="C123" s="234"/>
      <c r="D123" s="234"/>
      <c r="E123" s="234"/>
      <c r="F123" s="234"/>
      <c r="G123" s="234"/>
      <c r="H123" s="234"/>
      <c r="I123" s="234"/>
      <c r="J123" s="234"/>
    </row>
    <row r="124" spans="1:10" x14ac:dyDescent="0.25">
      <c r="A124" s="240" t="s">
        <v>338</v>
      </c>
      <c r="B124" s="234" t="s">
        <v>340</v>
      </c>
      <c r="C124" s="234"/>
      <c r="D124" s="234"/>
      <c r="E124" s="234"/>
      <c r="F124" s="234"/>
      <c r="G124" s="234"/>
      <c r="H124" s="234"/>
      <c r="I124" s="234"/>
      <c r="J124" s="234"/>
    </row>
    <row r="125" spans="1:10" x14ac:dyDescent="0.25">
      <c r="A125" s="240" t="str">
        <f>"; master sergeant"</f>
        <v>; master sergeant</v>
      </c>
      <c r="B125" s="234" t="s">
        <v>340</v>
      </c>
      <c r="C125" s="234"/>
      <c r="D125" s="234"/>
      <c r="E125" s="234"/>
      <c r="F125" s="234"/>
      <c r="G125" s="234"/>
      <c r="H125" s="234"/>
      <c r="I125" s="234"/>
      <c r="J125" s="234"/>
    </row>
    <row r="126" spans="1:10" x14ac:dyDescent="0.25">
      <c r="A126" s="240" t="str">
        <f ca="1">"+SoldierRanks=(  aAbilityTree=( (AbilityName="""&amp;VLOOKUP(INDIRECT("F37"),Abilities,2,FALSE)&amp;""""&amp;IF(VLOOKUP(INDIRECT("F37"),Abilities,3,FALSE)="","",", ApplyToWeaponSlot=eInvSlot_"&amp;VLOOKUP(INDIRECT("F37"),Abilities,3,FALSE))&amp;"), \\"</f>
        <v>+SoldierRanks=(  aAbilityTree=( (AbilityName="CoupDeGrace", ApplyToWeaponSlot=eInvSlot_SecondaryWeapon), \\</v>
      </c>
      <c r="B126" s="234" t="s">
        <v>340</v>
      </c>
      <c r="C126" s="234"/>
      <c r="D126" s="234"/>
      <c r="E126" s="234"/>
      <c r="F126" s="234"/>
      <c r="G126" s="234"/>
      <c r="H126" s="234"/>
      <c r="I126" s="234"/>
      <c r="J126" s="234"/>
    </row>
    <row r="127" spans="1:10" x14ac:dyDescent="0.25">
      <c r="A127" s="240" t="str">
        <f ca="1">IF(INDIRECT("I37")="","\\","(AbilityName="""&amp;VLOOKUP(INDIRECT("I37"),Abilities,2,FALSE)&amp;""""&amp;IF(VLOOKUP(INDIRECT("I37"),Abilities,3,FALSE)="","",", ApplyToWeaponSlot=eInvSlot_"&amp;VLOOKUP(INDIRECT("I37"),Abilities,3,FALSE))&amp;"), \\")</f>
        <v>(AbilityName=" "), \\</v>
      </c>
      <c r="B127" s="234" t="s">
        <v>340</v>
      </c>
      <c r="C127" s="234"/>
      <c r="D127" s="234"/>
      <c r="E127" s="234"/>
      <c r="F127" s="234"/>
      <c r="G127" s="234"/>
      <c r="H127" s="234"/>
      <c r="I127" s="234"/>
      <c r="J127" s="234"/>
    </row>
    <row r="128" spans="1:10" x14ac:dyDescent="0.25">
      <c r="A128" s="240" t="str">
        <f ca="1">IF(INDIRECT("L37")="","\\","(AbilityName="""&amp;VLOOKUP(INDIRECT("L37"),Abilities,2,FALSE)&amp;""""&amp;IF(VLOOKUP(INDIRECT("L37"),Abilities,3,FALSE)="","",", ApplyToWeaponSlot=eInvSlot_"&amp;VLOOKUP(INDIRECT("L37"),Abilities,3,FALSE))&amp;"), \\")</f>
        <v>(AbilityName="ShadowOps_Butcher"), \\</v>
      </c>
      <c r="B128" s="234" t="s">
        <v>340</v>
      </c>
      <c r="C128" s="234"/>
      <c r="D128" s="234"/>
      <c r="E128" s="234"/>
      <c r="F128" s="234"/>
      <c r="G128" s="234"/>
      <c r="H128" s="234"/>
      <c r="I128" s="234"/>
      <c r="J128" s="234"/>
    </row>
    <row r="129" spans="1:10" x14ac:dyDescent="0.25">
      <c r="A129" s="240" t="s">
        <v>337</v>
      </c>
      <c r="B129" s="234" t="s">
        <v>340</v>
      </c>
      <c r="C129" s="234"/>
      <c r="D129" s="234"/>
      <c r="E129" s="234"/>
      <c r="F129" s="234"/>
      <c r="G129" s="234"/>
      <c r="H129" s="234"/>
      <c r="I129" s="234"/>
      <c r="J129" s="234"/>
    </row>
    <row r="130" spans="1:10" x14ac:dyDescent="0.25">
      <c r="A130" s="240"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234" t="s">
        <v>340</v>
      </c>
      <c r="C130" s="234"/>
      <c r="D130" s="234"/>
      <c r="E130" s="234"/>
      <c r="F130" s="234"/>
      <c r="G130" s="234"/>
      <c r="H130" s="234"/>
      <c r="I130" s="234"/>
      <c r="J130" s="234"/>
    </row>
    <row r="131" spans="1:10" ht="15.75" thickBot="1" x14ac:dyDescent="0.3">
      <c r="A131" s="241" t="s">
        <v>338</v>
      </c>
      <c r="B131" s="234" t="s">
        <v>340</v>
      </c>
      <c r="C131" s="234"/>
      <c r="D131" s="234"/>
      <c r="E131" s="234"/>
      <c r="F131" s="234"/>
      <c r="G131" s="234"/>
      <c r="H131" s="234"/>
      <c r="I131" s="234"/>
      <c r="J131" s="234"/>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I37:J37"/>
    <mergeCell ref="F17:G17"/>
    <mergeCell ref="I17:J17"/>
    <mergeCell ref="L17:M1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L37:M37"/>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A40:B41"/>
    <mergeCell ref="C40:E41"/>
    <mergeCell ref="A42:B42"/>
    <mergeCell ref="C42:D42"/>
    <mergeCell ref="E42:F42"/>
    <mergeCell ref="F38:H39"/>
    <mergeCell ref="I38:K39"/>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21857"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21858"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21859"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21860"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21861"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21862"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21863"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21864"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21865"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21866"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21867"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21868"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21869"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F4</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90" t="s">
        <v>308</v>
      </c>
      <c r="B1" s="91"/>
      <c r="C1" s="94" t="s">
        <v>52</v>
      </c>
      <c r="D1" s="95"/>
      <c r="E1" s="95"/>
      <c r="F1" s="98" t="s">
        <v>324</v>
      </c>
      <c r="G1" s="99"/>
      <c r="H1" s="99"/>
      <c r="I1" s="99"/>
      <c r="J1" s="99"/>
      <c r="K1" s="99"/>
      <c r="L1" s="99"/>
      <c r="M1" s="99"/>
      <c r="N1" s="99"/>
      <c r="O1" s="100" t="s">
        <v>325</v>
      </c>
      <c r="P1" s="101"/>
      <c r="Q1" s="101"/>
      <c r="R1" s="101"/>
      <c r="S1" s="101"/>
      <c r="T1" s="101"/>
      <c r="U1" s="102"/>
      <c r="V1" s="196" t="s">
        <v>776</v>
      </c>
      <c r="W1" s="197"/>
      <c r="X1" s="197"/>
      <c r="Y1" s="197"/>
    </row>
    <row r="2" spans="1:25" ht="15" customHeight="1" thickBot="1" x14ac:dyDescent="0.3">
      <c r="A2" s="92"/>
      <c r="B2" s="93"/>
      <c r="C2" s="96"/>
      <c r="D2" s="97"/>
      <c r="E2" s="97"/>
      <c r="F2" s="98"/>
      <c r="G2" s="99"/>
      <c r="H2" s="99"/>
      <c r="I2" s="99"/>
      <c r="J2" s="99"/>
      <c r="K2" s="99"/>
      <c r="L2" s="99"/>
      <c r="M2" s="99"/>
      <c r="N2" s="99"/>
      <c r="O2" s="103"/>
      <c r="P2" s="104"/>
      <c r="Q2" s="104"/>
      <c r="R2" s="104"/>
      <c r="S2" s="104"/>
      <c r="T2" s="104"/>
      <c r="U2" s="105"/>
      <c r="V2" s="198"/>
      <c r="W2" s="199"/>
      <c r="X2" s="199"/>
      <c r="Y2" s="199"/>
    </row>
    <row r="3" spans="1:25" ht="18" thickBot="1" x14ac:dyDescent="0.35">
      <c r="A3" s="106" t="s">
        <v>309</v>
      </c>
      <c r="B3" s="107"/>
      <c r="C3" s="108" t="str">
        <f>Output!$L$1&amp;SUBSTITUTE(C1," ","")</f>
        <v>LWD_Sharpshooter</v>
      </c>
      <c r="D3" s="109"/>
      <c r="E3" s="109"/>
      <c r="F3" s="110" t="s">
        <v>12</v>
      </c>
      <c r="G3" s="111"/>
      <c r="H3" s="111"/>
      <c r="I3" s="111"/>
      <c r="J3" s="111"/>
      <c r="K3" s="111"/>
      <c r="L3" s="111"/>
      <c r="M3" s="111"/>
      <c r="N3" s="112"/>
      <c r="O3" s="15"/>
      <c r="P3" s="16" t="s">
        <v>79</v>
      </c>
      <c r="Q3" s="17" t="s">
        <v>326</v>
      </c>
      <c r="R3" s="17" t="s">
        <v>328</v>
      </c>
      <c r="S3" s="17" t="s">
        <v>327</v>
      </c>
      <c r="T3" s="17" t="s">
        <v>330</v>
      </c>
      <c r="U3" s="18" t="s">
        <v>329</v>
      </c>
      <c r="V3" s="200" t="s">
        <v>810</v>
      </c>
      <c r="W3" s="201"/>
      <c r="X3" s="200" t="s">
        <v>811</v>
      </c>
      <c r="Y3" s="201"/>
    </row>
    <row r="4" spans="1:25" ht="18" thickTop="1" x14ac:dyDescent="0.3">
      <c r="A4" s="113" t="s">
        <v>310</v>
      </c>
      <c r="B4" s="114"/>
      <c r="C4" s="115" t="s">
        <v>314</v>
      </c>
      <c r="D4" s="116"/>
      <c r="E4" s="116"/>
      <c r="F4" s="119" t="s">
        <v>104</v>
      </c>
      <c r="G4" s="120"/>
      <c r="H4" s="4" t="str">
        <f>IFERROR(VLOOKUP(F4,Abilities,4,FALSE),"")</f>
        <v>Spark</v>
      </c>
      <c r="I4" s="121" t="s">
        <v>53</v>
      </c>
      <c r="J4" s="120"/>
      <c r="K4" s="35" t="str">
        <f>IFERROR(VLOOKUP(I4,Abilities,4,FALSE),"")</f>
        <v>XCOM2</v>
      </c>
      <c r="L4" s="122"/>
      <c r="M4" s="120"/>
      <c r="N4" s="10" t="str">
        <f>IFERROR(VLOOKUP(L4,Abilities,4,FALSE),"")</f>
        <v/>
      </c>
      <c r="O4" s="19" t="s">
        <v>12</v>
      </c>
      <c r="P4" s="4">
        <v>4</v>
      </c>
      <c r="Q4" s="20">
        <v>0</v>
      </c>
      <c r="R4" s="20"/>
      <c r="S4" s="4">
        <v>0</v>
      </c>
      <c r="T4" s="4">
        <v>1</v>
      </c>
      <c r="U4" s="10"/>
      <c r="V4" s="192" t="s">
        <v>777</v>
      </c>
      <c r="W4" s="193"/>
      <c r="X4" s="192" t="s">
        <v>801</v>
      </c>
      <c r="Y4" s="193"/>
    </row>
    <row r="5" spans="1:25" ht="15" customHeight="1" x14ac:dyDescent="0.25">
      <c r="A5" s="6"/>
      <c r="B5" s="5" t="b">
        <v>0</v>
      </c>
      <c r="C5" s="117"/>
      <c r="D5" s="118"/>
      <c r="E5" s="118"/>
      <c r="F5" s="123">
        <f>IFERROR(VLOOKUP(F4,Abilities,7,FALSE),"")</f>
        <v>0</v>
      </c>
      <c r="G5" s="124"/>
      <c r="H5" s="125"/>
      <c r="I5" s="129" t="str">
        <f>IFERROR(VLOOKUP(I4,Abilities,7,FALSE),"")</f>
        <v>You can target enemies within squadmates' sight, provided there is line of sight to the target.</v>
      </c>
      <c r="J5" s="130"/>
      <c r="K5" s="131"/>
      <c r="L5" s="130" t="str">
        <f>IFERROR(VLOOKUP(L4,Abilities,7,FALSE),"")</f>
        <v/>
      </c>
      <c r="M5" s="130"/>
      <c r="N5" s="135"/>
      <c r="O5" s="26" t="s">
        <v>456</v>
      </c>
      <c r="P5" s="27">
        <v>3</v>
      </c>
      <c r="Q5" s="28">
        <v>0</v>
      </c>
      <c r="R5" s="28"/>
      <c r="S5" s="27">
        <v>0</v>
      </c>
      <c r="T5" s="27"/>
      <c r="U5" s="29"/>
      <c r="V5" s="190" t="s">
        <v>821</v>
      </c>
      <c r="W5" s="191"/>
      <c r="X5" s="190" t="s">
        <v>889</v>
      </c>
      <c r="Y5" s="191"/>
    </row>
    <row r="6" spans="1:25" ht="15" customHeight="1" x14ac:dyDescent="0.25">
      <c r="A6" s="6"/>
      <c r="B6" s="5" t="b">
        <v>0</v>
      </c>
      <c r="C6" s="137" t="s">
        <v>315</v>
      </c>
      <c r="D6" s="138"/>
      <c r="E6" s="11">
        <v>0</v>
      </c>
      <c r="F6" s="126"/>
      <c r="G6" s="127"/>
      <c r="H6" s="128"/>
      <c r="I6" s="132"/>
      <c r="J6" s="133"/>
      <c r="K6" s="134"/>
      <c r="L6" s="133"/>
      <c r="M6" s="133"/>
      <c r="N6" s="136"/>
      <c r="O6" s="19" t="s">
        <v>15</v>
      </c>
      <c r="P6" s="4">
        <v>4</v>
      </c>
      <c r="Q6" s="20">
        <v>1</v>
      </c>
      <c r="R6" s="20"/>
      <c r="S6" s="4">
        <v>0</v>
      </c>
      <c r="T6" s="4"/>
      <c r="U6" s="10"/>
      <c r="V6" s="190" t="s">
        <v>778</v>
      </c>
      <c r="W6" s="191"/>
      <c r="X6" s="192" t="s">
        <v>803</v>
      </c>
      <c r="Y6" s="193"/>
    </row>
    <row r="7" spans="1:25" ht="15" customHeight="1" x14ac:dyDescent="0.25">
      <c r="A7" s="6"/>
      <c r="B7" s="5" t="b">
        <v>0</v>
      </c>
      <c r="C7" s="137" t="s">
        <v>316</v>
      </c>
      <c r="D7" s="138"/>
      <c r="E7" s="11">
        <v>4</v>
      </c>
      <c r="F7" s="139"/>
      <c r="G7" s="140"/>
      <c r="H7" s="4" t="str">
        <f>IFERROR(VLOOKUP(F7,Abilities,4,FALSE),"")</f>
        <v/>
      </c>
      <c r="I7" s="141"/>
      <c r="J7" s="140"/>
      <c r="K7" s="4" t="str">
        <f>IFERROR(VLOOKUP(I7,Abilities,4,FALSE),"")</f>
        <v/>
      </c>
      <c r="L7" s="142"/>
      <c r="M7" s="140"/>
      <c r="N7" s="10" t="str">
        <f>IFERROR(VLOOKUP(L7,Abilities,4,FALSE),"")</f>
        <v/>
      </c>
      <c r="O7" s="26" t="s">
        <v>21</v>
      </c>
      <c r="P7" s="27">
        <v>3</v>
      </c>
      <c r="Q7" s="28">
        <v>0</v>
      </c>
      <c r="R7" s="28"/>
      <c r="S7" s="27">
        <v>0</v>
      </c>
      <c r="T7" s="27"/>
      <c r="U7" s="29"/>
      <c r="V7" s="192" t="s">
        <v>779</v>
      </c>
      <c r="W7" s="193"/>
      <c r="X7" s="190" t="s">
        <v>804</v>
      </c>
      <c r="Y7" s="191"/>
    </row>
    <row r="8" spans="1:25" ht="15" customHeight="1" thickBot="1" x14ac:dyDescent="0.3">
      <c r="A8" s="6"/>
      <c r="B8" s="5" t="b">
        <v>1</v>
      </c>
      <c r="C8" s="137" t="s">
        <v>317</v>
      </c>
      <c r="D8" s="143"/>
      <c r="E8" s="12" t="s">
        <v>637</v>
      </c>
      <c r="F8" s="144" t="str">
        <f>IFERROR(VLOOKUP(F7,Abilities,7,FALSE),"")</f>
        <v/>
      </c>
      <c r="G8" s="130"/>
      <c r="H8" s="131"/>
      <c r="I8" s="129" t="str">
        <f>IFERROR(VLOOKUP(I7,Abilities,7,FALSE),"")</f>
        <v/>
      </c>
      <c r="J8" s="130"/>
      <c r="K8" s="131"/>
      <c r="L8" s="130" t="str">
        <f>IFERROR(VLOOKUP(L7,Abilities,7,FALSE),"")</f>
        <v/>
      </c>
      <c r="M8" s="130"/>
      <c r="N8" s="135"/>
      <c r="O8" s="21" t="s">
        <v>457</v>
      </c>
      <c r="P8" s="4">
        <v>4</v>
      </c>
      <c r="Q8" s="20">
        <v>0</v>
      </c>
      <c r="R8" s="20"/>
      <c r="S8" s="4">
        <v>0</v>
      </c>
      <c r="T8" s="4"/>
      <c r="U8" s="10"/>
      <c r="V8" s="190" t="s">
        <v>780</v>
      </c>
      <c r="W8" s="191"/>
      <c r="X8" s="192" t="s">
        <v>805</v>
      </c>
      <c r="Y8" s="193"/>
    </row>
    <row r="9" spans="1:25" ht="15.75" thickBot="1" x14ac:dyDescent="0.3">
      <c r="A9" s="6"/>
      <c r="B9" s="5" t="b">
        <v>0</v>
      </c>
      <c r="C9" s="137" t="s">
        <v>319</v>
      </c>
      <c r="D9" s="143"/>
      <c r="E9" s="12">
        <v>1</v>
      </c>
      <c r="F9" s="145"/>
      <c r="G9" s="133"/>
      <c r="H9" s="134"/>
      <c r="I9" s="146"/>
      <c r="J9" s="147"/>
      <c r="K9" s="148"/>
      <c r="L9" s="133"/>
      <c r="M9" s="133"/>
      <c r="N9" s="136"/>
      <c r="O9" s="26" t="s">
        <v>458</v>
      </c>
      <c r="P9" s="27">
        <v>3</v>
      </c>
      <c r="Q9" s="28">
        <v>0</v>
      </c>
      <c r="R9" s="28"/>
      <c r="S9" s="27">
        <v>0</v>
      </c>
      <c r="T9" s="27"/>
      <c r="U9" s="29"/>
      <c r="V9" s="192" t="s">
        <v>781</v>
      </c>
      <c r="W9" s="193"/>
      <c r="X9" s="200" t="s">
        <v>812</v>
      </c>
      <c r="Y9" s="201"/>
    </row>
    <row r="10" spans="1:25" ht="18.75" x14ac:dyDescent="0.3">
      <c r="A10" s="6"/>
      <c r="B10" s="5" t="b">
        <v>0</v>
      </c>
      <c r="C10" s="137" t="s">
        <v>318</v>
      </c>
      <c r="D10" s="143"/>
      <c r="E10" s="12">
        <v>4</v>
      </c>
      <c r="F10" s="157" t="s">
        <v>311</v>
      </c>
      <c r="G10" s="158"/>
      <c r="H10" s="159"/>
      <c r="I10" s="160" t="s">
        <v>349</v>
      </c>
      <c r="J10" s="158"/>
      <c r="K10" s="159"/>
      <c r="L10" s="158" t="s">
        <v>312</v>
      </c>
      <c r="M10" s="158"/>
      <c r="N10" s="161"/>
      <c r="O10" s="36" t="s">
        <v>459</v>
      </c>
      <c r="P10" s="37">
        <v>4</v>
      </c>
      <c r="Q10" s="37">
        <v>1</v>
      </c>
      <c r="R10" s="37"/>
      <c r="S10" s="37">
        <v>0</v>
      </c>
      <c r="T10" s="37"/>
      <c r="U10" s="38"/>
      <c r="V10" s="190" t="s">
        <v>782</v>
      </c>
      <c r="W10" s="191"/>
      <c r="X10" s="192" t="s">
        <v>806</v>
      </c>
      <c r="Y10" s="193"/>
    </row>
    <row r="11" spans="1:25" ht="15.75" customHeight="1" thickBot="1" x14ac:dyDescent="0.3">
      <c r="A11" s="6"/>
      <c r="B11" s="5" t="b">
        <v>0</v>
      </c>
      <c r="C11" s="137" t="s">
        <v>320</v>
      </c>
      <c r="D11" s="143"/>
      <c r="E11" s="12">
        <v>5</v>
      </c>
      <c r="F11" s="162" t="s">
        <v>466</v>
      </c>
      <c r="G11" s="163"/>
      <c r="H11" s="164"/>
      <c r="I11" s="165"/>
      <c r="J11" s="163"/>
      <c r="K11" s="164"/>
      <c r="L11" s="163" t="s">
        <v>61</v>
      </c>
      <c r="M11" s="163"/>
      <c r="N11" s="166"/>
      <c r="O11" s="39" t="s">
        <v>460</v>
      </c>
      <c r="P11" s="40">
        <v>3</v>
      </c>
      <c r="Q11" s="41">
        <v>0</v>
      </c>
      <c r="R11" s="41"/>
      <c r="S11" s="40">
        <v>0</v>
      </c>
      <c r="T11" s="40"/>
      <c r="U11" s="42"/>
      <c r="V11" s="192" t="s">
        <v>824</v>
      </c>
      <c r="W11" s="193"/>
      <c r="X11" s="190" t="s">
        <v>807</v>
      </c>
      <c r="Y11" s="191"/>
    </row>
    <row r="12" spans="1:25" ht="18" customHeight="1" thickBot="1" x14ac:dyDescent="0.35">
      <c r="A12" s="6"/>
      <c r="B12" s="5" t="b">
        <v>0</v>
      </c>
      <c r="C12" s="137" t="s">
        <v>321</v>
      </c>
      <c r="D12" s="143"/>
      <c r="E12" s="12">
        <v>1</v>
      </c>
      <c r="F12" s="169" t="s">
        <v>443</v>
      </c>
      <c r="G12" s="170"/>
      <c r="H12" s="170"/>
      <c r="I12" s="170"/>
      <c r="J12" s="170"/>
      <c r="K12" s="170"/>
      <c r="L12" s="170"/>
      <c r="M12" s="170"/>
      <c r="N12" s="171"/>
      <c r="O12" s="149" t="s">
        <v>813</v>
      </c>
      <c r="P12" s="150"/>
      <c r="Q12" s="150"/>
      <c r="R12" s="150"/>
      <c r="S12" s="150"/>
      <c r="T12" s="150"/>
      <c r="U12" s="151"/>
      <c r="V12" s="192" t="s">
        <v>890</v>
      </c>
      <c r="W12" s="193"/>
      <c r="X12" s="192" t="s">
        <v>808</v>
      </c>
      <c r="Y12" s="193"/>
    </row>
    <row r="13" spans="1:25" ht="16.5" thickTop="1" thickBot="1" x14ac:dyDescent="0.3">
      <c r="A13" s="6"/>
      <c r="B13" s="5" t="b">
        <v>0</v>
      </c>
      <c r="C13" s="155" t="s">
        <v>322</v>
      </c>
      <c r="D13" s="156"/>
      <c r="E13" s="13" t="s">
        <v>323</v>
      </c>
      <c r="F13" s="119" t="s">
        <v>55</v>
      </c>
      <c r="G13" s="120"/>
      <c r="H13" s="4" t="str">
        <f>IFERROR(VLOOKUP(F13,Abilities,4,FALSE),"")</f>
        <v>XCOM2</v>
      </c>
      <c r="I13" s="121" t="s">
        <v>962</v>
      </c>
      <c r="J13" s="120"/>
      <c r="K13" s="35" t="str">
        <f>IFERROR(VLOOKUP(I13,Abilities,4,FALSE),"")</f>
        <v>BLANK</v>
      </c>
      <c r="L13" s="122" t="s">
        <v>66</v>
      </c>
      <c r="M13" s="120"/>
      <c r="N13" s="10" t="str">
        <f>IFERROR(VLOOKUP(L13,Abilities,4,FALSE),"")</f>
        <v>XCOM2</v>
      </c>
      <c r="O13" s="152"/>
      <c r="P13" s="153"/>
      <c r="Q13" s="153"/>
      <c r="R13" s="153"/>
      <c r="S13" s="153"/>
      <c r="T13" s="153"/>
      <c r="U13" s="154"/>
      <c r="V13" s="192" t="s">
        <v>818</v>
      </c>
      <c r="W13" s="193"/>
      <c r="X13" s="190" t="s">
        <v>886</v>
      </c>
      <c r="Y13" s="191"/>
    </row>
    <row r="14" spans="1:25" ht="15.75" thickBot="1" x14ac:dyDescent="0.3">
      <c r="A14" s="6"/>
      <c r="B14" s="7" t="b">
        <v>0</v>
      </c>
      <c r="F14" s="144" t="str">
        <f>IFERROR(VLOOKUP(F13,Abilities,7,FALSE),"")</f>
        <v>Allow Overwatch to trigger with Squadsight.</v>
      </c>
      <c r="G14" s="130"/>
      <c r="H14" s="131"/>
      <c r="I14" s="129" t="str">
        <f>IFERROR(VLOOKUP(I13,Abilities,7,FALSE),"")</f>
        <v xml:space="preserve"> </v>
      </c>
      <c r="J14" s="130"/>
      <c r="K14" s="131"/>
      <c r="L14" s="130" t="str">
        <f>IFERROR(VLOOKUP(L13,Abilities,7,FALSE),"")</f>
        <v>Killing an enemy at a lower elevation with your sniper rifle costs only a single action and does not end your turn.</v>
      </c>
      <c r="M14" s="130"/>
      <c r="N14" s="135"/>
      <c r="O14" s="22"/>
      <c r="P14" s="23" t="s">
        <v>331</v>
      </c>
      <c r="Q14" s="24" t="s">
        <v>332</v>
      </c>
      <c r="R14" s="24" t="s">
        <v>333</v>
      </c>
      <c r="S14" s="24" t="s">
        <v>334</v>
      </c>
      <c r="T14" s="24" t="s">
        <v>336</v>
      </c>
      <c r="U14" s="25" t="s">
        <v>335</v>
      </c>
      <c r="V14" s="190" t="s">
        <v>784</v>
      </c>
      <c r="W14" s="191"/>
      <c r="X14" s="194" t="s">
        <v>814</v>
      </c>
      <c r="Y14" s="195"/>
    </row>
    <row r="15" spans="1:25" ht="15.75" thickBot="1" x14ac:dyDescent="0.3">
      <c r="A15" s="6"/>
      <c r="B15" s="7" t="b">
        <v>0</v>
      </c>
      <c r="F15" s="167"/>
      <c r="G15" s="147"/>
      <c r="H15" s="148"/>
      <c r="I15" s="146"/>
      <c r="J15" s="147"/>
      <c r="K15" s="148"/>
      <c r="L15" s="147"/>
      <c r="M15" s="147"/>
      <c r="N15" s="168"/>
      <c r="O15" s="19" t="s">
        <v>12</v>
      </c>
      <c r="P15" s="4"/>
      <c r="Q15" s="20">
        <v>3</v>
      </c>
      <c r="R15" s="20"/>
      <c r="S15" s="4"/>
      <c r="T15" s="4"/>
      <c r="U15" s="10"/>
      <c r="V15" s="190" t="s">
        <v>823</v>
      </c>
      <c r="W15" s="191"/>
    </row>
    <row r="16" spans="1:25" ht="18" thickBot="1" x14ac:dyDescent="0.35">
      <c r="A16" s="6"/>
      <c r="B16" s="7" t="b">
        <v>1</v>
      </c>
      <c r="F16" s="169" t="s">
        <v>15</v>
      </c>
      <c r="G16" s="170"/>
      <c r="H16" s="170"/>
      <c r="I16" s="170"/>
      <c r="J16" s="170"/>
      <c r="K16" s="170"/>
      <c r="L16" s="170"/>
      <c r="M16" s="170"/>
      <c r="N16" s="171"/>
      <c r="O16" s="26" t="s">
        <v>456</v>
      </c>
      <c r="P16" s="27"/>
      <c r="Q16" s="28">
        <v>3</v>
      </c>
      <c r="R16" s="28"/>
      <c r="S16" s="27"/>
      <c r="T16" s="27"/>
      <c r="U16" s="29"/>
      <c r="V16" s="190" t="s">
        <v>786</v>
      </c>
      <c r="W16" s="191"/>
    </row>
    <row r="17" spans="1:23" ht="16.5" thickTop="1" thickBot="1" x14ac:dyDescent="0.3">
      <c r="A17" s="8"/>
      <c r="B17" s="9" t="b">
        <v>0</v>
      </c>
      <c r="F17" s="121" t="s">
        <v>962</v>
      </c>
      <c r="G17" s="120"/>
      <c r="H17" s="4" t="str">
        <f>IFERROR(VLOOKUP(F17,Abilities,4,FALSE),"")</f>
        <v>BLANK</v>
      </c>
      <c r="I17" s="121" t="s">
        <v>950</v>
      </c>
      <c r="J17" s="120"/>
      <c r="K17" s="35" t="str">
        <f>IFERROR(VLOOKUP(I17,Abilities,4,FALSE),"")</f>
        <v>SOLW</v>
      </c>
      <c r="L17" s="121" t="s">
        <v>962</v>
      </c>
      <c r="M17" s="120"/>
      <c r="N17" s="10" t="str">
        <f>IFERROR(VLOOKUP(L17,Abilities,4,FALSE),"")</f>
        <v>BLANK</v>
      </c>
      <c r="O17" s="19" t="s">
        <v>15</v>
      </c>
      <c r="P17" s="4"/>
      <c r="Q17" s="20"/>
      <c r="R17" s="20"/>
      <c r="S17" s="4"/>
      <c r="T17" s="4"/>
      <c r="U17" s="10"/>
      <c r="V17" s="192" t="s">
        <v>787</v>
      </c>
      <c r="W17" s="193"/>
    </row>
    <row r="18" spans="1:23" x14ac:dyDescent="0.25">
      <c r="A18" s="172" t="s">
        <v>344</v>
      </c>
      <c r="B18" s="173"/>
      <c r="F18" s="144" t="str">
        <f>IFERROR(VLOOKUP(F17,Abilities,7,FALSE),"")</f>
        <v xml:space="preserve"> </v>
      </c>
      <c r="G18" s="130"/>
      <c r="H18" s="131"/>
      <c r="I18" s="129" t="str">
        <f>IFERROR(VLOOKUP(I17,Abilities,7,FALSE),"")</f>
        <v>Mark a target, giving you &lt;Ability:+Crit:ShadowOps_ThisOnesMine_Passive/&gt; Crit chance and &lt;Ability:+Defense:ShadowOps_ThisOnesMine_Passive/&gt; Defense against it for 3 turns. This ability doesn't cost an action.</v>
      </c>
      <c r="J18" s="130"/>
      <c r="K18" s="131"/>
      <c r="L18" s="130" t="str">
        <f>IFERROR(VLOOKUP(L17,Abilities,7,FALSE),"")</f>
        <v xml:space="preserve"> </v>
      </c>
      <c r="M18" s="130"/>
      <c r="N18" s="135"/>
      <c r="O18" s="26" t="s">
        <v>21</v>
      </c>
      <c r="P18" s="27"/>
      <c r="Q18" s="28"/>
      <c r="R18" s="28"/>
      <c r="S18" s="27"/>
      <c r="T18" s="27"/>
      <c r="U18" s="29"/>
      <c r="V18" s="190" t="s">
        <v>788</v>
      </c>
      <c r="W18" s="191"/>
    </row>
    <row r="19" spans="1:23" ht="15.75" thickBot="1" x14ac:dyDescent="0.3">
      <c r="A19" s="174"/>
      <c r="B19" s="175"/>
      <c r="D19" s="3"/>
      <c r="F19" s="167"/>
      <c r="G19" s="147"/>
      <c r="H19" s="148"/>
      <c r="I19" s="146"/>
      <c r="J19" s="147"/>
      <c r="K19" s="148"/>
      <c r="L19" s="147"/>
      <c r="M19" s="147"/>
      <c r="N19" s="168"/>
      <c r="O19" s="21" t="s">
        <v>457</v>
      </c>
      <c r="P19" s="4"/>
      <c r="Q19" s="20"/>
      <c r="R19" s="20"/>
      <c r="S19" s="4"/>
      <c r="T19" s="4"/>
      <c r="U19" s="10"/>
      <c r="V19" s="192" t="s">
        <v>789</v>
      </c>
      <c r="W19" s="193"/>
    </row>
    <row r="20" spans="1:23" ht="18" thickBot="1" x14ac:dyDescent="0.35">
      <c r="A20" s="176" t="s">
        <v>974</v>
      </c>
      <c r="B20" s="177"/>
      <c r="C20" s="178"/>
      <c r="D20" s="178"/>
      <c r="E20" s="179"/>
      <c r="F20" s="169" t="s">
        <v>21</v>
      </c>
      <c r="G20" s="170"/>
      <c r="H20" s="170"/>
      <c r="I20" s="170"/>
      <c r="J20" s="170"/>
      <c r="K20" s="170"/>
      <c r="L20" s="170"/>
      <c r="M20" s="170"/>
      <c r="N20" s="171"/>
      <c r="O20" s="26" t="s">
        <v>458</v>
      </c>
      <c r="P20" s="27"/>
      <c r="Q20" s="28"/>
      <c r="R20" s="28"/>
      <c r="S20" s="27"/>
      <c r="T20" s="27"/>
      <c r="U20" s="29"/>
      <c r="V20" s="192" t="s">
        <v>790</v>
      </c>
      <c r="W20" s="193"/>
    </row>
    <row r="21" spans="1:23" ht="15.75" thickTop="1" x14ac:dyDescent="0.25">
      <c r="A21" s="176"/>
      <c r="B21" s="177"/>
      <c r="C21" s="177"/>
      <c r="D21" s="177"/>
      <c r="E21" s="180"/>
      <c r="F21" s="119" t="s">
        <v>254</v>
      </c>
      <c r="G21" s="120"/>
      <c r="H21" s="4" t="str">
        <f>IFERROR(VLOOKUP(F21,Abilities,4,FALSE),"")</f>
        <v>LW2</v>
      </c>
      <c r="I21" s="121" t="s">
        <v>962</v>
      </c>
      <c r="J21" s="120"/>
      <c r="K21" s="35" t="str">
        <f>IFERROR(VLOOKUP(I21,Abilities,4,FALSE),"")</f>
        <v>BLANK</v>
      </c>
      <c r="L21" s="122" t="s">
        <v>429</v>
      </c>
      <c r="M21" s="120"/>
      <c r="N21" s="10" t="str">
        <f>IFERROR(VLOOKUP(L21,Abilities,4,FALSE),"")</f>
        <v>LW2</v>
      </c>
      <c r="O21" s="36" t="s">
        <v>459</v>
      </c>
      <c r="P21" s="37"/>
      <c r="Q21" s="37"/>
      <c r="R21" s="37"/>
      <c r="S21" s="37"/>
      <c r="T21" s="37"/>
      <c r="U21" s="38"/>
      <c r="V21" s="190" t="s">
        <v>791</v>
      </c>
      <c r="W21" s="191"/>
    </row>
    <row r="22" spans="1:23" ht="15.75" thickBot="1" x14ac:dyDescent="0.3">
      <c r="A22" s="181"/>
      <c r="B22" s="182"/>
      <c r="C22" s="182"/>
      <c r="D22" s="182"/>
      <c r="E22" s="183"/>
      <c r="F22" s="144">
        <f>IFERROR(VLOOKUP(F21,Abilities,7,FALSE),"")</f>
        <v>0</v>
      </c>
      <c r="G22" s="130"/>
      <c r="H22" s="131"/>
      <c r="I22" s="129" t="str">
        <f>IFERROR(VLOOKUP(I21,Abilities,7,FALSE),"")</f>
        <v xml:space="preserve"> </v>
      </c>
      <c r="J22" s="130"/>
      <c r="K22" s="131"/>
      <c r="L22" s="130">
        <f>IFERROR(VLOOKUP(L21,Abilities,7,FALSE),"")</f>
        <v>0</v>
      </c>
      <c r="M22" s="130"/>
      <c r="N22" s="135"/>
      <c r="O22" s="39" t="s">
        <v>460</v>
      </c>
      <c r="P22" s="40"/>
      <c r="Q22" s="41"/>
      <c r="R22" s="41"/>
      <c r="S22" s="40"/>
      <c r="T22" s="40"/>
      <c r="U22" s="42"/>
      <c r="V22" s="192" t="s">
        <v>792</v>
      </c>
      <c r="W22" s="193"/>
    </row>
    <row r="23" spans="1:23" ht="15.75" thickBot="1" x14ac:dyDescent="0.3">
      <c r="A23" s="184" t="s">
        <v>352</v>
      </c>
      <c r="B23" s="185"/>
      <c r="C23" s="185"/>
      <c r="D23" s="185"/>
      <c r="E23" s="186"/>
      <c r="F23" s="167"/>
      <c r="G23" s="147"/>
      <c r="H23" s="148"/>
      <c r="I23" s="146"/>
      <c r="J23" s="147"/>
      <c r="K23" s="148"/>
      <c r="L23" s="147"/>
      <c r="M23" s="147"/>
      <c r="N23" s="168"/>
      <c r="O23" s="14"/>
      <c r="P23" s="14"/>
      <c r="Q23" s="3"/>
      <c r="V23" s="190" t="s">
        <v>793</v>
      </c>
      <c r="W23" s="191"/>
    </row>
    <row r="24" spans="1:23" ht="18" thickBot="1" x14ac:dyDescent="0.35">
      <c r="A24" s="187"/>
      <c r="B24" s="188"/>
      <c r="C24" s="188"/>
      <c r="D24" s="188"/>
      <c r="E24" s="189"/>
      <c r="F24" s="169" t="s">
        <v>444</v>
      </c>
      <c r="G24" s="170"/>
      <c r="H24" s="170"/>
      <c r="I24" s="170"/>
      <c r="J24" s="170"/>
      <c r="K24" s="170"/>
      <c r="L24" s="170"/>
      <c r="M24" s="170"/>
      <c r="N24" s="171"/>
      <c r="O24" s="14"/>
      <c r="P24" s="14"/>
      <c r="Q24" s="3"/>
      <c r="V24" s="192" t="s">
        <v>794</v>
      </c>
      <c r="W24" s="193"/>
    </row>
    <row r="25" spans="1:23" ht="15.75" thickTop="1" x14ac:dyDescent="0.25">
      <c r="A25" s="50"/>
      <c r="B25" s="51"/>
      <c r="C25" s="51"/>
      <c r="D25" s="51"/>
      <c r="E25" s="52"/>
      <c r="F25" s="119" t="s">
        <v>14</v>
      </c>
      <c r="G25" s="120"/>
      <c r="H25" s="4" t="str">
        <f>IFERROR(VLOOKUP(F25,Abilities,4,FALSE),"")</f>
        <v>XCOM2</v>
      </c>
      <c r="I25" s="121" t="s">
        <v>962</v>
      </c>
      <c r="J25" s="120"/>
      <c r="K25" s="35" t="str">
        <f>IFERROR(VLOOKUP(I25,Abilities,4,FALSE),"")</f>
        <v>BLANK</v>
      </c>
      <c r="L25" s="122" t="s">
        <v>622</v>
      </c>
      <c r="M25" s="120"/>
      <c r="N25" s="10" t="str">
        <f>IFERROR(VLOOKUP(L25,Abilities,4,FALSE),"")</f>
        <v>SOLW</v>
      </c>
      <c r="O25" s="14"/>
      <c r="P25" s="14"/>
      <c r="Q25" s="3"/>
      <c r="V25" s="190" t="s">
        <v>795</v>
      </c>
      <c r="W25" s="191"/>
    </row>
    <row r="26" spans="1:23" x14ac:dyDescent="0.25">
      <c r="A26" s="50"/>
      <c r="B26" s="51"/>
      <c r="C26" s="51"/>
      <c r="D26" s="51"/>
      <c r="E26" s="52"/>
      <c r="F26" s="144" t="str">
        <f>IFERROR(VLOOKUP(F25,Abilities,7,FALSE),"")</f>
        <v>When the squad is revealed, this soldier remains concealed.</v>
      </c>
      <c r="G26" s="130"/>
      <c r="H26" s="131"/>
      <c r="I26" s="129" t="str">
        <f>IFERROR(VLOOKUP(I25,Abilities,7,FALSE),"")</f>
        <v xml:space="preserve"> </v>
      </c>
      <c r="J26" s="130"/>
      <c r="K26" s="131"/>
      <c r="L26" s="130" t="str">
        <f>IFERROR(VLOOKUP(L25,Abilities,7,FALSE),"")</f>
        <v>Once per turn, you get a free overwatch shot when your This One's Mine target moves or attacks.</v>
      </c>
      <c r="M26" s="130"/>
      <c r="N26" s="135"/>
      <c r="O26" s="14"/>
      <c r="P26" s="14"/>
      <c r="Q26" s="3"/>
      <c r="V26" s="190" t="s">
        <v>797</v>
      </c>
      <c r="W26" s="191"/>
    </row>
    <row r="27" spans="1:23" ht="15.75" thickBot="1" x14ac:dyDescent="0.3">
      <c r="A27" s="50"/>
      <c r="B27" s="51"/>
      <c r="C27" s="51"/>
      <c r="D27" s="51"/>
      <c r="E27" s="52"/>
      <c r="F27" s="167"/>
      <c r="G27" s="147"/>
      <c r="H27" s="148"/>
      <c r="I27" s="146"/>
      <c r="J27" s="147"/>
      <c r="K27" s="148"/>
      <c r="L27" s="147"/>
      <c r="M27" s="147"/>
      <c r="N27" s="168"/>
      <c r="O27" s="14"/>
      <c r="P27" s="14"/>
      <c r="Q27" s="3"/>
      <c r="V27" s="192" t="s">
        <v>798</v>
      </c>
      <c r="W27" s="193"/>
    </row>
    <row r="28" spans="1:23" ht="18" thickBot="1" x14ac:dyDescent="0.35">
      <c r="A28" s="50"/>
      <c r="B28" s="51"/>
      <c r="C28" s="51"/>
      <c r="D28" s="51"/>
      <c r="E28" s="52"/>
      <c r="F28" s="169" t="s">
        <v>445</v>
      </c>
      <c r="G28" s="170"/>
      <c r="H28" s="170"/>
      <c r="I28" s="170"/>
      <c r="J28" s="170"/>
      <c r="K28" s="170"/>
      <c r="L28" s="170"/>
      <c r="M28" s="170"/>
      <c r="N28" s="171"/>
      <c r="O28" s="14"/>
      <c r="P28" s="14"/>
      <c r="Q28" s="3"/>
      <c r="V28" s="190" t="s">
        <v>799</v>
      </c>
      <c r="W28" s="191"/>
    </row>
    <row r="29" spans="1:23" ht="15.75" thickTop="1" x14ac:dyDescent="0.25">
      <c r="A29" s="50"/>
      <c r="B29" s="51"/>
      <c r="C29" s="51"/>
      <c r="D29" s="51"/>
      <c r="E29" s="52"/>
      <c r="F29" s="119" t="s">
        <v>606</v>
      </c>
      <c r="G29" s="120"/>
      <c r="H29" s="4" t="str">
        <f>IFERROR(VLOOKUP(F29,Abilities,4,FALSE),"")</f>
        <v>SOLW</v>
      </c>
      <c r="I29" s="121" t="s">
        <v>962</v>
      </c>
      <c r="J29" s="120"/>
      <c r="K29" s="35" t="str">
        <f>IFERROR(VLOOKUP(I29,Abilities,4,FALSE),"")</f>
        <v>BLANK</v>
      </c>
      <c r="L29" s="122" t="s">
        <v>25</v>
      </c>
      <c r="M29" s="120"/>
      <c r="N29" s="10" t="str">
        <f>IFERROR(VLOOKUP(L29,Abilities,4,FALSE),"")</f>
        <v>XCOM2</v>
      </c>
      <c r="O29" s="14"/>
      <c r="P29" s="14"/>
      <c r="Q29" s="3"/>
      <c r="V29" s="190" t="s">
        <v>825</v>
      </c>
      <c r="W29" s="191"/>
    </row>
    <row r="30" spans="1:23" x14ac:dyDescent="0.25">
      <c r="A30" s="50"/>
      <c r="B30" s="51"/>
      <c r="C30" s="51"/>
      <c r="D30" s="51"/>
      <c r="E30" s="52"/>
      <c r="F30" s="144" t="str">
        <f>IFERROR(VLOOKUP(F29,Abilities,7,FALSE),"")</f>
        <v>Fire a shot that deals critical damage and gives the target penalties to Aim, Defense, and Will. &lt;Ability:SelfCooldown/&gt; turn cooldown.</v>
      </c>
      <c r="G30" s="130"/>
      <c r="H30" s="131"/>
      <c r="I30" s="129" t="str">
        <f>IFERROR(VLOOKUP(I29,Abilities,7,FALSE),"")</f>
        <v xml:space="preserve"> </v>
      </c>
      <c r="J30" s="130"/>
      <c r="K30" s="131"/>
      <c r="L30" s="130" t="str">
        <f>IFERROR(VLOOKUP(L29,Abilities,7,FALSE),"")</f>
        <v>Immediately enter concealment once per mission.</v>
      </c>
      <c r="M30" s="130"/>
      <c r="N30" s="135"/>
      <c r="O30" s="14"/>
      <c r="P30" s="14"/>
      <c r="Q30" s="3"/>
      <c r="V30" s="190" t="s">
        <v>819</v>
      </c>
      <c r="W30" s="191"/>
    </row>
    <row r="31" spans="1:23" ht="15.75" thickBot="1" x14ac:dyDescent="0.3">
      <c r="A31" s="50"/>
      <c r="B31" s="51"/>
      <c r="C31" s="51"/>
      <c r="D31" s="51"/>
      <c r="E31" s="52"/>
      <c r="F31" s="167"/>
      <c r="G31" s="147"/>
      <c r="H31" s="148"/>
      <c r="I31" s="146"/>
      <c r="J31" s="147"/>
      <c r="K31" s="148"/>
      <c r="L31" s="147"/>
      <c r="M31" s="147"/>
      <c r="N31" s="168"/>
      <c r="O31" s="14"/>
      <c r="P31" s="14"/>
      <c r="Q31" s="3"/>
      <c r="V31" s="192" t="s">
        <v>820</v>
      </c>
      <c r="W31" s="193"/>
    </row>
    <row r="32" spans="1:23" ht="18" thickBot="1" x14ac:dyDescent="0.35">
      <c r="A32" s="50"/>
      <c r="B32" s="51"/>
      <c r="C32" s="51"/>
      <c r="D32" s="51"/>
      <c r="E32" s="52"/>
      <c r="F32" s="169" t="s">
        <v>446</v>
      </c>
      <c r="G32" s="170"/>
      <c r="H32" s="170"/>
      <c r="I32" s="170"/>
      <c r="J32" s="170"/>
      <c r="K32" s="170"/>
      <c r="L32" s="170"/>
      <c r="M32" s="170"/>
      <c r="N32" s="171"/>
      <c r="O32" s="14"/>
      <c r="P32" s="14"/>
      <c r="Q32" s="3"/>
      <c r="V32" s="192" t="s">
        <v>815</v>
      </c>
      <c r="W32" s="193"/>
    </row>
    <row r="33" spans="1:23" ht="15.75" thickTop="1" x14ac:dyDescent="0.25">
      <c r="A33" s="50"/>
      <c r="B33" s="51"/>
      <c r="C33" s="51"/>
      <c r="D33" s="51"/>
      <c r="E33" s="52"/>
      <c r="F33" s="121" t="s">
        <v>962</v>
      </c>
      <c r="G33" s="120"/>
      <c r="H33" s="4" t="str">
        <f>IFERROR(VLOOKUP(F33,Abilities,4,FALSE),"")</f>
        <v>BLANK</v>
      </c>
      <c r="I33" s="121" t="s">
        <v>350</v>
      </c>
      <c r="J33" s="120"/>
      <c r="K33" s="35" t="str">
        <f>IFERROR(VLOOKUP(I33,Abilities,4,FALSE),"")</f>
        <v>LW2</v>
      </c>
      <c r="L33" s="121" t="s">
        <v>962</v>
      </c>
      <c r="M33" s="120"/>
      <c r="N33" s="10" t="str">
        <f>IFERROR(VLOOKUP(L33,Abilities,4,FALSE),"")</f>
        <v>BLANK</v>
      </c>
      <c r="O33" s="14"/>
      <c r="P33" s="14"/>
      <c r="Q33" s="3"/>
      <c r="V33" s="192" t="s">
        <v>822</v>
      </c>
      <c r="W33" s="193"/>
    </row>
    <row r="34" spans="1:23" x14ac:dyDescent="0.25">
      <c r="A34" s="50"/>
      <c r="B34" s="51"/>
      <c r="C34" s="51"/>
      <c r="D34" s="51"/>
      <c r="E34" s="52"/>
      <c r="F34" s="144" t="str">
        <f>IFERROR(VLOOKUP(F33,Abilities,7,FALSE),"")</f>
        <v xml:space="preserve"> </v>
      </c>
      <c r="G34" s="130"/>
      <c r="H34" s="131"/>
      <c r="I34" s="129">
        <f>IFERROR(VLOOKUP(I33,Abilities,7,FALSE),"")</f>
        <v>0</v>
      </c>
      <c r="J34" s="130"/>
      <c r="K34" s="131"/>
      <c r="L34" s="130" t="str">
        <f>IFERROR(VLOOKUP(L33,Abilities,7,FALSE),"")</f>
        <v xml:space="preserve"> </v>
      </c>
      <c r="M34" s="130"/>
      <c r="N34" s="135"/>
      <c r="O34" s="14"/>
      <c r="P34" s="14"/>
      <c r="Q34" s="3"/>
      <c r="V34" s="190" t="s">
        <v>816</v>
      </c>
      <c r="W34" s="191"/>
    </row>
    <row r="35" spans="1:23" ht="15.75" thickBot="1" x14ac:dyDescent="0.3">
      <c r="A35" s="50"/>
      <c r="B35" s="51"/>
      <c r="C35" s="51"/>
      <c r="D35" s="51"/>
      <c r="E35" s="52"/>
      <c r="F35" s="167"/>
      <c r="G35" s="147"/>
      <c r="H35" s="148"/>
      <c r="I35" s="146"/>
      <c r="J35" s="147"/>
      <c r="K35" s="148"/>
      <c r="L35" s="147"/>
      <c r="M35" s="147"/>
      <c r="N35" s="168"/>
      <c r="O35" s="14"/>
      <c r="P35" s="14"/>
      <c r="Q35" s="3"/>
      <c r="V35" s="194" t="s">
        <v>888</v>
      </c>
      <c r="W35" s="195"/>
    </row>
    <row r="36" spans="1:23" ht="18" thickBot="1" x14ac:dyDescent="0.35">
      <c r="A36" s="50"/>
      <c r="B36" s="51"/>
      <c r="C36" s="51"/>
      <c r="D36" s="51"/>
      <c r="E36" s="52"/>
      <c r="F36" s="169" t="s">
        <v>447</v>
      </c>
      <c r="G36" s="170"/>
      <c r="H36" s="170"/>
      <c r="I36" s="170"/>
      <c r="J36" s="170"/>
      <c r="K36" s="170"/>
      <c r="L36" s="170"/>
      <c r="M36" s="170"/>
      <c r="N36" s="171"/>
    </row>
    <row r="37" spans="1:23" ht="15.75" thickTop="1" x14ac:dyDescent="0.25">
      <c r="A37" s="50"/>
      <c r="B37" s="51"/>
      <c r="C37" s="51"/>
      <c r="D37" s="51"/>
      <c r="E37" s="52"/>
      <c r="F37" s="119" t="s">
        <v>71</v>
      </c>
      <c r="G37" s="120"/>
      <c r="H37" s="4" t="str">
        <f>IFERROR(VLOOKUP(F37,Abilities,4,FALSE),"")</f>
        <v>XCOM2</v>
      </c>
      <c r="I37" s="121" t="s">
        <v>962</v>
      </c>
      <c r="J37" s="120"/>
      <c r="K37" s="35" t="str">
        <f>IFERROR(VLOOKUP(I37,Abilities,4,FALSE),"")</f>
        <v>BLANK</v>
      </c>
      <c r="L37" s="122" t="s">
        <v>431</v>
      </c>
      <c r="M37" s="120"/>
      <c r="N37" s="10" t="str">
        <f>IFERROR(VLOOKUP(L37,Abilities,4,FALSE),"")</f>
        <v>LW2</v>
      </c>
    </row>
    <row r="38" spans="1:23" x14ac:dyDescent="0.25">
      <c r="A38" s="50"/>
      <c r="B38" s="51"/>
      <c r="C38" s="51"/>
      <c r="D38" s="51"/>
      <c r="E38" s="52"/>
      <c r="F38" s="144" t="str">
        <f>IFERROR(VLOOKUP(F37,Abilities,7,FALSE),"")</f>
        <v>Take a reaction shot against any enemy that moves or attacks within a cone of fire. 3 turn cooldown.</v>
      </c>
      <c r="G38" s="130"/>
      <c r="H38" s="131"/>
      <c r="I38" s="129" t="str">
        <f>IFERROR(VLOOKUP(I37,Abilities,7,FALSE),"")</f>
        <v xml:space="preserve"> </v>
      </c>
      <c r="J38" s="130"/>
      <c r="K38" s="131"/>
      <c r="L38" s="130">
        <f>IFERROR(VLOOKUP(L37,Abilities,7,FALSE),"")</f>
        <v>0</v>
      </c>
      <c r="M38" s="130"/>
      <c r="N38" s="135"/>
    </row>
    <row r="39" spans="1:23" ht="15.75" thickBot="1" x14ac:dyDescent="0.3">
      <c r="A39" s="53"/>
      <c r="B39" s="54"/>
      <c r="C39" s="54"/>
      <c r="D39" s="54"/>
      <c r="E39" s="55"/>
      <c r="F39" s="167"/>
      <c r="G39" s="147"/>
      <c r="H39" s="148"/>
      <c r="I39" s="146"/>
      <c r="J39" s="147"/>
      <c r="K39" s="148"/>
      <c r="L39" s="147"/>
      <c r="M39" s="147"/>
      <c r="N39" s="168"/>
    </row>
    <row r="40" spans="1:23" ht="15" customHeight="1" x14ac:dyDescent="0.25">
      <c r="A40" s="86" t="s">
        <v>1200</v>
      </c>
      <c r="B40" s="86"/>
      <c r="C40" s="88" t="str">
        <f>SUBSTITUTE(C1," ","")</f>
        <v>Sharpshooter</v>
      </c>
      <c r="D40" s="88"/>
      <c r="E40" s="88"/>
      <c r="F40" s="238"/>
      <c r="G40" s="238"/>
      <c r="H40" s="237"/>
      <c r="I40" s="237"/>
      <c r="J40" s="237"/>
    </row>
    <row r="41" spans="1:23" ht="15" customHeight="1" thickBot="1" x14ac:dyDescent="0.3">
      <c r="A41" s="87"/>
      <c r="B41" s="87"/>
      <c r="C41" s="89"/>
      <c r="D41" s="89"/>
      <c r="E41" s="89"/>
      <c r="F41" s="239"/>
      <c r="G41" s="239"/>
      <c r="H41" s="237"/>
      <c r="I41" s="237"/>
      <c r="J41" s="237"/>
    </row>
    <row r="42" spans="1:23" ht="16.5" thickBot="1" x14ac:dyDescent="0.3">
      <c r="A42" s="242" t="s">
        <v>339</v>
      </c>
      <c r="B42" s="244"/>
      <c r="C42" s="253" t="s">
        <v>342</v>
      </c>
      <c r="D42" s="247"/>
      <c r="E42" s="251" t="s">
        <v>343</v>
      </c>
      <c r="F42" s="250"/>
      <c r="G42" s="234"/>
      <c r="H42" s="235"/>
      <c r="I42" s="235"/>
      <c r="J42" s="235"/>
    </row>
    <row r="43" spans="1:23" x14ac:dyDescent="0.25">
      <c r="A43" s="243" t="str">
        <f ca="1">"; "&amp;INDIRECT("C1")&amp;" class data"</f>
        <v>; Sharpshooter class data</v>
      </c>
      <c r="B43" s="234" t="s">
        <v>340</v>
      </c>
      <c r="C43" s="254" t="str">
        <f ca="1">"; "&amp;INDIRECT("C1")&amp;" class loadout"</f>
        <v>; Sharpshooter class loadout</v>
      </c>
      <c r="D43" s="234" t="s">
        <v>340</v>
      </c>
      <c r="E43" s="252" t="str">
        <f ca="1">"["&amp;INDIRECT("C3")&amp;" X2SoldierClassTemplate]"</f>
        <v>[LWD_Sharpshooter X2SoldierClassTemplate]</v>
      </c>
      <c r="F43" s="234" t="s">
        <v>340</v>
      </c>
      <c r="G43" s="234"/>
      <c r="H43" s="235"/>
      <c r="I43" s="235"/>
      <c r="J43" s="235"/>
    </row>
    <row r="44" spans="1:23" x14ac:dyDescent="0.25">
      <c r="A44" s="240"/>
      <c r="B44" s="234"/>
      <c r="C44" s="245"/>
      <c r="D44" s="234" t="s">
        <v>340</v>
      </c>
      <c r="E44" s="248" t="str">
        <f ca="1">"+DisplayName="""&amp;INDIRECT("C1")&amp;""""</f>
        <v>+DisplayName="Sharpshooter"</v>
      </c>
      <c r="F44" s="234" t="s">
        <v>340</v>
      </c>
      <c r="G44" s="234"/>
      <c r="H44" s="235"/>
      <c r="I44" s="235"/>
      <c r="J44" s="235"/>
    </row>
    <row r="45" spans="1:23" x14ac:dyDescent="0.25">
      <c r="A45" s="240" t="str">
        <f>"[XComGame.X2SoldierClass_DefaultClasses]"</f>
        <v>[XComGame.X2SoldierClass_DefaultClasses]</v>
      </c>
      <c r="B45" s="234" t="s">
        <v>340</v>
      </c>
      <c r="C45" s="245" t="s">
        <v>341</v>
      </c>
      <c r="D45" s="234" t="s">
        <v>340</v>
      </c>
      <c r="E45" s="248" t="str">
        <f ca="1">"+ClassSummary="""&amp;INDIRECT("A20")&amp;""""</f>
        <v>+ClassSummary="Our Sharpshooters engage enemy targets with pinpoint accuracy from extreme range. They carry a holotargeter to mark enemies for execution."</v>
      </c>
      <c r="F45" s="234" t="s">
        <v>340</v>
      </c>
      <c r="G45" s="234"/>
      <c r="H45" s="235"/>
      <c r="I45" s="235"/>
      <c r="J45" s="235"/>
    </row>
    <row r="46" spans="1:23" x14ac:dyDescent="0.25">
      <c r="A46" s="240" t="str">
        <f ca="1">"+SoldierClasses="&amp;INDIRECT("C3")</f>
        <v>+SoldierClasses=LWD_Sharpshooter</v>
      </c>
      <c r="B46" s="234" t="s">
        <v>340</v>
      </c>
      <c r="C46" s="245"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+Loadouts=(LoadoutName="SquaddieLWD_Sharpshooter", Items[0]=(Item="SniperRifle_CV"), Items[1]=(Item="Holotargeter_CV"))</v>
      </c>
      <c r="D46" s="234" t="s">
        <v>340</v>
      </c>
      <c r="E46" s="248" t="str">
        <f ca="1">"+LeftAbilityTreeTitle="""&amp;INDIRECT("F11")&amp;""""</f>
        <v>+LeftAbilityTreeTitle="Sniper"</v>
      </c>
      <c r="F46" s="234" t="s">
        <v>340</v>
      </c>
      <c r="G46" s="234"/>
      <c r="H46" s="235"/>
      <c r="I46" s="234"/>
      <c r="J46" s="234"/>
    </row>
    <row r="47" spans="1:23" x14ac:dyDescent="0.25">
      <c r="A47" s="240"/>
      <c r="B47" s="234" t="s">
        <v>340</v>
      </c>
      <c r="C47" s="245"/>
      <c r="D47" s="234" t="s">
        <v>340</v>
      </c>
      <c r="E47" s="248" t="str">
        <f ca="1">"+RightAbilityTreeTitle="""&amp;INDIRECT("L11")&amp;""""</f>
        <v>+RightAbilityTreeTitle="Deadeye"</v>
      </c>
      <c r="F47" s="234" t="s">
        <v>340</v>
      </c>
      <c r="G47" s="234"/>
      <c r="H47" s="235"/>
      <c r="I47" s="234"/>
      <c r="J47" s="234"/>
    </row>
    <row r="48" spans="1:23" x14ac:dyDescent="0.25">
      <c r="A48" s="240" t="str">
        <f ca="1">"["&amp;INDIRECT("C3")&amp;" X2SoldierClassTemplate]"</f>
        <v>[LWD_Sharpshooter X2SoldierClassTemplate]</v>
      </c>
      <c r="B48" s="234" t="s">
        <v>340</v>
      </c>
      <c r="C48" s="245" t="s">
        <v>351</v>
      </c>
      <c r="D48" s="234" t="s">
        <v>340</v>
      </c>
      <c r="E48" s="248" t="str">
        <f>"; Nicknames"</f>
        <v>; Nicknames</v>
      </c>
      <c r="F48" s="234" t="s">
        <v>340</v>
      </c>
      <c r="G48" s="234"/>
      <c r="H48" s="234"/>
      <c r="I48" s="234"/>
      <c r="J48" s="234"/>
    </row>
    <row r="49" spans="1:10" ht="15.75" thickBot="1" x14ac:dyDescent="0.3">
      <c r="A49" s="240" t="str">
        <f ca="1">"+bMultiplayerOnly="&amp;INDIRECT("E6")</f>
        <v>+bMultiplayerOnly=0</v>
      </c>
      <c r="B49" s="234" t="s">
        <v>340</v>
      </c>
      <c r="C49" s="246" t="str">
        <f ca="1">"+DEBUG_StartingSoldierClasses="""&amp;INDIRECT("C3")&amp;""""</f>
        <v>+DEBUG_StartingSoldierClasses="LWD_Sharpshooter"</v>
      </c>
      <c r="D49" s="234" t="s">
        <v>340</v>
      </c>
      <c r="E49" s="248" t="str">
        <f ca="1">IF(INDIRECT("V4")&lt;&gt;"","RandomNickNames[0]="""&amp;INDIRECT("V4")&amp;"""","")</f>
        <v>RandomNickNames[0]="Angel"</v>
      </c>
      <c r="F49" s="234" t="s">
        <v>340</v>
      </c>
      <c r="G49" s="234"/>
      <c r="H49" s="234"/>
      <c r="I49" s="234"/>
      <c r="J49" s="234"/>
    </row>
    <row r="50" spans="1:10" x14ac:dyDescent="0.25">
      <c r="A50" s="240" t="str">
        <f ca="1">"+ClassPoints="&amp;INDIRECT("E7")</f>
        <v>+ClassPoints=4</v>
      </c>
      <c r="B50" s="234" t="s">
        <v>340</v>
      </c>
      <c r="C50" s="234"/>
      <c r="D50" s="234"/>
      <c r="E50" s="248" t="str">
        <f ca="1">IF(INDIRECT("V5")&lt;&gt;"","RandomNickNames[1]="""&amp;INDIRECT("V5")&amp;"""","")</f>
        <v>RandomNickNames[1]="Bargain"</v>
      </c>
      <c r="F50" s="234" t="s">
        <v>340</v>
      </c>
      <c r="G50" s="234"/>
      <c r="H50" s="234"/>
      <c r="I50" s="234"/>
      <c r="J50" s="234"/>
    </row>
    <row r="51" spans="1:10" x14ac:dyDescent="0.25">
      <c r="A51" s="240" t="str">
        <f ca="1">"+IconImage="&amp;""""&amp;INDIRECT("E8")&amp;""""</f>
        <v>+IconImage="img:///UILibrary_Common.class_sharpshooter"</v>
      </c>
      <c r="B51" s="234" t="s">
        <v>340</v>
      </c>
      <c r="C51" s="234"/>
      <c r="D51" s="234"/>
      <c r="E51" s="248" t="str">
        <f ca="1">IF(INDIRECT("V6")&lt;&gt;"","RandomNickNames[2]="""&amp;INDIRECT("V6")&amp;"""","")</f>
        <v>RandomNickNames[2]="Beta"</v>
      </c>
      <c r="F51" s="234" t="s">
        <v>340</v>
      </c>
      <c r="G51" s="234"/>
      <c r="H51" s="234"/>
      <c r="I51" s="234"/>
      <c r="J51" s="234"/>
    </row>
    <row r="52" spans="1:10" x14ac:dyDescent="0.25">
      <c r="A52" s="240" t="str">
        <f ca="1">"+NumInForcedDeck="&amp;INDIRECT("E9")</f>
        <v>+NumInForcedDeck=1</v>
      </c>
      <c r="B52" s="234" t="s">
        <v>340</v>
      </c>
      <c r="C52" s="234"/>
      <c r="D52" s="234"/>
      <c r="E52" s="248" t="str">
        <f ca="1">IF(INDIRECT("V7")&lt;&gt;"","RandomNickNames[3]="""&amp;INDIRECT("V7")&amp;"""","")</f>
        <v>RandomNickNames[3]="Bishop"</v>
      </c>
      <c r="F52" s="234" t="s">
        <v>340</v>
      </c>
      <c r="G52" s="234"/>
      <c r="H52" s="234"/>
      <c r="I52" s="234"/>
      <c r="J52" s="234"/>
    </row>
    <row r="53" spans="1:10" x14ac:dyDescent="0.25">
      <c r="A53" s="240" t="str">
        <f ca="1">"+NumInDeck="&amp;INDIRECT("E10")</f>
        <v>+NumInDeck=4</v>
      </c>
      <c r="B53" s="234" t="s">
        <v>340</v>
      </c>
      <c r="C53" s="234"/>
      <c r="D53" s="234"/>
      <c r="E53" s="248" t="str">
        <f ca="1">IF(INDIRECT("V8")&lt;&gt;"","RandomNickNames[4]="""&amp;INDIRECT("V8")&amp;"""","")</f>
        <v>RandomNickNames[4]="Bones"</v>
      </c>
      <c r="F53" s="234" t="s">
        <v>340</v>
      </c>
      <c r="G53" s="234"/>
      <c r="H53" s="234"/>
      <c r="I53" s="234"/>
      <c r="J53" s="234"/>
    </row>
    <row r="54" spans="1:10" x14ac:dyDescent="0.25">
      <c r="A54" s="240" t="str">
        <f ca="1">"+KillAssistsPerKill="&amp;INDIRECT("E11")</f>
        <v>+KillAssistsPerKill=5</v>
      </c>
      <c r="B54" s="234" t="s">
        <v>340</v>
      </c>
      <c r="C54" s="234"/>
      <c r="D54" s="234"/>
      <c r="E54" s="248" t="str">
        <f ca="1">IF(INDIRECT("V9")&lt;&gt;"","RandomNickNames[5]="""&amp;INDIRECT("V9")&amp;"""","")</f>
        <v>RandomNickNames[5]="Breaker"</v>
      </c>
      <c r="F54" s="234" t="s">
        <v>340</v>
      </c>
      <c r="G54" s="234"/>
      <c r="H54" s="234"/>
      <c r="I54" s="234"/>
      <c r="J54" s="234"/>
    </row>
    <row r="55" spans="1:10" x14ac:dyDescent="0.25">
      <c r="A55" s="240" t="str">
        <f ca="1">"+SquaddieLoadout=Squaddie"&amp;INDIRECT("C3")</f>
        <v>+SquaddieLoadout=SquaddieLWD_Sharpshooter</v>
      </c>
      <c r="B55" s="234" t="s">
        <v>340</v>
      </c>
      <c r="C55" s="234"/>
      <c r="D55" s="234"/>
      <c r="E55" s="248" t="str">
        <f ca="1">IF(INDIRECT("V10")&lt;&gt;"","RandomNickNames[6]="""&amp;INDIRECT("V10")&amp;"""","")</f>
        <v>RandomNickNames[6]="Broker"</v>
      </c>
      <c r="F55" s="234" t="s">
        <v>340</v>
      </c>
      <c r="G55" s="234"/>
      <c r="H55" s="234"/>
      <c r="I55" s="234"/>
      <c r="J55" s="234"/>
    </row>
    <row r="56" spans="1:10" x14ac:dyDescent="0.25">
      <c r="A56" s="240" t="str">
        <f ca="1">";+bAllowAWCAbilities="&amp;INDIRECT("E12")&amp;" ; Not a thing in LW2"</f>
        <v>;+bAllowAWCAbilities=1 ; Not a thing in LW2</v>
      </c>
      <c r="B56" s="234" t="s">
        <v>340</v>
      </c>
      <c r="C56" s="234"/>
      <c r="D56" s="234"/>
      <c r="E56" s="248" t="str">
        <f ca="1">IF(INDIRECT("V11")&lt;&gt;"","RandomNickNames[7]="""&amp;INDIRECT("V11")&amp;"""","")</f>
        <v>RandomNickNames[7]="Conquest"</v>
      </c>
      <c r="F56" s="234" t="s">
        <v>340</v>
      </c>
      <c r="G56" s="234"/>
      <c r="H56" s="234"/>
      <c r="I56" s="234"/>
      <c r="J56" s="234"/>
    </row>
    <row r="57" spans="1:10" x14ac:dyDescent="0.25">
      <c r="A57" s="240" t="str">
        <f ca="1">IF(INDIRECT("B5")=FALSE,";","")&amp;"+AllowedWeapons=(SlotType=eInvSlot_PrimaryWeapon, WeaponType=""rifle"")"</f>
        <v>;+AllowedWeapons=(SlotType=eInvSlot_PrimaryWeapon, WeaponType="rifle")</v>
      </c>
      <c r="B57" s="234" t="s">
        <v>340</v>
      </c>
      <c r="C57" s="234"/>
      <c r="D57" s="234"/>
      <c r="E57" s="248" t="str">
        <f ca="1">IF(INDIRECT("V12")&lt;&gt;"","RandomNickNames[8]="""&amp;INDIRECT("V12")&amp;"""","")</f>
        <v>RandomNickNames[8]="Last Rites"</v>
      </c>
      <c r="F57" s="234" t="s">
        <v>340</v>
      </c>
      <c r="G57" s="234"/>
      <c r="H57" s="234"/>
      <c r="I57" s="234"/>
      <c r="J57" s="234"/>
    </row>
    <row r="58" spans="1:10" x14ac:dyDescent="0.25">
      <c r="A58" s="240" t="str">
        <f ca="1">IF(INDIRECT("B6")=FALSE,";","")&amp;"+AllowedWeapons=(SlotType=eInvSlot_PrimaryWeapon, WeaponType=""cannon"")"</f>
        <v>;+AllowedWeapons=(SlotType=eInvSlot_PrimaryWeapon, WeaponType="cannon")</v>
      </c>
      <c r="B58" s="234" t="s">
        <v>340</v>
      </c>
      <c r="C58" s="234"/>
      <c r="D58" s="234"/>
      <c r="E58" s="248" t="str">
        <f ca="1">IF(INDIRECT("V13")&lt;&gt;"","RandomNickNames[9]="""&amp;INDIRECT("V13")&amp;"""","")</f>
        <v>RandomNickNames[9]="Doomtrain"</v>
      </c>
      <c r="F58" s="234" t="s">
        <v>340</v>
      </c>
      <c r="G58" s="234"/>
      <c r="H58" s="234"/>
      <c r="I58" s="234"/>
      <c r="J58" s="234"/>
    </row>
    <row r="59" spans="1:10" x14ac:dyDescent="0.25">
      <c r="A59" s="240" t="str">
        <f ca="1">IF(INDIRECT("B7")=FALSE,";","")&amp;"+AllowedWeapons=(SlotType=eInvSlot_PrimaryWeapon, WeaponType=""shotgun"")"</f>
        <v>;+AllowedWeapons=(SlotType=eInvSlot_PrimaryWeapon, WeaponType="shotgun")</v>
      </c>
      <c r="B59" s="234" t="s">
        <v>340</v>
      </c>
      <c r="C59" s="234"/>
      <c r="D59" s="234"/>
      <c r="E59" s="248" t="str">
        <f ca="1">IF(INDIRECT("V14")&lt;&gt;"","RandomNickNames[10]="""&amp;INDIRECT("V14")&amp;"""","")</f>
        <v>RandomNickNames[10]="Dr. Feelgood"</v>
      </c>
      <c r="F59" s="234" t="s">
        <v>340</v>
      </c>
      <c r="G59" s="234"/>
      <c r="H59" s="234"/>
      <c r="I59" s="234"/>
      <c r="J59" s="234"/>
    </row>
    <row r="60" spans="1:10" x14ac:dyDescent="0.25">
      <c r="A60" s="240" t="str">
        <f ca="1">IF(INDIRECT("B8")=FALSE,";","")&amp;"+AllowedWeapons=(SlotType=eInvSlot_PrimaryWeapon, WeaponType=""sniper_rifle"")"</f>
        <v>+AllowedWeapons=(SlotType=eInvSlot_PrimaryWeapon, WeaponType="sniper_rifle")</v>
      </c>
      <c r="B60" s="234" t="s">
        <v>340</v>
      </c>
      <c r="C60" s="234"/>
      <c r="D60" s="234"/>
      <c r="E60" s="248" t="str">
        <f ca="1">IF(INDIRECT("V15")&lt;&gt;"","RandomNickNames[11]="""&amp;INDIRECT("V15")&amp;"""","")</f>
        <v>RandomNickNames[11]="Famine"</v>
      </c>
      <c r="F60" s="234" t="s">
        <v>340</v>
      </c>
      <c r="G60" s="234"/>
      <c r="H60" s="234"/>
      <c r="I60" s="234"/>
      <c r="J60" s="234"/>
    </row>
    <row r="61" spans="1:10" x14ac:dyDescent="0.25">
      <c r="A61" s="240" t="str">
        <f ca="1">IF(INDIRECT("B9")=FALSE,";","")&amp;"+AllowedWeapons=(SlotType=eInvSlot_SecondaryWeapon, WeaponType=""gauntlet"")"</f>
        <v>;+AllowedWeapons=(SlotType=eInvSlot_SecondaryWeapon, WeaponType="gauntlet")</v>
      </c>
      <c r="B61" s="234" t="s">
        <v>340</v>
      </c>
      <c r="C61" s="234"/>
      <c r="D61" s="234"/>
      <c r="E61" s="248" t="str">
        <f ca="1">IF(INDIRECT("V16")&lt;&gt;"","RandomNickNames[12]="""&amp;INDIRECT("V16")&amp;"""","")</f>
        <v>RandomNickNames[12]="Feedback"</v>
      </c>
      <c r="F61" s="234" t="s">
        <v>340</v>
      </c>
      <c r="G61" s="234"/>
      <c r="H61" s="234"/>
      <c r="I61" s="234"/>
      <c r="J61" s="234"/>
    </row>
    <row r="62" spans="1:10" x14ac:dyDescent="0.25">
      <c r="A62" s="240" t="str">
        <f ca="1">IF(INDIRECT("B10")=FALSE,";","")&amp;"+AllowedWeapons=(SlotType=eInvSlot_SecondaryWeapon, WeaponType=""combatknife"")"</f>
        <v>;+AllowedWeapons=(SlotType=eInvSlot_SecondaryWeapon, WeaponType="combatknife")</v>
      </c>
      <c r="B62" s="234" t="s">
        <v>340</v>
      </c>
      <c r="C62" s="234"/>
      <c r="D62" s="234"/>
      <c r="E62" s="248" t="str">
        <f ca="1">IF(INDIRECT("V17")&lt;&gt;"","RandomNickNames[13]="""&amp;INDIRECT("V17")&amp;"""","")</f>
        <v>RandomNickNames[13]="Firewall"</v>
      </c>
      <c r="F62" s="234" t="s">
        <v>340</v>
      </c>
      <c r="G62" s="234"/>
      <c r="H62" s="234"/>
      <c r="I62" s="234"/>
      <c r="J62" s="234"/>
    </row>
    <row r="63" spans="1:10" x14ac:dyDescent="0.25">
      <c r="A63" s="240" t="str">
        <f ca="1">IF(INDIRECT("B11")=FALSE,";","")&amp;"+AllowedWeapons=(SlotType=eInvSlot_SecondaryWeapon, WeaponType=""grenade_launcher"")"</f>
        <v>;+AllowedWeapons=(SlotType=eInvSlot_SecondaryWeapon, WeaponType="grenade_launcher")</v>
      </c>
      <c r="B63" s="234" t="s">
        <v>340</v>
      </c>
      <c r="C63" s="234"/>
      <c r="D63" s="234"/>
      <c r="E63" s="248" t="str">
        <f ca="1">IF(INDIRECT("V18")&lt;&gt;"","RandomNickNames[14]="""&amp;INDIRECT("V18")&amp;"""","")</f>
        <v>RandomNickNames[14]="Genius"</v>
      </c>
      <c r="F63" s="234" t="s">
        <v>340</v>
      </c>
      <c r="G63" s="234"/>
      <c r="H63" s="234"/>
      <c r="I63" s="234"/>
      <c r="J63" s="234"/>
    </row>
    <row r="64" spans="1:10" x14ac:dyDescent="0.25">
      <c r="A64" s="240" t="str">
        <f ca="1">IF(INDIRECT("B12")=FALSE,";","")&amp;"+AllowedWeapons=(SlotType=eInvSlot_SecondaryWeapon, WeaponType=""gremlin"")"</f>
        <v>;+AllowedWeapons=(SlotType=eInvSlot_SecondaryWeapon, WeaponType="gremlin")</v>
      </c>
      <c r="B64" s="234" t="s">
        <v>340</v>
      </c>
      <c r="C64" s="234"/>
      <c r="D64" s="234"/>
      <c r="E64" s="248" t="str">
        <f ca="1">IF(INDIRECT("V19")&lt;&gt;"","RandomNickNames[15]="""&amp;INDIRECT("V19")&amp;"""","")</f>
        <v>RandomNickNames[15]="Gizmo"</v>
      </c>
      <c r="F64" s="234" t="s">
        <v>340</v>
      </c>
      <c r="G64" s="234"/>
      <c r="H64" s="234"/>
      <c r="I64" s="234"/>
      <c r="J64" s="234"/>
    </row>
    <row r="65" spans="1:10" x14ac:dyDescent="0.25">
      <c r="A65" s="240" t="str">
        <f ca="1">IF(INDIRECT("B13")=FALSE,";","")&amp;"+AllowedWeapons=(SlotType=eInvSlot_SecondaryWeapon, WeaponType=""sword"")"</f>
        <v>;+AllowedWeapons=(SlotType=eInvSlot_SecondaryWeapon, WeaponType="sword")</v>
      </c>
      <c r="B65" s="234" t="s">
        <v>340</v>
      </c>
      <c r="C65" s="234"/>
      <c r="D65" s="234"/>
      <c r="E65" s="248" t="str">
        <f ca="1">IF(INDIRECT("V20")&lt;&gt;"","RandomNickNames[16]="""&amp;INDIRECT("V20")&amp;"""","")</f>
        <v>RandomNickNames[16]="Jester"</v>
      </c>
      <c r="F65" s="234" t="s">
        <v>340</v>
      </c>
      <c r="G65" s="234"/>
      <c r="H65" s="234"/>
      <c r="I65" s="234"/>
      <c r="J65" s="234"/>
    </row>
    <row r="66" spans="1:10" x14ac:dyDescent="0.25">
      <c r="A66" s="240" t="str">
        <f ca="1">IF(INDIRECT("B14")=FALSE,";","")&amp;"+AllowedWeapons=(SlotType=eInvSlot_SecondaryWeapon, WeaponType=""sawedoffshotgun"")"</f>
        <v>;+AllowedWeapons=(SlotType=eInvSlot_SecondaryWeapon, WeaponType="sawedoffshotgun")</v>
      </c>
      <c r="B66" s="234" t="s">
        <v>340</v>
      </c>
      <c r="C66" s="234"/>
      <c r="D66" s="234"/>
      <c r="E66" s="248" t="str">
        <f ca="1">IF(INDIRECT("V21")&lt;&gt;"","RandomNickNames[17]="""&amp;INDIRECT("V21")&amp;"""","")</f>
        <v>RandomNickNames[17]="Jolt"</v>
      </c>
      <c r="F66" s="234" t="s">
        <v>340</v>
      </c>
      <c r="G66" s="234"/>
      <c r="H66" s="234"/>
      <c r="I66" s="234"/>
      <c r="J66" s="234"/>
    </row>
    <row r="67" spans="1:10" x14ac:dyDescent="0.25">
      <c r="A67" s="240" t="str">
        <f ca="1">IF(INDIRECT("B15")=FALSE,";","")&amp;"+AllowedWeapons=(SlotType=eInvSlot_SecondaryWeapon, WeaponType=""arcthrower"")"</f>
        <v>;+AllowedWeapons=(SlotType=eInvSlot_SecondaryWeapon, WeaponType="arcthrower")</v>
      </c>
      <c r="B67" s="234" t="s">
        <v>340</v>
      </c>
      <c r="C67" s="234"/>
      <c r="D67" s="234"/>
      <c r="E67" s="248" t="str">
        <f ca="1">IF(INDIRECT("V22")&lt;&gt;"","RandomNickNames[18]="""&amp;INDIRECT("V22")&amp;"""","")</f>
        <v>RandomNickNames[18]="Lightning"</v>
      </c>
      <c r="F67" s="234" t="s">
        <v>340</v>
      </c>
      <c r="G67" s="234"/>
      <c r="H67" s="234"/>
      <c r="I67" s="234"/>
      <c r="J67" s="234"/>
    </row>
    <row r="68" spans="1:10" x14ac:dyDescent="0.25">
      <c r="A68" s="240" t="str">
        <f ca="1">IF(INDIRECT("B16")=FALSE,";","")&amp;"+AllowedWeapons=(SlotType=eInvSlot_SecondaryWeapon, WeaponType=""holotargeter"")"</f>
        <v>+AllowedWeapons=(SlotType=eInvSlot_SecondaryWeapon, WeaponType="holotargeter")</v>
      </c>
      <c r="B68" s="234" t="s">
        <v>340</v>
      </c>
      <c r="C68" s="234"/>
      <c r="D68" s="234"/>
      <c r="E68" s="248" t="str">
        <f ca="1">IF(INDIRECT("V23")&lt;&gt;"","RandomNickNames[19]="""&amp;INDIRECT("V23")&amp;"""","")</f>
        <v>RandomNickNames[19]="Mayday"</v>
      </c>
      <c r="F68" s="234" t="s">
        <v>340</v>
      </c>
      <c r="G68" s="234"/>
      <c r="H68" s="234"/>
      <c r="I68" s="234"/>
      <c r="J68" s="234"/>
    </row>
    <row r="69" spans="1:10" x14ac:dyDescent="0.25">
      <c r="A69" s="240" t="str">
        <f ca="1">IF(INDIRECT("B17")=FALSE,";","")&amp;"+AllowedWeapons=(SlotType=eInvSlot_SecondaryWeapon, WeaponType=""psiamp"")"</f>
        <v>;+AllowedWeapons=(SlotType=eInvSlot_SecondaryWeapon, WeaponType="psiamp")</v>
      </c>
      <c r="B69" s="234" t="s">
        <v>340</v>
      </c>
      <c r="C69" s="234"/>
      <c r="D69" s="234"/>
      <c r="E69" s="248" t="str">
        <f ca="1">IF(INDIRECT("V24")&lt;&gt;"","RandomNickNames[20]="""&amp;INDIRECT("V24")&amp;"""","")</f>
        <v>RandomNickNames[20]="Mega"</v>
      </c>
      <c r="F69" s="234" t="s">
        <v>340</v>
      </c>
      <c r="G69" s="234"/>
      <c r="H69" s="234"/>
      <c r="I69" s="234"/>
      <c r="J69" s="234"/>
    </row>
    <row r="70" spans="1:10" x14ac:dyDescent="0.25">
      <c r="A70" s="240" t="str">
        <f ca="1">IF(INDIRECT("B9")=FALSE,";","")&amp;"+AllowedWeapons=(SlotType=eInvSlot_HeavyWeapon, WeaponType=""heavyammo"")"</f>
        <v>;+AllowedWeapons=(SlotType=eInvSlot_HeavyWeapon, WeaponType="heavyammo")</v>
      </c>
      <c r="B70" s="234" t="s">
        <v>340</v>
      </c>
      <c r="C70" s="234"/>
      <c r="D70" s="234"/>
      <c r="E70" s="248" t="str">
        <f ca="1">IF(INDIRECT("V25")&lt;&gt;"","RandomNickNames[21]="""&amp;INDIRECT("V25")&amp;"""","")</f>
        <v>RandomNickNames[21]="Newton"</v>
      </c>
      <c r="F70" s="234" t="s">
        <v>340</v>
      </c>
      <c r="G70" s="234"/>
      <c r="H70" s="234"/>
      <c r="I70" s="234"/>
      <c r="J70" s="234"/>
    </row>
    <row r="71" spans="1:10" x14ac:dyDescent="0.25">
      <c r="A71" s="240" t="str">
        <f ca="1">IF(INDIRECT("B9")=TRUE,";","")&amp;"+AllowedWeapons=(SlotType=eInvSlot_HeavyWeapon, WeaponType=""heavy"")"</f>
        <v>+AllowedWeapons=(SlotType=eInvSlot_HeavyWeapon, WeaponType="heavy")</v>
      </c>
      <c r="B71" s="234" t="s">
        <v>340</v>
      </c>
      <c r="C71" s="234"/>
      <c r="D71" s="234"/>
      <c r="E71" s="248" t="str">
        <f ca="1">IF(INDIRECT("V26")&lt;&gt;"","RandomNickNames[22]="""&amp;INDIRECT("V26")&amp;"""","")</f>
        <v>RandomNickNames[22]="Ragtime"</v>
      </c>
      <c r="F71" s="234" t="s">
        <v>340</v>
      </c>
      <c r="G71" s="234"/>
      <c r="H71" s="234"/>
      <c r="I71" s="234"/>
      <c r="J71" s="234"/>
    </row>
    <row r="72" spans="1:10" x14ac:dyDescent="0.25">
      <c r="A72" s="240" t="str">
        <f ca="1">"+AllowedArmors="&amp;INDIRECT("E13")</f>
        <v>+AllowedArmors=soldier</v>
      </c>
      <c r="B72" s="234" t="s">
        <v>340</v>
      </c>
      <c r="C72" s="234"/>
      <c r="D72" s="234"/>
      <c r="E72" s="248" t="str">
        <f ca="1">IF(INDIRECT("V27")&lt;&gt;"","RandomNickNames[23]="""&amp;INDIRECT("V27")&amp;"""","")</f>
        <v>RandomNickNames[23]="Rascal"</v>
      </c>
      <c r="F72" s="234" t="s">
        <v>340</v>
      </c>
      <c r="G72" s="234"/>
      <c r="H72" s="234"/>
      <c r="I72" s="234"/>
      <c r="J72" s="234"/>
    </row>
    <row r="73" spans="1:10" x14ac:dyDescent="0.25">
      <c r="A73" s="240" t="str">
        <f>"; squaddie"</f>
        <v>; squaddie</v>
      </c>
      <c r="B73" s="234" t="s">
        <v>340</v>
      </c>
      <c r="C73" s="234"/>
      <c r="D73" s="234"/>
      <c r="E73" s="248" t="str">
        <f ca="1">IF(INDIRECT("V28")&lt;&gt;"","RandomNickNames[24]="""&amp;INDIRECT("V28")&amp;"""","")</f>
        <v>RandomNickNames[24]="Rattler"</v>
      </c>
      <c r="F73" s="234" t="s">
        <v>340</v>
      </c>
      <c r="G73" s="234"/>
      <c r="H73" s="234"/>
      <c r="I73" s="234"/>
      <c r="J73" s="234"/>
    </row>
    <row r="74" spans="1:10" x14ac:dyDescent="0.25">
      <c r="A74" s="240" t="str">
        <f ca="1">"+SoldierRanks=(  aAbilityTree=( (AbilityName="""&amp;VLOOKUP(INDIRECT("F4"),Abilities,2,FALSE)&amp;""""&amp;IF(VLOOKUP(INDIRECT("F4"),Abilities,3,FALSE)="","",", ApplyToWeaponSlot=eInvSlot_"&amp;VLOOKUP(INDIRECT("F4"),Abilities,3,FALSE))&amp;"), \\"</f>
        <v>+SoldierRanks=(  aAbilityTree=( (AbilityName="Holotargeting", ApplyToWeaponSlot=eInvSlot_PrimaryWeapon), \\</v>
      </c>
      <c r="B74" s="234" t="s">
        <v>340</v>
      </c>
      <c r="C74" s="234"/>
      <c r="D74" s="234"/>
      <c r="E74" s="248" t="str">
        <f ca="1">IF(INDIRECT("V29")&lt;&gt;"","RandomNickNames[25]="""&amp;INDIRECT("V29")&amp;"""","")</f>
        <v>RandomNickNames[25]="Revelation"</v>
      </c>
      <c r="F74" s="234" t="s">
        <v>340</v>
      </c>
      <c r="G74" s="234"/>
      <c r="H74" s="234"/>
      <c r="I74" s="234"/>
      <c r="J74" s="234"/>
    </row>
    <row r="75" spans="1:10" x14ac:dyDescent="0.25">
      <c r="A75" s="240" t="str">
        <f ca="1">IF(INDIRECT("I4")="","\\","(AbilityName="""&amp;VLOOKUP(INDIRECT("I4"),Abilities,2,FALSE)&amp;""""&amp;IF(VLOOKUP(INDIRECT("I4"),Abilities,3,FALSE)="","",", ApplyToWeaponSlot=eInvSlot_"&amp;VLOOKUP(INDIRECT("I4"),Abilities,3,FALSE))&amp;"), \\")</f>
        <v>(AbilityName="Squadsight"), \\</v>
      </c>
      <c r="B75" s="234" t="s">
        <v>340</v>
      </c>
      <c r="C75" s="234"/>
      <c r="D75" s="234"/>
      <c r="E75" s="248" t="str">
        <f ca="1">IF(INDIRECT("V30")&lt;&gt;"","RandomNickNames[26]="""&amp;INDIRECT("V30")&amp;"""","")</f>
        <v>RandomNickNames[26]="Skipper"</v>
      </c>
      <c r="F75" s="234" t="s">
        <v>340</v>
      </c>
      <c r="G75" s="234"/>
      <c r="H75" s="234"/>
      <c r="I75" s="234"/>
      <c r="J75" s="234"/>
    </row>
    <row r="76" spans="1:10" x14ac:dyDescent="0.25">
      <c r="A76" s="240" t="str">
        <f ca="1">IF(INDIRECT("L4")="","\\","(AbilityName="""&amp;VLOOKUP(INDIRECT("L4"),Abilities,2,FALSE)&amp;""""&amp;IF(VLOOKUP(INDIRECT("L4"),Abilities,3,FALSE)="","",", ApplyToWeaponSlot=eInvSlot_"&amp;VLOOKUP(INDIRECT("L4"),Abilities,3,FALSE))&amp;"), \\")</f>
        <v>\\</v>
      </c>
      <c r="B76" s="234" t="s">
        <v>340</v>
      </c>
      <c r="C76" s="234"/>
      <c r="D76" s="234"/>
      <c r="E76" s="248" t="str">
        <f ca="1">IF(INDIRECT("V31")&lt;&gt;"","RandomNickNames[27]="""&amp;INDIRECT("V31")&amp;"""","")</f>
        <v>RandomNickNames[27]="Thunder"</v>
      </c>
      <c r="F76" s="234" t="s">
        <v>340</v>
      </c>
      <c r="G76" s="234"/>
      <c r="H76" s="234"/>
      <c r="I76" s="234"/>
      <c r="J76" s="234"/>
    </row>
    <row r="77" spans="1:10" x14ac:dyDescent="0.25">
      <c r="A77" s="240" t="str">
        <f ca="1">IF(INDIRECT("F7")="","\\","(AbilityName="""&amp;VLOOKUP(INDIRECT("F7"),Abilities,2,FALSE)&amp;""""&amp;IF(VLOOKUP(INDIRECT("F7"),Abilities,3,FALSE)="","",", ApplyToWeaponSlot=eInvSlot_"&amp;VLOOKUP(INDIRECT("F7"),Abilities,3,FALSE))&amp;"), \\")</f>
        <v>\\</v>
      </c>
      <c r="B77" s="234" t="s">
        <v>340</v>
      </c>
      <c r="C77" s="234"/>
      <c r="D77" s="234"/>
      <c r="E77" s="248" t="str">
        <f ca="1">IF(INDIRECT("V32")&lt;&gt;"","RandomNickNames[28]="""&amp;INDIRECT("V32")&amp;"""","")</f>
        <v>RandomNickNames[28]="Undertaker"</v>
      </c>
      <c r="F77" s="234" t="s">
        <v>340</v>
      </c>
      <c r="G77" s="234"/>
      <c r="H77" s="234"/>
      <c r="I77" s="234"/>
      <c r="J77" s="234"/>
    </row>
    <row r="78" spans="1:10" x14ac:dyDescent="0.25">
      <c r="A78" s="240" t="str">
        <f ca="1">IF(INDIRECT("I7")="","\\","(AbilityName="""&amp;VLOOKUP(INDIRECT("I7"),Abilities,2,FALSE)&amp;""""&amp;IF(VLOOKUP(INDIRECT("I7"),Abilities,3,FALSE)="","",", ApplyToWeaponSlot=eInvSlot_"&amp;VLOOKUP(INDIRECT("I7"),Abilities,3,FALSE))&amp;"), \\")</f>
        <v>\\</v>
      </c>
      <c r="B78" s="234" t="s">
        <v>340</v>
      </c>
      <c r="C78" s="234"/>
      <c r="D78" s="234"/>
      <c r="E78" s="248" t="str">
        <f ca="1">IF(INDIRECT("V33")&lt;&gt;"","RandomNickNames[29]="""&amp;INDIRECT("V33")&amp;"""","")</f>
        <v>RandomNickNames[29]="War"</v>
      </c>
      <c r="F78" s="234" t="s">
        <v>340</v>
      </c>
      <c r="G78" s="234"/>
      <c r="H78" s="234"/>
      <c r="I78" s="234"/>
      <c r="J78" s="234"/>
    </row>
    <row r="79" spans="1:10" x14ac:dyDescent="0.25">
      <c r="A79" s="240" t="str">
        <f ca="1">IF(INDIRECT("L7")="","\\","(AbilityName="""&amp;VLOOKUP(INDIRECT("L7"),Abilities,2,FALSE)&amp;""""&amp;IF(VLOOKUP(INDIRECT("L7"),Abilities,3,FALSE)="","",", ApplyToWeaponSlot=eInvSlot_"&amp;VLOOKUP(INDIRECT("L7"),Abilities,3,FALSE))&amp;"), \\")</f>
        <v>\\</v>
      </c>
      <c r="B79" s="234" t="s">
        <v>340</v>
      </c>
      <c r="C79" s="234"/>
      <c r="D79" s="234"/>
      <c r="E79" s="248" t="str">
        <f ca="1">IF(INDIRECT("V34")&lt;&gt;"","RandomNickNames[30]="""&amp;INDIRECT("V34")&amp;"""","")</f>
        <v>RandomNickNames[30]="Whoopsie"</v>
      </c>
      <c r="F79" s="234" t="s">
        <v>340</v>
      </c>
      <c r="G79" s="234"/>
      <c r="H79" s="234"/>
      <c r="I79" s="234"/>
      <c r="J79" s="234"/>
    </row>
    <row r="80" spans="1:10" x14ac:dyDescent="0.25">
      <c r="A80" s="240" t="s">
        <v>337</v>
      </c>
      <c r="B80" s="234" t="s">
        <v>340</v>
      </c>
      <c r="C80" s="234"/>
      <c r="D80" s="234"/>
      <c r="E80" s="248" t="str">
        <f ca="1">IF(INDIRECT("V35")&lt;&gt;"","RandomNickNames[31]="""&amp;INDIRECT("V35")&amp;"""","")</f>
        <v>RandomNickNames[31]="Pick'em"</v>
      </c>
      <c r="F80" s="234" t="s">
        <v>340</v>
      </c>
      <c r="G80" s="234"/>
      <c r="H80" s="234"/>
      <c r="I80" s="234"/>
      <c r="J80" s="234"/>
    </row>
    <row r="81" spans="1:10" x14ac:dyDescent="0.25">
      <c r="A81" s="240"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aStatProgression=((StatType=eStat_Offense,StatAmount=4), (StatType=eStat_HP,StatAmount=0), (StatType=eStat_Hacking,StatAmount=0), (StatType=eStat_CombatSims,StatAmount=1), (StatType=eStat_Will,StatAmount=3)),\\</v>
      </c>
      <c r="B81" s="234" t="s">
        <v>340</v>
      </c>
      <c r="C81" s="234"/>
      <c r="D81" s="234"/>
      <c r="E81" s="248" t="str">
        <f>"; Male Nicknames"</f>
        <v>; Male Nicknames</v>
      </c>
      <c r="F81" s="234" t="s">
        <v>340</v>
      </c>
      <c r="G81" s="234"/>
      <c r="H81" s="234"/>
      <c r="I81" s="234"/>
      <c r="J81" s="234"/>
    </row>
    <row r="82" spans="1:10" x14ac:dyDescent="0.25">
      <c r="A82" s="240" t="s">
        <v>338</v>
      </c>
      <c r="B82" s="234" t="s">
        <v>340</v>
      </c>
      <c r="C82" s="234"/>
      <c r="D82" s="234"/>
      <c r="E82" s="248" t="str">
        <f ca="1">IF(INDIRECT("X4")&lt;&gt;"","RandomNickNames_Male[0]="""&amp;INDIRECT("X4")&amp;"""","")</f>
        <v>RandomNickNames_Male[0]="Candyman"</v>
      </c>
      <c r="F82" s="234" t="s">
        <v>340</v>
      </c>
      <c r="G82" s="234"/>
      <c r="H82" s="234"/>
      <c r="I82" s="234"/>
      <c r="J82" s="234"/>
    </row>
    <row r="83" spans="1:10" x14ac:dyDescent="0.25">
      <c r="A83" s="240" t="str">
        <f>"; lance corporal"</f>
        <v>; lance corporal</v>
      </c>
      <c r="B83" s="234" t="s">
        <v>340</v>
      </c>
      <c r="C83" s="234"/>
      <c r="D83" s="234"/>
      <c r="E83" s="248" t="str">
        <f ca="1">IF(INDIRECT("X5")&lt;&gt;"","RandomNickNames_Male[1]="""&amp;INDIRECT("X5")&amp;"""","")</f>
        <v>RandomNickNames_Male[1]="Mr. Clean"</v>
      </c>
      <c r="F83" s="234" t="s">
        <v>340</v>
      </c>
      <c r="G83" s="234"/>
      <c r="H83" s="234"/>
      <c r="I83" s="234"/>
      <c r="J83" s="234"/>
    </row>
    <row r="84" spans="1:10" x14ac:dyDescent="0.25">
      <c r="A84" s="240" t="str">
        <f ca="1">"+SoldierRanks=(  aAbilityTree=( (AbilityName="""&amp;VLOOKUP(INDIRECT("F13"),Abilities,2,FALSE)&amp;""""&amp;IF(VLOOKUP(INDIRECT("F13"),Abilities,3,FALSE)="","",", ApplyToWeaponSlot=eInvSlot_"&amp;VLOOKUP(INDIRECT("F13"),Abilities,3,FALSE))&amp;"), \\"</f>
        <v>+SoldierRanks=(  aAbilityTree=( (AbilityName="LongWatch", ApplyToWeaponSlot=eInvSlot_PrimaryWeapon), \\</v>
      </c>
      <c r="B84" s="234" t="s">
        <v>340</v>
      </c>
      <c r="C84" s="234"/>
      <c r="D84" s="234"/>
      <c r="E84" s="248" t="str">
        <f ca="1">IF(INDIRECT("X6")&lt;&gt;"","RandomNickNames_Male[2]="""&amp;INDIRECT("X6")&amp;"""","")</f>
        <v>RandomNickNames_Male[2]="Priest"</v>
      </c>
      <c r="F84" s="234" t="s">
        <v>340</v>
      </c>
      <c r="G84" s="234"/>
      <c r="H84" s="234"/>
      <c r="I84" s="234"/>
      <c r="J84" s="234"/>
    </row>
    <row r="85" spans="1:10" x14ac:dyDescent="0.25">
      <c r="A85" s="240" t="str">
        <f ca="1">IF(INDIRECT("I13")="","\\","(AbilityName="""&amp;VLOOKUP(INDIRECT("I13"),Abilities,2,FALSE)&amp;""""&amp;IF(VLOOKUP(INDIRECT("I13"),Abilities,3,FALSE)="","",", ApplyToWeaponSlot=eInvSlot_"&amp;VLOOKUP(INDIRECT("I13"),Abilities,3,FALSE))&amp;"), \\")</f>
        <v>(AbilityName=" "), \\</v>
      </c>
      <c r="B85" s="234" t="s">
        <v>340</v>
      </c>
      <c r="C85" s="234"/>
      <c r="D85" s="234"/>
      <c r="E85" s="248" t="str">
        <f ca="1">IF(INDIRECT("X7")&lt;&gt;"","RandomNickNames_Male[3]="""&amp;INDIRECT("X7")&amp;"""","")</f>
        <v>RandomNickNames_Male[3]="Rainman"</v>
      </c>
      <c r="F85" s="234" t="s">
        <v>340</v>
      </c>
      <c r="G85" s="234"/>
      <c r="H85" s="234"/>
      <c r="I85" s="234"/>
      <c r="J85" s="234"/>
    </row>
    <row r="86" spans="1:10" x14ac:dyDescent="0.25">
      <c r="A86" s="240" t="str">
        <f ca="1">IF(INDIRECT("L13")="","\\","(AbilityName="""&amp;VLOOKUP(INDIRECT("L13"),Abilities,2,FALSE)&amp;""""&amp;IF(VLOOKUP(INDIRECT("L13"),Abilities,3,FALSE)="","",", ApplyToWeaponSlot=eInvSlot_"&amp;VLOOKUP(INDIRECT("L13"),Abilities,3,FALSE))&amp;"), \\")</f>
        <v>(AbilityName="DeathFromAbove", ApplyToWeaponSlot=eInvSlot_PrimaryWeapon), \\</v>
      </c>
      <c r="B86" s="234" t="s">
        <v>340</v>
      </c>
      <c r="C86" s="234"/>
      <c r="D86" s="234"/>
      <c r="E86" s="248" t="str">
        <f ca="1">IF(INDIRECT("X8")&lt;&gt;"","RandomNickNames_Male[4]="""&amp;INDIRECT("X8")&amp;"""","")</f>
        <v>RandomNickNames_Male[4]="Rooster"</v>
      </c>
      <c r="F86" s="234" t="s">
        <v>340</v>
      </c>
      <c r="G86" s="234"/>
      <c r="H86" s="234"/>
      <c r="I86" s="234"/>
      <c r="J86" s="234"/>
    </row>
    <row r="87" spans="1:10" x14ac:dyDescent="0.25">
      <c r="A87" s="240" t="s">
        <v>337</v>
      </c>
      <c r="B87" s="234" t="s">
        <v>340</v>
      </c>
      <c r="C87" s="234"/>
      <c r="D87" s="234"/>
      <c r="E87" s="248" t="str">
        <f>"; Female Nicknames"</f>
        <v>; Female Nicknames</v>
      </c>
      <c r="F87" s="234" t="s">
        <v>340</v>
      </c>
      <c r="G87" s="234"/>
      <c r="H87" s="234"/>
      <c r="I87" s="234"/>
      <c r="J87" s="234"/>
    </row>
    <row r="88" spans="1:10" x14ac:dyDescent="0.25">
      <c r="A88" s="240"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aStatProgression=((StatType=eStat_Offense,StatAmount=3), (StatType=eStat_HP,StatAmount=0), (StatType=eStat_Hacking,StatAmount=0), (StatType=eStat_Will,StatAmount=3)),\\</v>
      </c>
      <c r="B88" s="234" t="s">
        <v>340</v>
      </c>
      <c r="C88" s="234"/>
      <c r="D88" s="234"/>
      <c r="E88" s="248" t="str">
        <f ca="1">IF(INDIRECT("X10")&lt;&gt;"","RandomNickNames_Female[0]="""&amp;INDIRECT("X10")&amp;"""","")</f>
        <v>RandomNickNames_Female[0]="Priestess"</v>
      </c>
      <c r="F88" s="234" t="s">
        <v>340</v>
      </c>
      <c r="G88" s="234"/>
      <c r="H88" s="234"/>
      <c r="I88" s="234"/>
      <c r="J88" s="234"/>
    </row>
    <row r="89" spans="1:10" x14ac:dyDescent="0.25">
      <c r="A89" s="240" t="s">
        <v>338</v>
      </c>
      <c r="B89" s="234" t="s">
        <v>340</v>
      </c>
      <c r="C89" s="234"/>
      <c r="D89" s="234"/>
      <c r="E89" s="248" t="str">
        <f ca="1">IF(INDIRECT("X11")&lt;&gt;"","RandomNickNames_Female[1]="""&amp;INDIRECT("X11")&amp;"""","")</f>
        <v>RandomNickNames_Female[1]="Wolfmother"</v>
      </c>
      <c r="F89" s="234" t="s">
        <v>340</v>
      </c>
      <c r="G89" s="234"/>
      <c r="H89" s="234"/>
      <c r="I89" s="234"/>
      <c r="J89" s="234"/>
    </row>
    <row r="90" spans="1:10" x14ac:dyDescent="0.25">
      <c r="A90" s="240" t="str">
        <f>"; corporal"</f>
        <v>; corporal</v>
      </c>
      <c r="B90" s="234" t="s">
        <v>340</v>
      </c>
      <c r="C90" s="234"/>
      <c r="D90" s="234"/>
      <c r="E90" s="248" t="str">
        <f ca="1">IF(INDIRECT("X12")&lt;&gt;"","RandomNickNames_Female[2]="""&amp;INDIRECT("X12")&amp;"""","")</f>
        <v>RandomNickNames_Female[2]="Black Widow"</v>
      </c>
      <c r="F90" s="234" t="s">
        <v>340</v>
      </c>
      <c r="G90" s="234"/>
      <c r="H90" s="234"/>
      <c r="I90" s="234"/>
      <c r="J90" s="234"/>
    </row>
    <row r="91" spans="1:10" x14ac:dyDescent="0.25">
      <c r="A91" s="240" t="str">
        <f ca="1">"+SoldierRanks=(  aAbilityTree=( (AbilityName="""&amp;VLOOKUP(INDIRECT("F17"),Abilities,2,FALSE)&amp;""""&amp;IF(VLOOKUP(INDIRECT("F17"),Abilities,3,FALSE)="","",", ApplyToWeaponSlot=eInvSlot_"&amp;VLOOKUP(INDIRECT("F17"),Abilities,3,FALSE))&amp;"), \\"</f>
        <v>+SoldierRanks=(  aAbilityTree=( (AbilityName=" "), \\</v>
      </c>
      <c r="B91" s="234" t="s">
        <v>340</v>
      </c>
      <c r="C91" s="234"/>
      <c r="D91" s="234"/>
      <c r="E91" s="248" t="str">
        <f ca="1">IF(INDIRECT("X13")&lt;&gt;"","RandomNickNames_Female[3]="""&amp;INDIRECT("X13")&amp;"""","")</f>
        <v>RandomNickNames_Female[3]="Huntress"</v>
      </c>
      <c r="F91" s="234" t="s">
        <v>340</v>
      </c>
      <c r="G91" s="234"/>
      <c r="H91" s="234"/>
      <c r="I91" s="234"/>
      <c r="J91" s="234"/>
    </row>
    <row r="92" spans="1:10" ht="15.75" thickBot="1" x14ac:dyDescent="0.3">
      <c r="A92" s="240" t="str">
        <f ca="1">IF(INDIRECT("I17")="","\\","(AbilityName="""&amp;VLOOKUP(INDIRECT("I17"),Abilities,2,FALSE)&amp;""""&amp;IF(VLOOKUP(INDIRECT("I17"),Abilities,3,FALSE)="","",", ApplyToWeaponSlot=eInvSlot_"&amp;VLOOKUP(INDIRECT("I17"),Abilities,3,FALSE))&amp;"), \\")</f>
        <v>(AbilityName="ShadowOps_ThisOnesMine", ApplyToWeaponSlot=eInvSlot_PrimaryWeapon), \\</v>
      </c>
      <c r="B92" s="234" t="s">
        <v>340</v>
      </c>
      <c r="C92" s="234"/>
      <c r="D92" s="234"/>
      <c r="E92" s="249" t="str">
        <f ca="1">IF(INDIRECT("X14")&lt;&gt;"","RandomNickNames_Female[4]="""&amp;INDIRECT("X14")&amp;"""","")</f>
        <v>RandomNickNames_Female[4]="Queen"</v>
      </c>
      <c r="F92" s="234" t="s">
        <v>340</v>
      </c>
      <c r="G92" s="234"/>
      <c r="H92" s="234"/>
      <c r="I92" s="234"/>
      <c r="J92" s="234"/>
    </row>
    <row r="93" spans="1:10" x14ac:dyDescent="0.25">
      <c r="A93" s="240" t="str">
        <f ca="1">IF(INDIRECT("L17")="","\\","(AbilityName="""&amp;VLOOKUP(INDIRECT("L17"),Abilities,2,FALSE)&amp;""""&amp;IF(VLOOKUP(INDIRECT("L17"),Abilities,3,FALSE)="","",", ApplyToWeaponSlot=eInvSlot_"&amp;VLOOKUP(INDIRECT("L17"),Abilities,3,FALSE))&amp;"), \\")</f>
        <v>(AbilityName=" "), \\</v>
      </c>
      <c r="B93" s="234" t="s">
        <v>340</v>
      </c>
      <c r="C93" s="234"/>
      <c r="D93" s="234"/>
      <c r="E93" s="234"/>
      <c r="F93" s="234"/>
      <c r="G93" s="234"/>
      <c r="H93" s="234"/>
      <c r="I93" s="234"/>
      <c r="J93" s="234"/>
    </row>
    <row r="94" spans="1:10" x14ac:dyDescent="0.25">
      <c r="A94" s="240" t="s">
        <v>337</v>
      </c>
      <c r="B94" s="234" t="s">
        <v>340</v>
      </c>
      <c r="C94" s="234"/>
      <c r="D94" s="234"/>
      <c r="E94" s="234"/>
      <c r="F94" s="234"/>
      <c r="G94" s="234"/>
      <c r="H94" s="234"/>
      <c r="I94" s="234"/>
      <c r="J94" s="234"/>
    </row>
    <row r="95" spans="1:10" x14ac:dyDescent="0.25">
      <c r="A95" s="240"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aStatProgression=((StatType=eStat_Offense,StatAmount=4), (StatType=eStat_HP,StatAmount=1), (StatType=eStat_Hacking,StatAmount=0)),\\</v>
      </c>
      <c r="B95" s="234" t="s">
        <v>340</v>
      </c>
      <c r="C95" s="234"/>
      <c r="D95" s="234"/>
      <c r="E95" s="234"/>
      <c r="F95" s="234"/>
      <c r="G95" s="234"/>
      <c r="H95" s="234"/>
      <c r="I95" s="234"/>
      <c r="J95" s="234"/>
    </row>
    <row r="96" spans="1:10" x14ac:dyDescent="0.25">
      <c r="A96" s="240" t="s">
        <v>338</v>
      </c>
      <c r="B96" s="234" t="s">
        <v>340</v>
      </c>
      <c r="C96" s="234"/>
      <c r="D96" s="234"/>
      <c r="E96" s="234"/>
      <c r="F96" s="234"/>
      <c r="G96" s="234"/>
      <c r="H96" s="234"/>
      <c r="I96" s="234"/>
      <c r="J96" s="234"/>
    </row>
    <row r="97" spans="1:10" x14ac:dyDescent="0.25">
      <c r="A97" s="240" t="str">
        <f>"; sergeant"</f>
        <v>; sergeant</v>
      </c>
      <c r="B97" s="234" t="s">
        <v>340</v>
      </c>
      <c r="C97" s="234"/>
      <c r="D97" s="234"/>
      <c r="E97" s="234"/>
      <c r="F97" s="234"/>
      <c r="G97" s="234"/>
      <c r="H97" s="234"/>
      <c r="I97" s="234"/>
      <c r="J97" s="234"/>
    </row>
    <row r="98" spans="1:10" x14ac:dyDescent="0.25">
      <c r="A98" s="240" t="str">
        <f ca="1">"+SoldierRanks=(  aAbilityTree=( (AbilityName="""&amp;VLOOKUP(INDIRECT("F21"),Abilities,2,FALSE)&amp;""""&amp;IF(VLOOKUP(INDIRECT("F21"),Abilities,3,FALSE)="","",", ApplyToWeaponSlot=eInvSlot_"&amp;VLOOKUP(INDIRECT("F21"),Abilities,3,FALSE))&amp;"), \\"</f>
        <v>+SoldierRanks=(  aAbilityTree=( (AbilityName="DamnGoodGround", ApplyToWeaponSlot=eInvSlot_PrimaryWeapon), \\</v>
      </c>
      <c r="B98" s="234" t="s">
        <v>340</v>
      </c>
      <c r="C98" s="234"/>
      <c r="D98" s="234"/>
      <c r="E98" s="234"/>
      <c r="F98" s="234"/>
      <c r="G98" s="234"/>
      <c r="H98" s="234"/>
      <c r="I98" s="234"/>
      <c r="J98" s="234"/>
    </row>
    <row r="99" spans="1:10" x14ac:dyDescent="0.25">
      <c r="A99" s="240" t="str">
        <f ca="1">IF(INDIRECT("I21")="","\\","(AbilityName="""&amp;VLOOKUP(INDIRECT("I21"),Abilities,2,FALSE)&amp;""""&amp;IF(VLOOKUP(INDIRECT("I21"),Abilities,3,FALSE)="","",", ApplyToWeaponSlot=eInvSlot_"&amp;VLOOKUP(INDIRECT("I21"),Abilities,3,FALSE))&amp;"), \\")</f>
        <v>(AbilityName=" "), \\</v>
      </c>
      <c r="B99" s="234" t="s">
        <v>340</v>
      </c>
      <c r="C99" s="234"/>
      <c r="D99" s="234"/>
      <c r="E99" s="234"/>
      <c r="F99" s="234"/>
      <c r="G99" s="234"/>
      <c r="H99" s="234"/>
      <c r="I99" s="234"/>
      <c r="J99" s="234"/>
    </row>
    <row r="100" spans="1:10" x14ac:dyDescent="0.25">
      <c r="A100" s="240" t="str">
        <f ca="1">IF(INDIRECT("L21")="","\\","(AbilityName="""&amp;VLOOKUP(INDIRECT("L21"),Abilities,2,FALSE)&amp;""""&amp;IF(VLOOKUP(INDIRECT("L21"),Abilities,3,FALSE)="","",", ApplyToWeaponSlot=eInvSlot_"&amp;VLOOKUP(INDIRECT("L21"),Abilities,3,FALSE))&amp;"), \\")</f>
        <v>(AbilityName="HDHolo", ApplyToWeaponSlot=eInvSlot_SecondaryWeapon), \\</v>
      </c>
      <c r="B100" s="234" t="s">
        <v>340</v>
      </c>
      <c r="C100" s="234"/>
      <c r="D100" s="234"/>
      <c r="E100" s="234"/>
      <c r="F100" s="234"/>
      <c r="G100" s="234"/>
      <c r="H100" s="234"/>
      <c r="I100" s="234"/>
      <c r="J100" s="234"/>
    </row>
    <row r="101" spans="1:10" x14ac:dyDescent="0.25">
      <c r="A101" s="240" t="s">
        <v>337</v>
      </c>
      <c r="B101" s="234" t="s">
        <v>340</v>
      </c>
      <c r="C101" s="234"/>
      <c r="D101" s="234"/>
      <c r="E101" s="234"/>
      <c r="F101" s="234"/>
      <c r="G101" s="234"/>
      <c r="H101" s="234"/>
      <c r="I101" s="234"/>
      <c r="J101" s="234"/>
    </row>
    <row r="102" spans="1:10" x14ac:dyDescent="0.25">
      <c r="A102" s="240"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aStatProgression=((StatType=eStat_Offense,StatAmount=3), (StatType=eStat_HP,StatAmount=0), (StatType=eStat_Hacking,StatAmount=0)),\\</v>
      </c>
      <c r="B102" s="234" t="s">
        <v>340</v>
      </c>
      <c r="C102" s="234"/>
      <c r="D102" s="234"/>
      <c r="E102" s="234"/>
      <c r="F102" s="234"/>
      <c r="G102" s="234"/>
      <c r="H102" s="234"/>
      <c r="I102" s="234"/>
      <c r="J102" s="234"/>
    </row>
    <row r="103" spans="1:10" x14ac:dyDescent="0.25">
      <c r="A103" s="240" t="s">
        <v>338</v>
      </c>
      <c r="B103" s="234" t="s">
        <v>340</v>
      </c>
      <c r="C103" s="234"/>
      <c r="D103" s="234"/>
      <c r="E103" s="234"/>
      <c r="F103" s="234"/>
      <c r="G103" s="234"/>
      <c r="H103" s="234"/>
      <c r="I103" s="234"/>
      <c r="J103" s="234"/>
    </row>
    <row r="104" spans="1:10" x14ac:dyDescent="0.25">
      <c r="A104" s="240" t="str">
        <f>"; staff sergeant"</f>
        <v>; staff sergeant</v>
      </c>
      <c r="B104" s="234" t="s">
        <v>340</v>
      </c>
      <c r="C104" s="234"/>
      <c r="D104" s="234"/>
      <c r="E104" s="234"/>
      <c r="F104" s="234"/>
      <c r="G104" s="234"/>
      <c r="H104" s="234"/>
      <c r="I104" s="234"/>
      <c r="J104" s="234"/>
    </row>
    <row r="105" spans="1:10" x14ac:dyDescent="0.25">
      <c r="A105" s="240" t="str">
        <f ca="1">"+SoldierRanks=(  aAbilityTree=( (AbilityName="""&amp;VLOOKUP(INDIRECT("F25"),Abilities,2,FALSE)&amp;""""&amp;IF(VLOOKUP(INDIRECT("F25"),Abilities,3,FALSE)="","",", ApplyToWeaponSlot=eInvSlot_"&amp;VLOOKUP(INDIRECT("F25"),Abilities,3,FALSE))&amp;"), \\"</f>
        <v>+SoldierRanks=(  aAbilityTree=( (AbilityName="Phantom"), \\</v>
      </c>
      <c r="B105" s="234" t="s">
        <v>340</v>
      </c>
      <c r="C105" s="234"/>
      <c r="D105" s="234"/>
      <c r="E105" s="234"/>
      <c r="F105" s="234"/>
      <c r="G105" s="234"/>
      <c r="H105" s="234"/>
      <c r="I105" s="234"/>
      <c r="J105" s="234"/>
    </row>
    <row r="106" spans="1:10" x14ac:dyDescent="0.25">
      <c r="A106" s="240" t="str">
        <f ca="1">IF(INDIRECT("I25")="","\\","(AbilityName="""&amp;VLOOKUP(INDIRECT("I25"),Abilities,2,FALSE)&amp;""""&amp;IF(VLOOKUP(INDIRECT("I25"),Abilities,3,FALSE)="","",", ApplyToWeaponSlot=eInvSlot_"&amp;VLOOKUP(INDIRECT("I25"),Abilities,3,FALSE))&amp;"), \\")</f>
        <v>(AbilityName=" "), \\</v>
      </c>
      <c r="B106" s="234" t="s">
        <v>340</v>
      </c>
      <c r="C106" s="234"/>
      <c r="D106" s="234"/>
      <c r="E106" s="234"/>
      <c r="F106" s="234"/>
      <c r="G106" s="234"/>
      <c r="H106" s="234"/>
      <c r="I106" s="234"/>
      <c r="J106" s="234"/>
    </row>
    <row r="107" spans="1:10" x14ac:dyDescent="0.25">
      <c r="A107" s="240" t="str">
        <f ca="1">IF(INDIRECT("L25")="","\\","(AbilityName="""&amp;VLOOKUP(INDIRECT("L25"),Abilities,2,FALSE)&amp;""""&amp;IF(VLOOKUP(INDIRECT("L25"),Abilities,3,FALSE)="","",", ApplyToWeaponSlot=eInvSlot_"&amp;VLOOKUP(INDIRECT("L25"),Abilities,3,FALSE))&amp;"), \\")</f>
        <v>(AbilityName="ShadowOps_WatchfulEye", ApplyToWeaponSlot=eInvSlot_PrimaryWeapon), \\</v>
      </c>
      <c r="B107" s="234" t="s">
        <v>340</v>
      </c>
      <c r="C107" s="234"/>
      <c r="D107" s="234"/>
      <c r="E107" s="234"/>
      <c r="F107" s="234"/>
      <c r="G107" s="234"/>
      <c r="H107" s="234"/>
      <c r="I107" s="234"/>
      <c r="J107" s="234"/>
    </row>
    <row r="108" spans="1:10" x14ac:dyDescent="0.25">
      <c r="A108" s="240" t="s">
        <v>337</v>
      </c>
      <c r="B108" s="234" t="s">
        <v>340</v>
      </c>
      <c r="C108" s="234"/>
      <c r="D108" s="234"/>
      <c r="E108" s="234"/>
      <c r="F108" s="234"/>
      <c r="G108" s="234"/>
      <c r="H108" s="234"/>
      <c r="I108" s="234"/>
      <c r="J108" s="234"/>
    </row>
    <row r="109" spans="1:10" x14ac:dyDescent="0.25">
      <c r="A109" s="240"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aStatProgression=((StatType=eStat_Offense,StatAmount=4), (StatType=eStat_HP,StatAmount=0), (StatType=eStat_Hacking,StatAmount=0)),\\</v>
      </c>
      <c r="B109" s="234" t="s">
        <v>340</v>
      </c>
      <c r="C109" s="234"/>
      <c r="D109" s="234"/>
      <c r="E109" s="234"/>
      <c r="F109" s="234"/>
      <c r="G109" s="234"/>
      <c r="H109" s="234"/>
      <c r="I109" s="234"/>
      <c r="J109" s="234"/>
    </row>
    <row r="110" spans="1:10" x14ac:dyDescent="0.25">
      <c r="A110" s="240" t="s">
        <v>338</v>
      </c>
      <c r="B110" s="234" t="s">
        <v>340</v>
      </c>
      <c r="C110" s="234"/>
      <c r="D110" s="234"/>
      <c r="E110" s="234"/>
      <c r="F110" s="234"/>
      <c r="G110" s="234"/>
      <c r="H110" s="234"/>
      <c r="I110" s="234"/>
      <c r="J110" s="234"/>
    </row>
    <row r="111" spans="1:10" x14ac:dyDescent="0.25">
      <c r="A111" s="240" t="str">
        <f>"; tech sergeant"</f>
        <v>; tech sergeant</v>
      </c>
      <c r="B111" s="234" t="s">
        <v>340</v>
      </c>
      <c r="C111" s="234"/>
      <c r="D111" s="234"/>
      <c r="E111" s="234"/>
      <c r="F111" s="234"/>
      <c r="G111" s="234"/>
      <c r="H111" s="234"/>
      <c r="I111" s="234"/>
      <c r="J111" s="234"/>
    </row>
    <row r="112" spans="1:10" x14ac:dyDescent="0.25">
      <c r="A112" s="240" t="str">
        <f ca="1">"+SoldierRanks=(  aAbilityTree=( (AbilityName="""&amp;VLOOKUP(INDIRECT("F29"),Abilities,2,FALSE)&amp;""""&amp;IF(VLOOKUP(INDIRECT("F29"),Abilities,3,FALSE)="","",", ApplyToWeaponSlot=eInvSlot_"&amp;VLOOKUP(INDIRECT("F29"),Abilities,3,FALSE))&amp;"), \\"</f>
        <v>+SoldierRanks=(  aAbilityTree=( (AbilityName="ShadowOps_Bullseye", ApplyToWeaponSlot=eInvSlot_PrimaryWeapon), \\</v>
      </c>
      <c r="B112" s="234" t="s">
        <v>340</v>
      </c>
      <c r="C112" s="234"/>
      <c r="D112" s="234"/>
      <c r="E112" s="234"/>
      <c r="F112" s="234"/>
      <c r="G112" s="234"/>
      <c r="H112" s="234"/>
      <c r="I112" s="234"/>
      <c r="J112" s="234"/>
    </row>
    <row r="113" spans="1:10" x14ac:dyDescent="0.25">
      <c r="A113" s="240" t="str">
        <f ca="1">IF(INDIRECT("I29")="","\\","(AbilityName="""&amp;VLOOKUP(INDIRECT("I29"),Abilities,2,FALSE)&amp;""""&amp;IF(VLOOKUP(INDIRECT("I29"),Abilities,3,FALSE)="","",", ApplyToWeaponSlot=eInvSlot_"&amp;VLOOKUP(INDIRECT("I29"),Abilities,3,FALSE))&amp;"), \\")</f>
        <v>(AbilityName=" "), \\</v>
      </c>
      <c r="B113" s="234" t="s">
        <v>340</v>
      </c>
      <c r="C113" s="234"/>
      <c r="D113" s="234"/>
      <c r="E113" s="234"/>
      <c r="F113" s="234"/>
      <c r="G113" s="234"/>
      <c r="H113" s="234"/>
      <c r="I113" s="234"/>
      <c r="J113" s="234"/>
    </row>
    <row r="114" spans="1:10" x14ac:dyDescent="0.25">
      <c r="A114" s="240" t="str">
        <f ca="1">IF(INDIRECT("L29")="","\\","(AbilityName="""&amp;VLOOKUP(INDIRECT("L29"),Abilities,2,FALSE)&amp;""""&amp;IF(VLOOKUP(INDIRECT("L29"),Abilities,3,FALSE)="","",", ApplyToWeaponSlot=eInvSlot_"&amp;VLOOKUP(INDIRECT("L29"),Abilities,3,FALSE))&amp;"), \\")</f>
        <v>(AbilityName="Stealth"), \\</v>
      </c>
      <c r="B114" s="234" t="s">
        <v>340</v>
      </c>
      <c r="C114" s="234"/>
      <c r="D114" s="234"/>
      <c r="E114" s="234"/>
      <c r="F114" s="234"/>
      <c r="G114" s="234"/>
      <c r="H114" s="234"/>
      <c r="I114" s="234"/>
      <c r="J114" s="234"/>
    </row>
    <row r="115" spans="1:10" x14ac:dyDescent="0.25">
      <c r="A115" s="240" t="s">
        <v>337</v>
      </c>
      <c r="B115" s="234" t="s">
        <v>340</v>
      </c>
      <c r="C115" s="234"/>
      <c r="D115" s="234"/>
      <c r="E115" s="234"/>
      <c r="F115" s="234"/>
      <c r="G115" s="234"/>
      <c r="H115" s="234"/>
      <c r="I115" s="234"/>
      <c r="J115" s="234"/>
    </row>
    <row r="116" spans="1:10" x14ac:dyDescent="0.25">
      <c r="A116" s="240"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aStatProgression=((StatType=eStat_Offense,StatAmount=3), (StatType=eStat_HP,StatAmount=0), (StatType=eStat_Hacking,StatAmount=0)),\\</v>
      </c>
      <c r="B116" s="234" t="s">
        <v>340</v>
      </c>
      <c r="C116" s="234"/>
      <c r="D116" s="234"/>
      <c r="E116" s="234"/>
      <c r="F116" s="234"/>
      <c r="G116" s="234"/>
      <c r="H116" s="234"/>
      <c r="I116" s="234"/>
      <c r="J116" s="234"/>
    </row>
    <row r="117" spans="1:10" x14ac:dyDescent="0.25">
      <c r="A117" s="240" t="s">
        <v>338</v>
      </c>
      <c r="B117" s="234" t="s">
        <v>340</v>
      </c>
      <c r="C117" s="234"/>
      <c r="D117" s="234"/>
      <c r="E117" s="234"/>
      <c r="F117" s="234"/>
      <c r="G117" s="234"/>
      <c r="H117" s="234"/>
      <c r="I117" s="234"/>
      <c r="J117" s="234"/>
    </row>
    <row r="118" spans="1:10" x14ac:dyDescent="0.25">
      <c r="A118" s="240" t="str">
        <f>";  gunnery sergeant"</f>
        <v>;  gunnery sergeant</v>
      </c>
      <c r="B118" s="234" t="s">
        <v>340</v>
      </c>
      <c r="C118" s="234"/>
      <c r="D118" s="234"/>
      <c r="E118" s="234"/>
      <c r="F118" s="234"/>
      <c r="G118" s="234"/>
      <c r="H118" s="234"/>
      <c r="I118" s="234"/>
      <c r="J118" s="234"/>
    </row>
    <row r="119" spans="1:10" x14ac:dyDescent="0.25">
      <c r="A119" s="240" t="str">
        <f ca="1">"+SoldierRanks=(  aAbilityTree=( (AbilityName="""&amp;VLOOKUP(INDIRECT("F33"),Abilities,2,FALSE)&amp;""""&amp;IF(VLOOKUP(INDIRECT("F33"),Abilities,3,FALSE)="","",", ApplyToWeaponSlot=eInvSlot_"&amp;VLOOKUP(INDIRECT("F33"),Abilities,3,FALSE))&amp;"), \\"</f>
        <v>+SoldierRanks=(  aAbilityTree=( (AbilityName=" "), \\</v>
      </c>
      <c r="B119" s="234" t="s">
        <v>340</v>
      </c>
      <c r="C119" s="234"/>
      <c r="D119" s="234"/>
      <c r="E119" s="234"/>
      <c r="F119" s="234"/>
      <c r="G119" s="234"/>
      <c r="H119" s="234"/>
      <c r="I119" s="234"/>
      <c r="J119" s="234"/>
    </row>
    <row r="120" spans="1:10" x14ac:dyDescent="0.25">
      <c r="A120" s="240" t="str">
        <f ca="1">IF(INDIRECT("I33")="","\\","(AbilityName="""&amp;VLOOKUP(INDIRECT("I33"),Abilities,2,FALSE)&amp;""""&amp;IF(VLOOKUP(INDIRECT("I33"),Abilities,3,FALSE)="","",", ApplyToWeaponSlot=eInvSlot_"&amp;VLOOKUP(INDIRECT("I33"),Abilities,3,FALSE))&amp;"), \\")</f>
        <v>(AbilityName="Kubikuri", ApplyToWeaponSlot=eInvSlot_PrimaryWeapon), \\</v>
      </c>
      <c r="B120" s="234" t="s">
        <v>340</v>
      </c>
      <c r="C120" s="234"/>
      <c r="D120" s="234"/>
      <c r="E120" s="234"/>
      <c r="F120" s="234"/>
      <c r="G120" s="234"/>
      <c r="H120" s="234"/>
      <c r="I120" s="234"/>
      <c r="J120" s="234"/>
    </row>
    <row r="121" spans="1:10" x14ac:dyDescent="0.25">
      <c r="A121" s="240" t="str">
        <f ca="1">IF(INDIRECT("L33")="","\\","(AbilityName="""&amp;VLOOKUP(INDIRECT("L33"),Abilities,2,FALSE)&amp;""""&amp;IF(VLOOKUP(INDIRECT("L33"),Abilities,3,FALSE)="","",", ApplyToWeaponSlot=eInvSlot_"&amp;VLOOKUP(INDIRECT("L33"),Abilities,3,FALSE))&amp;"), \\")</f>
        <v>(AbilityName=" "), \\</v>
      </c>
      <c r="B121" s="234" t="s">
        <v>340</v>
      </c>
      <c r="C121" s="234"/>
      <c r="D121" s="234"/>
      <c r="E121" s="234"/>
      <c r="F121" s="234"/>
      <c r="G121" s="234"/>
      <c r="H121" s="234"/>
      <c r="I121" s="234"/>
      <c r="J121" s="234"/>
    </row>
    <row r="122" spans="1:10" x14ac:dyDescent="0.25">
      <c r="A122" s="240" t="s">
        <v>337</v>
      </c>
      <c r="B122" s="234" t="s">
        <v>340</v>
      </c>
      <c r="C122" s="234"/>
      <c r="D122" s="234"/>
      <c r="E122" s="234"/>
      <c r="F122" s="234"/>
      <c r="G122" s="234"/>
      <c r="H122" s="234"/>
      <c r="I122" s="234"/>
      <c r="J122" s="234"/>
    </row>
    <row r="123" spans="1:10" x14ac:dyDescent="0.25">
      <c r="A123" s="240"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aStatProgression=((StatType=eStat_Offense,StatAmount=4), (StatType=eStat_HP,StatAmount=1), (StatType=eStat_Hacking,StatAmount=0)),\\</v>
      </c>
      <c r="B123" s="234" t="s">
        <v>340</v>
      </c>
      <c r="C123" s="234"/>
      <c r="D123" s="234"/>
      <c r="E123" s="234"/>
      <c r="F123" s="234"/>
      <c r="G123" s="234"/>
      <c r="H123" s="234"/>
      <c r="I123" s="234"/>
      <c r="J123" s="234"/>
    </row>
    <row r="124" spans="1:10" x14ac:dyDescent="0.25">
      <c r="A124" s="240" t="s">
        <v>338</v>
      </c>
      <c r="B124" s="234" t="s">
        <v>340</v>
      </c>
      <c r="C124" s="234"/>
      <c r="D124" s="234"/>
      <c r="E124" s="234"/>
      <c r="F124" s="234"/>
      <c r="G124" s="234"/>
      <c r="H124" s="234"/>
      <c r="I124" s="234"/>
      <c r="J124" s="234"/>
    </row>
    <row r="125" spans="1:10" x14ac:dyDescent="0.25">
      <c r="A125" s="240" t="str">
        <f>"; master sergeant"</f>
        <v>; master sergeant</v>
      </c>
      <c r="B125" s="234" t="s">
        <v>340</v>
      </c>
      <c r="C125" s="234"/>
      <c r="D125" s="234"/>
      <c r="E125" s="234"/>
      <c r="F125" s="234"/>
      <c r="G125" s="234"/>
      <c r="H125" s="234"/>
      <c r="I125" s="234"/>
      <c r="J125" s="234"/>
    </row>
    <row r="126" spans="1:10" x14ac:dyDescent="0.25">
      <c r="A126" s="240" t="str">
        <f ca="1">"+SoldierRanks=(  aAbilityTree=( (AbilityName="""&amp;VLOOKUP(INDIRECT("F37"),Abilities,2,FALSE)&amp;""""&amp;IF(VLOOKUP(INDIRECT("F37"),Abilities,3,FALSE)="","",", ApplyToWeaponSlot=eInvSlot_"&amp;VLOOKUP(INDIRECT("F37"),Abilities,3,FALSE))&amp;"), \\"</f>
        <v>+SoldierRanks=(  aAbilityTree=( (AbilityName="KillZone", ApplyToWeaponSlot=eInvSlot_PrimaryWeapon), \\</v>
      </c>
      <c r="B126" s="234" t="s">
        <v>340</v>
      </c>
      <c r="C126" s="234"/>
      <c r="D126" s="234"/>
      <c r="E126" s="234"/>
      <c r="F126" s="234"/>
      <c r="G126" s="234"/>
      <c r="H126" s="234"/>
      <c r="I126" s="234"/>
      <c r="J126" s="234"/>
    </row>
    <row r="127" spans="1:10" x14ac:dyDescent="0.25">
      <c r="A127" s="240" t="str">
        <f ca="1">IF(INDIRECT("I37")="","\\","(AbilityName="""&amp;VLOOKUP(INDIRECT("I37"),Abilities,2,FALSE)&amp;""""&amp;IF(VLOOKUP(INDIRECT("I37"),Abilities,3,FALSE)="","",", ApplyToWeaponSlot=eInvSlot_"&amp;VLOOKUP(INDIRECT("I37"),Abilities,3,FALSE))&amp;"), \\")</f>
        <v>(AbilityName=" "), \\</v>
      </c>
      <c r="B127" s="234" t="s">
        <v>340</v>
      </c>
      <c r="C127" s="234"/>
      <c r="D127" s="234"/>
      <c r="E127" s="234"/>
      <c r="F127" s="234"/>
      <c r="G127" s="234"/>
      <c r="H127" s="234"/>
      <c r="I127" s="234"/>
      <c r="J127" s="234"/>
    </row>
    <row r="128" spans="1:10" x14ac:dyDescent="0.25">
      <c r="A128" s="240" t="str">
        <f ca="1">IF(INDIRECT("L37")="","\\","(AbilityName="""&amp;VLOOKUP(INDIRECT("L37"),Abilities,2,FALSE)&amp;""""&amp;IF(VLOOKUP(INDIRECT("L37"),Abilities,3,FALSE)="","",", ApplyToWeaponSlot=eInvSlot_"&amp;VLOOKUP(INDIRECT("L37"),Abilities,3,FALSE))&amp;"), \\")</f>
        <v>(AbilityName="AlphaMikeFoxtrot", ApplyToWeaponSlot=eInvSlot_PrimaryWeapon), \\</v>
      </c>
      <c r="B128" s="234" t="s">
        <v>340</v>
      </c>
      <c r="C128" s="234"/>
      <c r="D128" s="234"/>
      <c r="E128" s="234"/>
      <c r="F128" s="234"/>
      <c r="G128" s="234"/>
      <c r="H128" s="234"/>
      <c r="I128" s="234"/>
      <c r="J128" s="234"/>
    </row>
    <row r="129" spans="1:10" x14ac:dyDescent="0.25">
      <c r="A129" s="240" t="s">
        <v>337</v>
      </c>
      <c r="B129" s="234" t="s">
        <v>340</v>
      </c>
      <c r="C129" s="234"/>
      <c r="D129" s="234"/>
      <c r="E129" s="234"/>
      <c r="F129" s="234"/>
      <c r="G129" s="234"/>
      <c r="H129" s="234"/>
      <c r="I129" s="234"/>
      <c r="J129" s="234"/>
    </row>
    <row r="130" spans="1:10" x14ac:dyDescent="0.25">
      <c r="A130" s="240"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aStatProgression=((StatType=eStat_Offense,StatAmount=3), (StatType=eStat_HP,StatAmount=0), (StatType=eStat_Hacking,StatAmount=0)),\\</v>
      </c>
      <c r="B130" s="234" t="s">
        <v>340</v>
      </c>
      <c r="C130" s="234"/>
      <c r="D130" s="234"/>
      <c r="E130" s="234"/>
      <c r="F130" s="234"/>
      <c r="G130" s="234"/>
      <c r="H130" s="234"/>
      <c r="I130" s="234"/>
      <c r="J130" s="234"/>
    </row>
    <row r="131" spans="1:10" ht="15.75" thickBot="1" x14ac:dyDescent="0.3">
      <c r="A131" s="241" t="s">
        <v>338</v>
      </c>
      <c r="B131" s="234" t="s">
        <v>340</v>
      </c>
      <c r="C131" s="234"/>
      <c r="D131" s="234"/>
      <c r="E131" s="234"/>
      <c r="F131" s="234"/>
      <c r="G131" s="234"/>
      <c r="H131" s="234"/>
      <c r="I131" s="234"/>
      <c r="J131" s="234"/>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I37:J37"/>
    <mergeCell ref="F17:G17"/>
    <mergeCell ref="I17:J17"/>
    <mergeCell ref="L17:M1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L37:M37"/>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A40:B41"/>
    <mergeCell ref="C40:E41"/>
    <mergeCell ref="A42:B42"/>
    <mergeCell ref="C42:D42"/>
    <mergeCell ref="E42:F42"/>
    <mergeCell ref="F38:H39"/>
    <mergeCell ref="I38:K39"/>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23906"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23907"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23908"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23909"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23910"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23911"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23912"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23913"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23914"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23915"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23916"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23917"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F4</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90" t="s">
        <v>308</v>
      </c>
      <c r="B1" s="91"/>
      <c r="C1" s="94" t="s">
        <v>235</v>
      </c>
      <c r="D1" s="95"/>
      <c r="E1" s="95"/>
      <c r="F1" s="98" t="s">
        <v>324</v>
      </c>
      <c r="G1" s="99"/>
      <c r="H1" s="99"/>
      <c r="I1" s="99"/>
      <c r="J1" s="99"/>
      <c r="K1" s="99"/>
      <c r="L1" s="99"/>
      <c r="M1" s="99"/>
      <c r="N1" s="99"/>
      <c r="O1" s="100" t="s">
        <v>325</v>
      </c>
      <c r="P1" s="101"/>
      <c r="Q1" s="101"/>
      <c r="R1" s="101"/>
      <c r="S1" s="101"/>
      <c r="T1" s="101"/>
      <c r="U1" s="102"/>
      <c r="V1" s="196" t="s">
        <v>776</v>
      </c>
      <c r="W1" s="197"/>
      <c r="X1" s="197"/>
      <c r="Y1" s="197"/>
    </row>
    <row r="2" spans="1:25" ht="15" customHeight="1" thickBot="1" x14ac:dyDescent="0.3">
      <c r="A2" s="92"/>
      <c r="B2" s="93"/>
      <c r="C2" s="96"/>
      <c r="D2" s="97"/>
      <c r="E2" s="97"/>
      <c r="F2" s="98"/>
      <c r="G2" s="99"/>
      <c r="H2" s="99"/>
      <c r="I2" s="99"/>
      <c r="J2" s="99"/>
      <c r="K2" s="99"/>
      <c r="L2" s="99"/>
      <c r="M2" s="99"/>
      <c r="N2" s="99"/>
      <c r="O2" s="103"/>
      <c r="P2" s="104"/>
      <c r="Q2" s="104"/>
      <c r="R2" s="104"/>
      <c r="S2" s="104"/>
      <c r="T2" s="104"/>
      <c r="U2" s="105"/>
      <c r="V2" s="198"/>
      <c r="W2" s="199"/>
      <c r="X2" s="199"/>
      <c r="Y2" s="199"/>
    </row>
    <row r="3" spans="1:25" ht="18" thickBot="1" x14ac:dyDescent="0.35">
      <c r="A3" s="106" t="s">
        <v>309</v>
      </c>
      <c r="B3" s="107"/>
      <c r="C3" s="108" t="str">
        <f>Output!$L$1&amp;SUBSTITUTE(C1," ","")</f>
        <v>LWD_Shinobi</v>
      </c>
      <c r="D3" s="109"/>
      <c r="E3" s="109"/>
      <c r="F3" s="110" t="s">
        <v>12</v>
      </c>
      <c r="G3" s="111"/>
      <c r="H3" s="111"/>
      <c r="I3" s="111"/>
      <c r="J3" s="111"/>
      <c r="K3" s="111"/>
      <c r="L3" s="111"/>
      <c r="M3" s="111"/>
      <c r="N3" s="112"/>
      <c r="O3" s="15"/>
      <c r="P3" s="16" t="s">
        <v>79</v>
      </c>
      <c r="Q3" s="17" t="s">
        <v>326</v>
      </c>
      <c r="R3" s="17" t="s">
        <v>328</v>
      </c>
      <c r="S3" s="17" t="s">
        <v>327</v>
      </c>
      <c r="T3" s="17" t="s">
        <v>330</v>
      </c>
      <c r="U3" s="18" t="s">
        <v>329</v>
      </c>
      <c r="V3" s="200" t="s">
        <v>810</v>
      </c>
      <c r="W3" s="201"/>
      <c r="X3" s="200" t="s">
        <v>811</v>
      </c>
      <c r="Y3" s="201"/>
    </row>
    <row r="4" spans="1:25" ht="18" thickTop="1" x14ac:dyDescent="0.3">
      <c r="A4" s="113" t="s">
        <v>310</v>
      </c>
      <c r="B4" s="114"/>
      <c r="C4" s="115" t="s">
        <v>314</v>
      </c>
      <c r="D4" s="116"/>
      <c r="E4" s="116"/>
      <c r="F4" s="119" t="s">
        <v>8</v>
      </c>
      <c r="G4" s="120"/>
      <c r="H4" s="4" t="str">
        <f>IFERROR(VLOOKUP(F4,Abilities,4,FALSE),"")</f>
        <v>LW2</v>
      </c>
      <c r="I4" s="121" t="s">
        <v>208</v>
      </c>
      <c r="J4" s="120"/>
      <c r="K4" s="35" t="str">
        <f>IFERROR(VLOOKUP(I4,Abilities,4,FALSE),"")</f>
        <v>LW2</v>
      </c>
      <c r="L4" s="122" t="s">
        <v>14</v>
      </c>
      <c r="M4" s="120"/>
      <c r="N4" s="10" t="str">
        <f>IFERROR(VLOOKUP(L4,Abilities,4,FALSE),"")</f>
        <v>XCOM2</v>
      </c>
      <c r="O4" s="19" t="s">
        <v>12</v>
      </c>
      <c r="P4" s="4">
        <v>2</v>
      </c>
      <c r="Q4" s="20">
        <v>0</v>
      </c>
      <c r="R4" s="20"/>
      <c r="S4" s="4">
        <v>5</v>
      </c>
      <c r="T4" s="4">
        <v>1</v>
      </c>
      <c r="U4" s="10"/>
      <c r="V4" s="192" t="s">
        <v>777</v>
      </c>
      <c r="W4" s="193"/>
      <c r="X4" s="192" t="s">
        <v>801</v>
      </c>
      <c r="Y4" s="193"/>
    </row>
    <row r="5" spans="1:25" ht="15" customHeight="1" x14ac:dyDescent="0.25">
      <c r="A5" s="6"/>
      <c r="B5" s="5" t="b">
        <v>1</v>
      </c>
      <c r="C5" s="117"/>
      <c r="D5" s="118"/>
      <c r="E5" s="118"/>
      <c r="F5" s="123">
        <f>IFERROR(VLOOKUP(F4,Abilities,7,FALSE),"")</f>
        <v>0</v>
      </c>
      <c r="G5" s="124"/>
      <c r="H5" s="125"/>
      <c r="I5" s="129">
        <f>IFERROR(VLOOKUP(I4,Abilities,7,FALSE),"")</f>
        <v>0</v>
      </c>
      <c r="J5" s="130"/>
      <c r="K5" s="131"/>
      <c r="L5" s="130" t="str">
        <f>IFERROR(VLOOKUP(L4,Abilities,7,FALSE),"")</f>
        <v>When the squad is revealed, this soldier remains concealed.</v>
      </c>
      <c r="M5" s="130"/>
      <c r="N5" s="135"/>
      <c r="O5" s="26" t="s">
        <v>456</v>
      </c>
      <c r="P5" s="27">
        <v>2</v>
      </c>
      <c r="Q5" s="28">
        <v>0</v>
      </c>
      <c r="R5" s="28"/>
      <c r="S5" s="27">
        <v>5</v>
      </c>
      <c r="T5" s="27"/>
      <c r="U5" s="29"/>
      <c r="V5" s="190" t="s">
        <v>821</v>
      </c>
      <c r="W5" s="191"/>
      <c r="X5" s="190" t="s">
        <v>802</v>
      </c>
      <c r="Y5" s="191"/>
    </row>
    <row r="6" spans="1:25" ht="15" customHeight="1" x14ac:dyDescent="0.25">
      <c r="A6" s="6"/>
      <c r="B6" s="5" t="b">
        <v>0</v>
      </c>
      <c r="C6" s="137" t="s">
        <v>315</v>
      </c>
      <c r="D6" s="138"/>
      <c r="E6" s="11">
        <v>0</v>
      </c>
      <c r="F6" s="126"/>
      <c r="G6" s="127"/>
      <c r="H6" s="128"/>
      <c r="I6" s="132"/>
      <c r="J6" s="133"/>
      <c r="K6" s="134"/>
      <c r="L6" s="133"/>
      <c r="M6" s="133"/>
      <c r="N6" s="136"/>
      <c r="O6" s="19" t="s">
        <v>15</v>
      </c>
      <c r="P6" s="4">
        <v>2</v>
      </c>
      <c r="Q6" s="20">
        <v>1</v>
      </c>
      <c r="R6" s="20"/>
      <c r="S6" s="4">
        <v>5</v>
      </c>
      <c r="T6" s="4"/>
      <c r="U6" s="10"/>
      <c r="V6" s="190" t="s">
        <v>894</v>
      </c>
      <c r="W6" s="191"/>
      <c r="X6" s="192" t="s">
        <v>803</v>
      </c>
      <c r="Y6" s="193"/>
    </row>
    <row r="7" spans="1:25" ht="15" customHeight="1" x14ac:dyDescent="0.25">
      <c r="A7" s="6"/>
      <c r="B7" s="5" t="b">
        <v>0</v>
      </c>
      <c r="C7" s="137" t="s">
        <v>316</v>
      </c>
      <c r="D7" s="138"/>
      <c r="E7" s="11">
        <v>4</v>
      </c>
      <c r="F7" s="139"/>
      <c r="G7" s="140"/>
      <c r="H7" s="4" t="str">
        <f>IFERROR(VLOOKUP(F7,Abilities,4,FALSE),"")</f>
        <v/>
      </c>
      <c r="I7" s="141"/>
      <c r="J7" s="140"/>
      <c r="K7" s="4" t="str">
        <f>IFERROR(VLOOKUP(I7,Abilities,4,FALSE),"")</f>
        <v/>
      </c>
      <c r="L7" s="142"/>
      <c r="M7" s="140"/>
      <c r="N7" s="10" t="str">
        <f>IFERROR(VLOOKUP(L7,Abilities,4,FALSE),"")</f>
        <v/>
      </c>
      <c r="O7" s="26" t="s">
        <v>21</v>
      </c>
      <c r="P7" s="27">
        <v>2</v>
      </c>
      <c r="Q7" s="28">
        <v>0</v>
      </c>
      <c r="R7" s="28"/>
      <c r="S7" s="27">
        <v>5</v>
      </c>
      <c r="T7" s="27"/>
      <c r="U7" s="29"/>
      <c r="V7" s="192" t="s">
        <v>779</v>
      </c>
      <c r="W7" s="193"/>
      <c r="X7" s="190" t="s">
        <v>804</v>
      </c>
      <c r="Y7" s="191"/>
    </row>
    <row r="8" spans="1:25" ht="15" customHeight="1" thickBot="1" x14ac:dyDescent="0.3">
      <c r="A8" s="6"/>
      <c r="B8" s="5" t="b">
        <v>0</v>
      </c>
      <c r="C8" s="137" t="s">
        <v>317</v>
      </c>
      <c r="D8" s="143"/>
      <c r="E8" s="12" t="s">
        <v>639</v>
      </c>
      <c r="F8" s="144" t="str">
        <f>IFERROR(VLOOKUP(F7,Abilities,7,FALSE),"")</f>
        <v/>
      </c>
      <c r="G8" s="130"/>
      <c r="H8" s="131"/>
      <c r="I8" s="129" t="str">
        <f>IFERROR(VLOOKUP(I7,Abilities,7,FALSE),"")</f>
        <v/>
      </c>
      <c r="J8" s="130"/>
      <c r="K8" s="131"/>
      <c r="L8" s="130" t="str">
        <f>IFERROR(VLOOKUP(L7,Abilities,7,FALSE),"")</f>
        <v/>
      </c>
      <c r="M8" s="130"/>
      <c r="N8" s="135"/>
      <c r="O8" s="21" t="s">
        <v>457</v>
      </c>
      <c r="P8" s="4">
        <v>2</v>
      </c>
      <c r="Q8" s="20">
        <v>0</v>
      </c>
      <c r="R8" s="20"/>
      <c r="S8" s="4">
        <v>5</v>
      </c>
      <c r="T8" s="4"/>
      <c r="U8" s="10"/>
      <c r="V8" s="190" t="s">
        <v>893</v>
      </c>
      <c r="W8" s="191"/>
      <c r="X8" s="192" t="s">
        <v>805</v>
      </c>
      <c r="Y8" s="193"/>
    </row>
    <row r="9" spans="1:25" ht="15.75" thickBot="1" x14ac:dyDescent="0.3">
      <c r="A9" s="6"/>
      <c r="B9" s="5" t="b">
        <v>0</v>
      </c>
      <c r="C9" s="137" t="s">
        <v>319</v>
      </c>
      <c r="D9" s="143"/>
      <c r="E9" s="12">
        <v>1</v>
      </c>
      <c r="F9" s="145"/>
      <c r="G9" s="133"/>
      <c r="H9" s="134"/>
      <c r="I9" s="146"/>
      <c r="J9" s="147"/>
      <c r="K9" s="148"/>
      <c r="L9" s="133"/>
      <c r="M9" s="133"/>
      <c r="N9" s="136"/>
      <c r="O9" s="26" t="s">
        <v>458</v>
      </c>
      <c r="P9" s="27">
        <v>2</v>
      </c>
      <c r="Q9" s="28">
        <v>0</v>
      </c>
      <c r="R9" s="28"/>
      <c r="S9" s="27">
        <v>5</v>
      </c>
      <c r="T9" s="27"/>
      <c r="U9" s="29"/>
      <c r="V9" s="192" t="s">
        <v>781</v>
      </c>
      <c r="W9" s="193"/>
      <c r="X9" s="200" t="s">
        <v>812</v>
      </c>
      <c r="Y9" s="201"/>
    </row>
    <row r="10" spans="1:25" ht="18.75" x14ac:dyDescent="0.3">
      <c r="A10" s="6"/>
      <c r="B10" s="5" t="b">
        <v>0</v>
      </c>
      <c r="C10" s="137" t="s">
        <v>318</v>
      </c>
      <c r="D10" s="143"/>
      <c r="E10" s="12">
        <v>4</v>
      </c>
      <c r="F10" s="157" t="s">
        <v>311</v>
      </c>
      <c r="G10" s="158"/>
      <c r="H10" s="159"/>
      <c r="I10" s="160" t="s">
        <v>349</v>
      </c>
      <c r="J10" s="158"/>
      <c r="K10" s="159"/>
      <c r="L10" s="158" t="s">
        <v>312</v>
      </c>
      <c r="M10" s="158"/>
      <c r="N10" s="161"/>
      <c r="O10" s="36" t="s">
        <v>459</v>
      </c>
      <c r="P10" s="37">
        <v>2</v>
      </c>
      <c r="Q10" s="37">
        <v>1</v>
      </c>
      <c r="R10" s="37"/>
      <c r="S10" s="37">
        <v>5</v>
      </c>
      <c r="T10" s="37"/>
      <c r="U10" s="38"/>
      <c r="V10" s="190" t="s">
        <v>782</v>
      </c>
      <c r="W10" s="191"/>
      <c r="X10" s="192" t="s">
        <v>806</v>
      </c>
      <c r="Y10" s="193"/>
    </row>
    <row r="11" spans="1:25" ht="15.75" customHeight="1" thickBot="1" x14ac:dyDescent="0.3">
      <c r="A11" s="6"/>
      <c r="B11" s="5" t="b">
        <v>0</v>
      </c>
      <c r="C11" s="137" t="s">
        <v>320</v>
      </c>
      <c r="D11" s="143"/>
      <c r="E11" s="12">
        <v>4</v>
      </c>
      <c r="F11" s="162" t="s">
        <v>469</v>
      </c>
      <c r="G11" s="163"/>
      <c r="H11" s="164"/>
      <c r="I11" s="165"/>
      <c r="J11" s="163"/>
      <c r="K11" s="164"/>
      <c r="L11" s="163" t="s">
        <v>468</v>
      </c>
      <c r="M11" s="163"/>
      <c r="N11" s="166"/>
      <c r="O11" s="39" t="s">
        <v>460</v>
      </c>
      <c r="P11" s="40">
        <v>2</v>
      </c>
      <c r="Q11" s="41">
        <v>0</v>
      </c>
      <c r="R11" s="41"/>
      <c r="S11" s="40">
        <v>5</v>
      </c>
      <c r="T11" s="40"/>
      <c r="U11" s="42"/>
      <c r="V11" s="192" t="s">
        <v>824</v>
      </c>
      <c r="W11" s="193"/>
      <c r="X11" s="190" t="s">
        <v>807</v>
      </c>
      <c r="Y11" s="191"/>
    </row>
    <row r="12" spans="1:25" ht="18" customHeight="1" thickBot="1" x14ac:dyDescent="0.35">
      <c r="A12" s="6"/>
      <c r="B12" s="5" t="b">
        <v>0</v>
      </c>
      <c r="C12" s="137" t="s">
        <v>321</v>
      </c>
      <c r="D12" s="143"/>
      <c r="E12" s="12">
        <v>1</v>
      </c>
      <c r="F12" s="169" t="s">
        <v>443</v>
      </c>
      <c r="G12" s="170"/>
      <c r="H12" s="170"/>
      <c r="I12" s="170"/>
      <c r="J12" s="170"/>
      <c r="K12" s="170"/>
      <c r="L12" s="170"/>
      <c r="M12" s="170"/>
      <c r="N12" s="171"/>
      <c r="O12" s="149" t="s">
        <v>813</v>
      </c>
      <c r="P12" s="150"/>
      <c r="Q12" s="150"/>
      <c r="R12" s="150"/>
      <c r="S12" s="150"/>
      <c r="T12" s="150"/>
      <c r="U12" s="151"/>
      <c r="V12" s="192" t="s">
        <v>783</v>
      </c>
      <c r="W12" s="193"/>
      <c r="X12" s="192" t="s">
        <v>808</v>
      </c>
      <c r="Y12" s="193"/>
    </row>
    <row r="13" spans="1:25" ht="16.5" thickTop="1" thickBot="1" x14ac:dyDescent="0.3">
      <c r="A13" s="6"/>
      <c r="B13" s="5" t="b">
        <v>1</v>
      </c>
      <c r="C13" s="155" t="s">
        <v>322</v>
      </c>
      <c r="D13" s="156"/>
      <c r="E13" s="13" t="s">
        <v>323</v>
      </c>
      <c r="F13" s="119" t="s">
        <v>249</v>
      </c>
      <c r="G13" s="120"/>
      <c r="H13" s="4" t="str">
        <f>IFERROR(VLOOKUP(F13,Abilities,4,FALSE),"")</f>
        <v>LW2</v>
      </c>
      <c r="I13" s="121" t="s">
        <v>962</v>
      </c>
      <c r="J13" s="120"/>
      <c r="K13" s="35" t="str">
        <f>IFERROR(VLOOKUP(I13,Abilities,4,FALSE),"")</f>
        <v>BLANK</v>
      </c>
      <c r="L13" s="122" t="s">
        <v>234</v>
      </c>
      <c r="M13" s="120"/>
      <c r="N13" s="10" t="str">
        <f>IFERROR(VLOOKUP(L13,Abilities,4,FALSE),"")</f>
        <v>LW2</v>
      </c>
      <c r="O13" s="152"/>
      <c r="P13" s="153"/>
      <c r="Q13" s="153"/>
      <c r="R13" s="153"/>
      <c r="S13" s="153"/>
      <c r="T13" s="153"/>
      <c r="U13" s="154"/>
      <c r="V13" s="192" t="s">
        <v>818</v>
      </c>
      <c r="W13" s="193"/>
      <c r="X13" s="190" t="s">
        <v>809</v>
      </c>
      <c r="Y13" s="191"/>
    </row>
    <row r="14" spans="1:25" ht="15.75" thickBot="1" x14ac:dyDescent="0.3">
      <c r="A14" s="6"/>
      <c r="B14" s="7" t="b">
        <v>0</v>
      </c>
      <c r="F14" s="144">
        <f>IFERROR(VLOOKUP(F13,Abilities,7,FALSE),"")</f>
        <v>0</v>
      </c>
      <c r="G14" s="130"/>
      <c r="H14" s="131"/>
      <c r="I14" s="129" t="str">
        <f>IFERROR(VLOOKUP(I13,Abilities,7,FALSE),"")</f>
        <v xml:space="preserve"> </v>
      </c>
      <c r="J14" s="130"/>
      <c r="K14" s="131"/>
      <c r="L14" s="130">
        <f>IFERROR(VLOOKUP(L13,Abilities,7,FALSE),"")</f>
        <v>0</v>
      </c>
      <c r="M14" s="130"/>
      <c r="N14" s="135"/>
      <c r="O14" s="22"/>
      <c r="P14" s="23" t="s">
        <v>331</v>
      </c>
      <c r="Q14" s="24" t="s">
        <v>332</v>
      </c>
      <c r="R14" s="24" t="s">
        <v>333</v>
      </c>
      <c r="S14" s="24" t="s">
        <v>334</v>
      </c>
      <c r="T14" s="24" t="s">
        <v>336</v>
      </c>
      <c r="U14" s="25" t="s">
        <v>335</v>
      </c>
      <c r="V14" s="190" t="s">
        <v>891</v>
      </c>
      <c r="W14" s="191"/>
      <c r="X14" s="194" t="s">
        <v>814</v>
      </c>
      <c r="Y14" s="195"/>
    </row>
    <row r="15" spans="1:25" ht="15.75" thickBot="1" x14ac:dyDescent="0.3">
      <c r="A15" s="6"/>
      <c r="B15" s="7" t="b">
        <v>0</v>
      </c>
      <c r="F15" s="167"/>
      <c r="G15" s="147"/>
      <c r="H15" s="148"/>
      <c r="I15" s="146"/>
      <c r="J15" s="147"/>
      <c r="K15" s="148"/>
      <c r="L15" s="147"/>
      <c r="M15" s="147"/>
      <c r="N15" s="168"/>
      <c r="O15" s="19" t="s">
        <v>12</v>
      </c>
      <c r="P15" s="4"/>
      <c r="Q15" s="20">
        <v>4</v>
      </c>
      <c r="R15" s="20"/>
      <c r="S15" s="4">
        <v>2</v>
      </c>
      <c r="T15" s="4"/>
      <c r="U15" s="10"/>
      <c r="V15" s="190" t="s">
        <v>823</v>
      </c>
      <c r="W15" s="191"/>
    </row>
    <row r="16" spans="1:25" ht="18" thickBot="1" x14ac:dyDescent="0.35">
      <c r="A16" s="6"/>
      <c r="B16" s="7" t="b">
        <v>0</v>
      </c>
      <c r="F16" s="169" t="s">
        <v>15</v>
      </c>
      <c r="G16" s="170"/>
      <c r="H16" s="170"/>
      <c r="I16" s="170"/>
      <c r="J16" s="170"/>
      <c r="K16" s="170"/>
      <c r="L16" s="170"/>
      <c r="M16" s="170"/>
      <c r="N16" s="171"/>
      <c r="O16" s="26" t="s">
        <v>456</v>
      </c>
      <c r="P16" s="27"/>
      <c r="Q16" s="28">
        <v>4</v>
      </c>
      <c r="R16" s="28"/>
      <c r="S16" s="27">
        <v>2</v>
      </c>
      <c r="T16" s="27"/>
      <c r="U16" s="29"/>
      <c r="V16" s="190" t="s">
        <v>786</v>
      </c>
      <c r="W16" s="191"/>
    </row>
    <row r="17" spans="1:23" ht="16.5" thickTop="1" thickBot="1" x14ac:dyDescent="0.3">
      <c r="A17" s="8"/>
      <c r="B17" s="9" t="b">
        <v>0</v>
      </c>
      <c r="F17" s="121" t="s">
        <v>962</v>
      </c>
      <c r="G17" s="120"/>
      <c r="H17" s="4" t="str">
        <f>IFERROR(VLOOKUP(F17,Abilities,4,FALSE),"")</f>
        <v>BLANK</v>
      </c>
      <c r="I17" s="121" t="s">
        <v>248</v>
      </c>
      <c r="J17" s="120"/>
      <c r="K17" s="35" t="str">
        <f>IFERROR(VLOOKUP(I17,Abilities,4,FALSE),"")</f>
        <v>LW2</v>
      </c>
      <c r="L17" s="121" t="s">
        <v>962</v>
      </c>
      <c r="M17" s="120"/>
      <c r="N17" s="10" t="str">
        <f>IFERROR(VLOOKUP(L17,Abilities,4,FALSE),"")</f>
        <v>BLANK</v>
      </c>
      <c r="O17" s="19" t="s">
        <v>15</v>
      </c>
      <c r="P17" s="4"/>
      <c r="Q17" s="20"/>
      <c r="R17" s="20"/>
      <c r="S17" s="4">
        <v>1</v>
      </c>
      <c r="T17" s="4"/>
      <c r="U17" s="10"/>
      <c r="V17" s="192" t="s">
        <v>772</v>
      </c>
      <c r="W17" s="193"/>
    </row>
    <row r="18" spans="1:23" x14ac:dyDescent="0.25">
      <c r="A18" s="172" t="s">
        <v>344</v>
      </c>
      <c r="B18" s="173"/>
      <c r="F18" s="144" t="str">
        <f>IFERROR(VLOOKUP(F17,Abilities,7,FALSE),"")</f>
        <v xml:space="preserve"> </v>
      </c>
      <c r="G18" s="130"/>
      <c r="H18" s="131"/>
      <c r="I18" s="129">
        <f>IFERROR(VLOOKUP(I17,Abilities,7,FALSE),"")</f>
        <v>0</v>
      </c>
      <c r="J18" s="130"/>
      <c r="K18" s="131"/>
      <c r="L18" s="130" t="str">
        <f>IFERROR(VLOOKUP(L17,Abilities,7,FALSE),"")</f>
        <v xml:space="preserve"> </v>
      </c>
      <c r="M18" s="130"/>
      <c r="N18" s="135"/>
      <c r="O18" s="26" t="s">
        <v>21</v>
      </c>
      <c r="P18" s="27"/>
      <c r="Q18" s="28"/>
      <c r="R18" s="28"/>
      <c r="S18" s="27">
        <v>1</v>
      </c>
      <c r="T18" s="27"/>
      <c r="U18" s="29"/>
      <c r="V18" s="190" t="s">
        <v>788</v>
      </c>
      <c r="W18" s="191"/>
    </row>
    <row r="19" spans="1:23" ht="15.75" thickBot="1" x14ac:dyDescent="0.3">
      <c r="A19" s="174"/>
      <c r="B19" s="175"/>
      <c r="D19" s="3"/>
      <c r="F19" s="167"/>
      <c r="G19" s="147"/>
      <c r="H19" s="148"/>
      <c r="I19" s="146"/>
      <c r="J19" s="147"/>
      <c r="K19" s="148"/>
      <c r="L19" s="147"/>
      <c r="M19" s="147"/>
      <c r="N19" s="168"/>
      <c r="O19" s="21" t="s">
        <v>457</v>
      </c>
      <c r="P19" s="4"/>
      <c r="Q19" s="20"/>
      <c r="R19" s="20"/>
      <c r="S19" s="4">
        <v>1</v>
      </c>
      <c r="T19" s="4"/>
      <c r="U19" s="10"/>
      <c r="V19" s="192" t="s">
        <v>789</v>
      </c>
      <c r="W19" s="193"/>
    </row>
    <row r="20" spans="1:23" ht="18" thickBot="1" x14ac:dyDescent="0.35">
      <c r="A20" s="176" t="s">
        <v>775</v>
      </c>
      <c r="B20" s="177"/>
      <c r="C20" s="178"/>
      <c r="D20" s="178"/>
      <c r="E20" s="179"/>
      <c r="F20" s="169" t="s">
        <v>21</v>
      </c>
      <c r="G20" s="170"/>
      <c r="H20" s="170"/>
      <c r="I20" s="170"/>
      <c r="J20" s="170"/>
      <c r="K20" s="170"/>
      <c r="L20" s="170"/>
      <c r="M20" s="170"/>
      <c r="N20" s="171"/>
      <c r="O20" s="26" t="s">
        <v>458</v>
      </c>
      <c r="P20" s="27"/>
      <c r="Q20" s="28"/>
      <c r="R20" s="28"/>
      <c r="S20" s="27">
        <v>1</v>
      </c>
      <c r="T20" s="27"/>
      <c r="U20" s="29"/>
      <c r="V20" s="192" t="s">
        <v>790</v>
      </c>
      <c r="W20" s="193"/>
    </row>
    <row r="21" spans="1:23" ht="15.75" thickTop="1" x14ac:dyDescent="0.25">
      <c r="A21" s="176"/>
      <c r="B21" s="177"/>
      <c r="C21" s="177"/>
      <c r="D21" s="177"/>
      <c r="E21" s="180"/>
      <c r="F21" s="119" t="s">
        <v>237</v>
      </c>
      <c r="G21" s="120"/>
      <c r="H21" s="4" t="str">
        <f>IFERROR(VLOOKUP(F21,Abilities,4,FALSE),"")</f>
        <v>LW2</v>
      </c>
      <c r="I21" s="121" t="s">
        <v>962</v>
      </c>
      <c r="J21" s="120"/>
      <c r="K21" s="35" t="str">
        <f>IFERROR(VLOOKUP(I21,Abilities,4,FALSE),"")</f>
        <v>BLANK</v>
      </c>
      <c r="L21" s="122" t="s">
        <v>17</v>
      </c>
      <c r="M21" s="120"/>
      <c r="N21" s="10" t="str">
        <f>IFERROR(VLOOKUP(L21,Abilities,4,FALSE),"")</f>
        <v>XCOM2</v>
      </c>
      <c r="O21" s="36" t="s">
        <v>459</v>
      </c>
      <c r="P21" s="37"/>
      <c r="Q21" s="37"/>
      <c r="R21" s="37"/>
      <c r="S21" s="37">
        <v>1</v>
      </c>
      <c r="T21" s="37"/>
      <c r="U21" s="38"/>
      <c r="V21" s="190" t="s">
        <v>791</v>
      </c>
      <c r="W21" s="191"/>
    </row>
    <row r="22" spans="1:23" ht="15.75" thickBot="1" x14ac:dyDescent="0.3">
      <c r="A22" s="181"/>
      <c r="B22" s="182"/>
      <c r="C22" s="182"/>
      <c r="D22" s="182"/>
      <c r="E22" s="183"/>
      <c r="F22" s="144">
        <f>IFERROR(VLOOKUP(F21,Abilities,7,FALSE),"")</f>
        <v>0</v>
      </c>
      <c r="G22" s="130"/>
      <c r="H22" s="131"/>
      <c r="I22" s="129" t="str">
        <f>IFERROR(VLOOKUP(I21,Abilities,7,FALSE),"")</f>
        <v xml:space="preserve"> </v>
      </c>
      <c r="J22" s="130"/>
      <c r="K22" s="131"/>
      <c r="L22" s="130" t="str">
        <f>IFERROR(VLOOKUP(L21,Abilities,7,FALSE),"")</f>
        <v>Deal +2 extra damage on all sword attacks.</v>
      </c>
      <c r="M22" s="130"/>
      <c r="N22" s="135"/>
      <c r="O22" s="39" t="s">
        <v>460</v>
      </c>
      <c r="P22" s="40"/>
      <c r="Q22" s="41"/>
      <c r="R22" s="41"/>
      <c r="S22" s="40">
        <v>1</v>
      </c>
      <c r="T22" s="40"/>
      <c r="U22" s="42"/>
      <c r="V22" s="192" t="s">
        <v>792</v>
      </c>
      <c r="W22" s="193"/>
    </row>
    <row r="23" spans="1:23" ht="15.75" thickBot="1" x14ac:dyDescent="0.3">
      <c r="A23" s="184" t="s">
        <v>352</v>
      </c>
      <c r="B23" s="185"/>
      <c r="C23" s="185"/>
      <c r="D23" s="185"/>
      <c r="E23" s="186"/>
      <c r="F23" s="167"/>
      <c r="G23" s="147"/>
      <c r="H23" s="148"/>
      <c r="I23" s="146"/>
      <c r="J23" s="147"/>
      <c r="K23" s="148"/>
      <c r="L23" s="147"/>
      <c r="M23" s="147"/>
      <c r="N23" s="168"/>
      <c r="O23" s="14"/>
      <c r="P23" s="14"/>
      <c r="Q23" s="3"/>
      <c r="V23" s="190" t="s">
        <v>793</v>
      </c>
      <c r="W23" s="191"/>
    </row>
    <row r="24" spans="1:23" ht="18" thickBot="1" x14ac:dyDescent="0.35">
      <c r="A24" s="187"/>
      <c r="B24" s="188"/>
      <c r="C24" s="188"/>
      <c r="D24" s="188"/>
      <c r="E24" s="189"/>
      <c r="F24" s="169" t="s">
        <v>444</v>
      </c>
      <c r="G24" s="170"/>
      <c r="H24" s="170"/>
      <c r="I24" s="170"/>
      <c r="J24" s="170"/>
      <c r="K24" s="170"/>
      <c r="L24" s="170"/>
      <c r="M24" s="170"/>
      <c r="N24" s="171"/>
      <c r="O24" s="14"/>
      <c r="P24" s="14"/>
      <c r="Q24" s="3"/>
      <c r="V24" s="192" t="s">
        <v>896</v>
      </c>
      <c r="W24" s="193"/>
    </row>
    <row r="25" spans="1:23" ht="15.75" thickTop="1" x14ac:dyDescent="0.25">
      <c r="A25" s="50"/>
      <c r="B25" s="51"/>
      <c r="C25" s="51"/>
      <c r="D25" s="51"/>
      <c r="E25" s="52"/>
      <c r="F25" s="119" t="s">
        <v>19</v>
      </c>
      <c r="G25" s="120"/>
      <c r="H25" s="4" t="str">
        <f>IFERROR(VLOOKUP(F25,Abilities,4,FALSE),"")</f>
        <v>LW2</v>
      </c>
      <c r="I25" s="121" t="s">
        <v>962</v>
      </c>
      <c r="J25" s="120"/>
      <c r="K25" s="35" t="str">
        <f>IFERROR(VLOOKUP(I25,Abilities,4,FALSE),"")</f>
        <v>BLANK</v>
      </c>
      <c r="L25" s="122" t="s">
        <v>35</v>
      </c>
      <c r="M25" s="120"/>
      <c r="N25" s="10" t="str">
        <f>IFERROR(VLOOKUP(L25,Abilities,4,FALSE),"")</f>
        <v>XCOM2</v>
      </c>
      <c r="O25" s="14"/>
      <c r="P25" s="14"/>
      <c r="Q25" s="3"/>
      <c r="V25" s="190" t="s">
        <v>897</v>
      </c>
      <c r="W25" s="191"/>
    </row>
    <row r="26" spans="1:23" x14ac:dyDescent="0.25">
      <c r="A26" s="50"/>
      <c r="B26" s="51"/>
      <c r="C26" s="51"/>
      <c r="D26" s="51"/>
      <c r="E26" s="52"/>
      <c r="F26" s="144">
        <f>IFERROR(VLOOKUP(F25,Abilities,7,FALSE),"")</f>
        <v>0</v>
      </c>
      <c r="G26" s="130"/>
      <c r="H26" s="131"/>
      <c r="I26" s="129" t="str">
        <f>IFERROR(VLOOKUP(I25,Abilities,7,FALSE),"")</f>
        <v xml:space="preserve"> </v>
      </c>
      <c r="J26" s="130"/>
      <c r="K26" s="131"/>
      <c r="L26" s="130" t="str">
        <f>IFERROR(VLOOKUP(L25,Abilities,7,FALSE),"")</f>
        <v>Free sword attacks on enemies that enter or attack from melee range. If an enemy attempts to attack a Ranger with Bladestorm within melee range, Bladestorm will activate before the enemy attack.</v>
      </c>
      <c r="M26" s="130"/>
      <c r="N26" s="135"/>
      <c r="O26" s="14"/>
      <c r="P26" s="14"/>
      <c r="Q26" s="3"/>
      <c r="V26" s="190" t="s">
        <v>895</v>
      </c>
      <c r="W26" s="191"/>
    </row>
    <row r="27" spans="1:23" ht="15.75" thickBot="1" x14ac:dyDescent="0.3">
      <c r="A27" s="50"/>
      <c r="B27" s="51"/>
      <c r="C27" s="51"/>
      <c r="D27" s="51"/>
      <c r="E27" s="52"/>
      <c r="F27" s="167"/>
      <c r="G27" s="147"/>
      <c r="H27" s="148"/>
      <c r="I27" s="146"/>
      <c r="J27" s="147"/>
      <c r="K27" s="148"/>
      <c r="L27" s="147"/>
      <c r="M27" s="147"/>
      <c r="N27" s="168"/>
      <c r="O27" s="14"/>
      <c r="P27" s="14"/>
      <c r="Q27" s="3"/>
      <c r="V27" s="192" t="s">
        <v>798</v>
      </c>
      <c r="W27" s="193"/>
    </row>
    <row r="28" spans="1:23" ht="18" thickBot="1" x14ac:dyDescent="0.35">
      <c r="A28" s="50"/>
      <c r="B28" s="51"/>
      <c r="C28" s="51"/>
      <c r="D28" s="51"/>
      <c r="E28" s="52"/>
      <c r="F28" s="169" t="s">
        <v>445</v>
      </c>
      <c r="G28" s="170"/>
      <c r="H28" s="170"/>
      <c r="I28" s="170"/>
      <c r="J28" s="170"/>
      <c r="K28" s="170"/>
      <c r="L28" s="170"/>
      <c r="M28" s="170"/>
      <c r="N28" s="171"/>
      <c r="O28" s="14"/>
      <c r="P28" s="14"/>
      <c r="Q28" s="3"/>
      <c r="V28" s="190" t="s">
        <v>799</v>
      </c>
      <c r="W28" s="191"/>
    </row>
    <row r="29" spans="1:23" ht="15.75" thickTop="1" x14ac:dyDescent="0.25">
      <c r="A29" s="50"/>
      <c r="B29" s="51"/>
      <c r="C29" s="51"/>
      <c r="D29" s="51"/>
      <c r="E29" s="52"/>
      <c r="F29" s="119" t="s">
        <v>246</v>
      </c>
      <c r="G29" s="120"/>
      <c r="H29" s="4" t="str">
        <f>IFERROR(VLOOKUP(F29,Abilities,4,FALSE),"")</f>
        <v>LW2</v>
      </c>
      <c r="I29" s="121" t="s">
        <v>962</v>
      </c>
      <c r="J29" s="120"/>
      <c r="K29" s="35" t="str">
        <f>IFERROR(VLOOKUP(I29,Abilities,4,FALSE),"")</f>
        <v>BLANK</v>
      </c>
      <c r="L29" s="122" t="s">
        <v>979</v>
      </c>
      <c r="M29" s="120"/>
      <c r="N29" s="10" t="str">
        <f>IFERROR(VLOOKUP(L29,Abilities,4,FALSE),"")</f>
        <v>LW2</v>
      </c>
      <c r="O29" s="14"/>
      <c r="P29" s="14"/>
      <c r="Q29" s="3"/>
      <c r="V29" s="190" t="s">
        <v>825</v>
      </c>
      <c r="W29" s="191"/>
    </row>
    <row r="30" spans="1:23" x14ac:dyDescent="0.25">
      <c r="A30" s="50"/>
      <c r="B30" s="51"/>
      <c r="C30" s="51"/>
      <c r="D30" s="51"/>
      <c r="E30" s="52"/>
      <c r="F30" s="144">
        <f>IFERROR(VLOOKUP(F29,Abilities,7,FALSE),"")</f>
        <v>0</v>
      </c>
      <c r="G30" s="130"/>
      <c r="H30" s="131"/>
      <c r="I30" s="129" t="str">
        <f>IFERROR(VLOOKUP(I29,Abilities,7,FALSE),"")</f>
        <v xml:space="preserve"> </v>
      </c>
      <c r="J30" s="130"/>
      <c r="K30" s="131"/>
      <c r="L30" s="130" t="str">
        <f>IFERROR(VLOOKUP(L29,Abilities,7,FALSE),"")</f>
        <v>Gain a bonus move action after hitting an enemy with your sword.</v>
      </c>
      <c r="M30" s="130"/>
      <c r="N30" s="135"/>
      <c r="O30" s="14"/>
      <c r="P30" s="14"/>
      <c r="Q30" s="3"/>
      <c r="V30" s="190" t="s">
        <v>819</v>
      </c>
      <c r="W30" s="191"/>
    </row>
    <row r="31" spans="1:23" ht="15.75" thickBot="1" x14ac:dyDescent="0.3">
      <c r="A31" s="50"/>
      <c r="B31" s="51"/>
      <c r="C31" s="51"/>
      <c r="D31" s="51"/>
      <c r="E31" s="52"/>
      <c r="F31" s="167"/>
      <c r="G31" s="147"/>
      <c r="H31" s="148"/>
      <c r="I31" s="146"/>
      <c r="J31" s="147"/>
      <c r="K31" s="148"/>
      <c r="L31" s="147"/>
      <c r="M31" s="147"/>
      <c r="N31" s="168"/>
      <c r="O31" s="14"/>
      <c r="P31" s="14"/>
      <c r="Q31" s="3"/>
      <c r="V31" s="192" t="s">
        <v>820</v>
      </c>
      <c r="W31" s="193"/>
    </row>
    <row r="32" spans="1:23" ht="18" thickBot="1" x14ac:dyDescent="0.35">
      <c r="A32" s="50"/>
      <c r="B32" s="51"/>
      <c r="C32" s="51"/>
      <c r="D32" s="51"/>
      <c r="E32" s="52"/>
      <c r="F32" s="169" t="s">
        <v>446</v>
      </c>
      <c r="G32" s="170"/>
      <c r="H32" s="170"/>
      <c r="I32" s="170"/>
      <c r="J32" s="170"/>
      <c r="K32" s="170"/>
      <c r="L32" s="170"/>
      <c r="M32" s="170"/>
      <c r="N32" s="171"/>
      <c r="O32" s="14"/>
      <c r="P32" s="14"/>
      <c r="Q32" s="3"/>
      <c r="V32" s="192" t="s">
        <v>815</v>
      </c>
      <c r="W32" s="193"/>
    </row>
    <row r="33" spans="1:23" ht="15.75" thickTop="1" x14ac:dyDescent="0.25">
      <c r="A33" s="50"/>
      <c r="B33" s="51"/>
      <c r="C33" s="51"/>
      <c r="D33" s="51"/>
      <c r="E33" s="52"/>
      <c r="F33" s="121" t="s">
        <v>962</v>
      </c>
      <c r="G33" s="120"/>
      <c r="H33" s="4" t="str">
        <f>IFERROR(VLOOKUP(F33,Abilities,4,FALSE),"")</f>
        <v>BLANK</v>
      </c>
      <c r="I33" s="121" t="s">
        <v>408</v>
      </c>
      <c r="J33" s="120"/>
      <c r="K33" s="35" t="str">
        <f>IFERROR(VLOOKUP(I33,Abilities,4,FALSE),"")</f>
        <v>LW2</v>
      </c>
      <c r="L33" s="121" t="s">
        <v>962</v>
      </c>
      <c r="M33" s="120"/>
      <c r="N33" s="10" t="str">
        <f>IFERROR(VLOOKUP(L33,Abilities,4,FALSE),"")</f>
        <v>BLANK</v>
      </c>
      <c r="O33" s="14"/>
      <c r="P33" s="14"/>
      <c r="Q33" s="3"/>
      <c r="V33" s="192" t="s">
        <v>822</v>
      </c>
      <c r="W33" s="193"/>
    </row>
    <row r="34" spans="1:23" x14ac:dyDescent="0.25">
      <c r="A34" s="50"/>
      <c r="B34" s="51"/>
      <c r="C34" s="51"/>
      <c r="D34" s="51"/>
      <c r="E34" s="52"/>
      <c r="F34" s="144" t="str">
        <f>IFERROR(VLOOKUP(F33,Abilities,7,FALSE),"")</f>
        <v xml:space="preserve"> </v>
      </c>
      <c r="G34" s="130"/>
      <c r="H34" s="131"/>
      <c r="I34" s="129">
        <f>IFERROR(VLOOKUP(I33,Abilities,7,FALSE),"")</f>
        <v>0</v>
      </c>
      <c r="J34" s="130"/>
      <c r="K34" s="131"/>
      <c r="L34" s="130" t="str">
        <f>IFERROR(VLOOKUP(L33,Abilities,7,FALSE),"")</f>
        <v xml:space="preserve"> </v>
      </c>
      <c r="M34" s="130"/>
      <c r="N34" s="135"/>
      <c r="O34" s="14"/>
      <c r="P34" s="14"/>
      <c r="Q34" s="3"/>
      <c r="V34" s="190" t="s">
        <v>816</v>
      </c>
      <c r="W34" s="191"/>
    </row>
    <row r="35" spans="1:23" ht="15.75" thickBot="1" x14ac:dyDescent="0.3">
      <c r="A35" s="50"/>
      <c r="B35" s="51"/>
      <c r="C35" s="51"/>
      <c r="D35" s="51"/>
      <c r="E35" s="52"/>
      <c r="F35" s="167"/>
      <c r="G35" s="147"/>
      <c r="H35" s="148"/>
      <c r="I35" s="146"/>
      <c r="J35" s="147"/>
      <c r="K35" s="148"/>
      <c r="L35" s="147"/>
      <c r="M35" s="147"/>
      <c r="N35" s="168"/>
      <c r="O35" s="14"/>
      <c r="P35" s="14"/>
      <c r="Q35" s="3"/>
      <c r="V35" s="194" t="s">
        <v>892</v>
      </c>
      <c r="W35" s="195"/>
    </row>
    <row r="36" spans="1:23" ht="18" thickBot="1" x14ac:dyDescent="0.35">
      <c r="A36" s="50"/>
      <c r="B36" s="51"/>
      <c r="C36" s="51"/>
      <c r="D36" s="51"/>
      <c r="E36" s="52"/>
      <c r="F36" s="169" t="s">
        <v>447</v>
      </c>
      <c r="G36" s="170"/>
      <c r="H36" s="170"/>
      <c r="I36" s="170"/>
      <c r="J36" s="170"/>
      <c r="K36" s="170"/>
      <c r="L36" s="170"/>
      <c r="M36" s="170"/>
      <c r="N36" s="171"/>
    </row>
    <row r="37" spans="1:23" ht="15.75" thickTop="1" x14ac:dyDescent="0.25">
      <c r="A37" s="50"/>
      <c r="B37" s="51"/>
      <c r="C37" s="51"/>
      <c r="D37" s="51"/>
      <c r="E37" s="52"/>
      <c r="F37" s="119" t="s">
        <v>510</v>
      </c>
      <c r="G37" s="120"/>
      <c r="H37" s="4" t="str">
        <f>IFERROR(VLOOKUP(F37,Abilities,4,FALSE),"")</f>
        <v>SOLW</v>
      </c>
      <c r="I37" s="121" t="s">
        <v>962</v>
      </c>
      <c r="J37" s="120"/>
      <c r="K37" s="35" t="str">
        <f>IFERROR(VLOOKUP(I37,Abilities,4,FALSE),"")</f>
        <v>BLANK</v>
      </c>
      <c r="L37" s="122" t="s">
        <v>48</v>
      </c>
      <c r="M37" s="120"/>
      <c r="N37" s="10" t="str">
        <f>IFERROR(VLOOKUP(L37,Abilities,4,FALSE),"")</f>
        <v>XCOM2</v>
      </c>
    </row>
    <row r="38" spans="1:23" x14ac:dyDescent="0.25">
      <c r="A38" s="50"/>
      <c r="B38" s="51"/>
      <c r="C38" s="51"/>
      <c r="D38" s="51"/>
      <c r="E38" s="52"/>
      <c r="F38" s="144" t="str">
        <f>IFERROR(VLOOKUP(F37,Abilities,7,FALSE),"")</f>
        <v>When you kill a flanked or uncovered enemy with your &lt;Ability:WeaponName/&gt;, you gain concealment.</v>
      </c>
      <c r="G38" s="130"/>
      <c r="H38" s="131"/>
      <c r="I38" s="129" t="str">
        <f>IFERROR(VLOOKUP(I37,Abilities,7,FALSE),"")</f>
        <v xml:space="preserve"> </v>
      </c>
      <c r="J38" s="130"/>
      <c r="K38" s="131"/>
      <c r="L38" s="130" t="str">
        <f>IFERROR(VLOOKUP(L37,Abilities,7,FALSE),"")</f>
        <v>A devastating chain melee attack where the first melee attack cannot miss. Each melee kill in Reaper mode grants an extra action, but further melee attacks deal reduced damage. 4 turn cooldown.</v>
      </c>
      <c r="M38" s="130"/>
      <c r="N38" s="135"/>
    </row>
    <row r="39" spans="1:23" ht="15.75" thickBot="1" x14ac:dyDescent="0.3">
      <c r="A39" s="53"/>
      <c r="B39" s="54"/>
      <c r="C39" s="54"/>
      <c r="D39" s="54"/>
      <c r="E39" s="55"/>
      <c r="F39" s="167"/>
      <c r="G39" s="147"/>
      <c r="H39" s="148"/>
      <c r="I39" s="146"/>
      <c r="J39" s="147"/>
      <c r="K39" s="148"/>
      <c r="L39" s="147"/>
      <c r="M39" s="147"/>
      <c r="N39" s="168"/>
    </row>
    <row r="40" spans="1:23" ht="15" customHeight="1" x14ac:dyDescent="0.25">
      <c r="A40" s="86" t="s">
        <v>1200</v>
      </c>
      <c r="B40" s="86"/>
      <c r="C40" s="88" t="str">
        <f>SUBSTITUTE(C1," ","")</f>
        <v>Shinobi</v>
      </c>
      <c r="D40" s="88"/>
      <c r="E40" s="88"/>
      <c r="F40" s="238"/>
      <c r="G40" s="238"/>
      <c r="H40" s="237"/>
      <c r="I40" s="237"/>
      <c r="J40" s="237"/>
    </row>
    <row r="41" spans="1:23" ht="15" customHeight="1" thickBot="1" x14ac:dyDescent="0.3">
      <c r="A41" s="87"/>
      <c r="B41" s="87"/>
      <c r="C41" s="89"/>
      <c r="D41" s="89"/>
      <c r="E41" s="89"/>
      <c r="F41" s="239"/>
      <c r="G41" s="239"/>
      <c r="H41" s="237"/>
      <c r="I41" s="237"/>
      <c r="J41" s="237"/>
    </row>
    <row r="42" spans="1:23" ht="16.5" thickBot="1" x14ac:dyDescent="0.3">
      <c r="A42" s="242" t="s">
        <v>339</v>
      </c>
      <c r="B42" s="244"/>
      <c r="C42" s="253" t="s">
        <v>342</v>
      </c>
      <c r="D42" s="247"/>
      <c r="E42" s="251" t="s">
        <v>343</v>
      </c>
      <c r="F42" s="250"/>
      <c r="G42" s="234"/>
      <c r="H42" s="235"/>
      <c r="I42" s="235"/>
      <c r="J42" s="235"/>
    </row>
    <row r="43" spans="1:23" x14ac:dyDescent="0.25">
      <c r="A43" s="243" t="str">
        <f ca="1">"; "&amp;INDIRECT("C1")&amp;" class data"</f>
        <v>; Shinobi class data</v>
      </c>
      <c r="B43" s="234" t="s">
        <v>340</v>
      </c>
      <c r="C43" s="254" t="str">
        <f ca="1">"; "&amp;INDIRECT("C1")&amp;" class loadout"</f>
        <v>; Shinobi class loadout</v>
      </c>
      <c r="D43" s="234" t="s">
        <v>340</v>
      </c>
      <c r="E43" s="252" t="str">
        <f ca="1">"["&amp;INDIRECT("C3")&amp;" X2SoldierClassTemplate]"</f>
        <v>[LWD_Shinobi X2SoldierClassTemplate]</v>
      </c>
      <c r="F43" s="234" t="s">
        <v>340</v>
      </c>
      <c r="G43" s="234"/>
      <c r="H43" s="235"/>
      <c r="I43" s="235"/>
      <c r="J43" s="235"/>
    </row>
    <row r="44" spans="1:23" x14ac:dyDescent="0.25">
      <c r="A44" s="240"/>
      <c r="B44" s="234"/>
      <c r="C44" s="245"/>
      <c r="D44" s="234" t="s">
        <v>340</v>
      </c>
      <c r="E44" s="248" t="str">
        <f ca="1">"+DisplayName="""&amp;INDIRECT("C1")&amp;""""</f>
        <v>+DisplayName="Shinobi"</v>
      </c>
      <c r="F44" s="234" t="s">
        <v>340</v>
      </c>
      <c r="G44" s="234"/>
      <c r="H44" s="235"/>
      <c r="I44" s="235"/>
      <c r="J44" s="235"/>
    </row>
    <row r="45" spans="1:23" x14ac:dyDescent="0.25">
      <c r="A45" s="240" t="str">
        <f>"[XComGame.X2SoldierClass_DefaultClasses]"</f>
        <v>[XComGame.X2SoldierClass_DefaultClasses]</v>
      </c>
      <c r="B45" s="234" t="s">
        <v>340</v>
      </c>
      <c r="C45" s="245" t="s">
        <v>341</v>
      </c>
      <c r="D45" s="234" t="s">
        <v>340</v>
      </c>
      <c r="E45" s="248" t="str">
        <f ca="1">"+ClassSummary="""&amp;INDIRECT("A20")&amp;""""</f>
        <v>+ClassSummary="The Shinobi serves as a capable scouting unit, using a sword to deliver stealthy close-range attacks."</v>
      </c>
      <c r="F45" s="234" t="s">
        <v>340</v>
      </c>
      <c r="G45" s="234"/>
      <c r="H45" s="235"/>
      <c r="I45" s="235"/>
      <c r="J45" s="235"/>
    </row>
    <row r="46" spans="1:23" x14ac:dyDescent="0.25">
      <c r="A46" s="240" t="str">
        <f ca="1">"+SoldierClasses="&amp;INDIRECT("C3")</f>
        <v>+SoldierClasses=LWD_Shinobi</v>
      </c>
      <c r="B46" s="234" t="s">
        <v>340</v>
      </c>
      <c r="C46" s="245"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+Loadouts=(LoadoutName="SquaddieLWD_Shinobi", Items[0]=(Item="AssaultRifle_CV"), Items[1]=(Item="Sword_CV"))</v>
      </c>
      <c r="D46" s="234" t="s">
        <v>340</v>
      </c>
      <c r="E46" s="248" t="str">
        <f ca="1">"+LeftAbilityTreeTitle="""&amp;INDIRECT("F11")&amp;""""</f>
        <v>+LeftAbilityTreeTitle="Saboteur"</v>
      </c>
      <c r="F46" s="234" t="s">
        <v>340</v>
      </c>
      <c r="G46" s="234"/>
      <c r="H46" s="235"/>
      <c r="I46" s="234"/>
      <c r="J46" s="234"/>
    </row>
    <row r="47" spans="1:23" x14ac:dyDescent="0.25">
      <c r="A47" s="240"/>
      <c r="B47" s="234" t="s">
        <v>340</v>
      </c>
      <c r="C47" s="245"/>
      <c r="D47" s="234" t="s">
        <v>340</v>
      </c>
      <c r="E47" s="248" t="str">
        <f ca="1">"+RightAbilityTreeTitle="""&amp;INDIRECT("L11")&amp;""""</f>
        <v>+RightAbilityTreeTitle="Kenshi"</v>
      </c>
      <c r="F47" s="234" t="s">
        <v>340</v>
      </c>
      <c r="G47" s="234"/>
      <c r="H47" s="235"/>
      <c r="I47" s="234"/>
      <c r="J47" s="234"/>
    </row>
    <row r="48" spans="1:23" x14ac:dyDescent="0.25">
      <c r="A48" s="240" t="str">
        <f ca="1">"["&amp;INDIRECT("C3")&amp;" X2SoldierClassTemplate]"</f>
        <v>[LWD_Shinobi X2SoldierClassTemplate]</v>
      </c>
      <c r="B48" s="234" t="s">
        <v>340</v>
      </c>
      <c r="C48" s="245" t="s">
        <v>351</v>
      </c>
      <c r="D48" s="234" t="s">
        <v>340</v>
      </c>
      <c r="E48" s="248" t="str">
        <f>"; Nicknames"</f>
        <v>; Nicknames</v>
      </c>
      <c r="F48" s="234" t="s">
        <v>340</v>
      </c>
      <c r="G48" s="234"/>
      <c r="H48" s="234"/>
      <c r="I48" s="234"/>
      <c r="J48" s="234"/>
    </row>
    <row r="49" spans="1:10" ht="15.75" thickBot="1" x14ac:dyDescent="0.3">
      <c r="A49" s="240" t="str">
        <f ca="1">"+bMultiplayerOnly="&amp;INDIRECT("E6")</f>
        <v>+bMultiplayerOnly=0</v>
      </c>
      <c r="B49" s="234" t="s">
        <v>340</v>
      </c>
      <c r="C49" s="246" t="str">
        <f ca="1">"+DEBUG_StartingSoldierClasses="""&amp;INDIRECT("C3")&amp;""""</f>
        <v>+DEBUG_StartingSoldierClasses="LWD_Shinobi"</v>
      </c>
      <c r="D49" s="234" t="s">
        <v>340</v>
      </c>
      <c r="E49" s="248" t="str">
        <f ca="1">IF(INDIRECT("V4")&lt;&gt;"","RandomNickNames[0]="""&amp;INDIRECT("V4")&amp;"""","")</f>
        <v>RandomNickNames[0]="Angel"</v>
      </c>
      <c r="F49" s="234" t="s">
        <v>340</v>
      </c>
      <c r="G49" s="234"/>
      <c r="H49" s="234"/>
      <c r="I49" s="234"/>
      <c r="J49" s="234"/>
    </row>
    <row r="50" spans="1:10" x14ac:dyDescent="0.25">
      <c r="A50" s="240" t="str">
        <f ca="1">"+ClassPoints="&amp;INDIRECT("E7")</f>
        <v>+ClassPoints=4</v>
      </c>
      <c r="B50" s="234" t="s">
        <v>340</v>
      </c>
      <c r="C50" s="234"/>
      <c r="D50" s="234"/>
      <c r="E50" s="248" t="str">
        <f ca="1">IF(INDIRECT("V5")&lt;&gt;"","RandomNickNames[1]="""&amp;INDIRECT("V5")&amp;"""","")</f>
        <v>RandomNickNames[1]="Bargain"</v>
      </c>
      <c r="F50" s="234" t="s">
        <v>340</v>
      </c>
      <c r="G50" s="234"/>
      <c r="H50" s="234"/>
      <c r="I50" s="234"/>
      <c r="J50" s="234"/>
    </row>
    <row r="51" spans="1:10" x14ac:dyDescent="0.25">
      <c r="A51" s="240" t="str">
        <f ca="1">"+IconImage="&amp;""""&amp;INDIRECT("E8")&amp;""""</f>
        <v>+IconImage="img:///UILibrary_LW_PerkPack.Class_Shinobi"</v>
      </c>
      <c r="B51" s="234" t="s">
        <v>340</v>
      </c>
      <c r="C51" s="234"/>
      <c r="D51" s="234"/>
      <c r="E51" s="248" t="str">
        <f ca="1">IF(INDIRECT("V6")&lt;&gt;"","RandomNickNames[2]="""&amp;INDIRECT("V6")&amp;"""","")</f>
        <v>RandomNickNames[2]="Nightlight"</v>
      </c>
      <c r="F51" s="234" t="s">
        <v>340</v>
      </c>
      <c r="G51" s="234"/>
      <c r="H51" s="234"/>
      <c r="I51" s="234"/>
      <c r="J51" s="234"/>
    </row>
    <row r="52" spans="1:10" x14ac:dyDescent="0.25">
      <c r="A52" s="240" t="str">
        <f ca="1">"+NumInForcedDeck="&amp;INDIRECT("E9")</f>
        <v>+NumInForcedDeck=1</v>
      </c>
      <c r="B52" s="234" t="s">
        <v>340</v>
      </c>
      <c r="C52" s="234"/>
      <c r="D52" s="234"/>
      <c r="E52" s="248" t="str">
        <f ca="1">IF(INDIRECT("V7")&lt;&gt;"","RandomNickNames[3]="""&amp;INDIRECT("V7")&amp;"""","")</f>
        <v>RandomNickNames[3]="Bishop"</v>
      </c>
      <c r="F52" s="234" t="s">
        <v>340</v>
      </c>
      <c r="G52" s="234"/>
      <c r="H52" s="234"/>
      <c r="I52" s="234"/>
      <c r="J52" s="234"/>
    </row>
    <row r="53" spans="1:10" x14ac:dyDescent="0.25">
      <c r="A53" s="240" t="str">
        <f ca="1">"+NumInDeck="&amp;INDIRECT("E10")</f>
        <v>+NumInDeck=4</v>
      </c>
      <c r="B53" s="234" t="s">
        <v>340</v>
      </c>
      <c r="C53" s="234"/>
      <c r="D53" s="234"/>
      <c r="E53" s="248" t="str">
        <f ca="1">IF(INDIRECT("V8")&lt;&gt;"","RandomNickNames[4]="""&amp;INDIRECT("V8")&amp;"""","")</f>
        <v>RandomNickNames[4]="Cloak"</v>
      </c>
      <c r="F53" s="234" t="s">
        <v>340</v>
      </c>
      <c r="G53" s="234"/>
      <c r="H53" s="234"/>
      <c r="I53" s="234"/>
      <c r="J53" s="234"/>
    </row>
    <row r="54" spans="1:10" x14ac:dyDescent="0.25">
      <c r="A54" s="240" t="str">
        <f ca="1">"+KillAssistsPerKill="&amp;INDIRECT("E11")</f>
        <v>+KillAssistsPerKill=4</v>
      </c>
      <c r="B54" s="234" t="s">
        <v>340</v>
      </c>
      <c r="C54" s="234"/>
      <c r="D54" s="234"/>
      <c r="E54" s="248" t="str">
        <f ca="1">IF(INDIRECT("V9")&lt;&gt;"","RandomNickNames[5]="""&amp;INDIRECT("V9")&amp;"""","")</f>
        <v>RandomNickNames[5]="Breaker"</v>
      </c>
      <c r="F54" s="234" t="s">
        <v>340</v>
      </c>
      <c r="G54" s="234"/>
      <c r="H54" s="234"/>
      <c r="I54" s="234"/>
      <c r="J54" s="234"/>
    </row>
    <row r="55" spans="1:10" x14ac:dyDescent="0.25">
      <c r="A55" s="240" t="str">
        <f ca="1">"+SquaddieLoadout=Squaddie"&amp;INDIRECT("C3")</f>
        <v>+SquaddieLoadout=SquaddieLWD_Shinobi</v>
      </c>
      <c r="B55" s="234" t="s">
        <v>340</v>
      </c>
      <c r="C55" s="234"/>
      <c r="D55" s="234"/>
      <c r="E55" s="248" t="str">
        <f ca="1">IF(INDIRECT("V10")&lt;&gt;"","RandomNickNames[6]="""&amp;INDIRECT("V10")&amp;"""","")</f>
        <v>RandomNickNames[6]="Broker"</v>
      </c>
      <c r="F55" s="234" t="s">
        <v>340</v>
      </c>
      <c r="G55" s="234"/>
      <c r="H55" s="234"/>
      <c r="I55" s="234"/>
      <c r="J55" s="234"/>
    </row>
    <row r="56" spans="1:10" x14ac:dyDescent="0.25">
      <c r="A56" s="240" t="str">
        <f ca="1">";+bAllowAWCAbilities="&amp;INDIRECT("E12")&amp;" ; Not a thing in LW2"</f>
        <v>;+bAllowAWCAbilities=1 ; Not a thing in LW2</v>
      </c>
      <c r="B56" s="234" t="s">
        <v>340</v>
      </c>
      <c r="C56" s="234"/>
      <c r="D56" s="234"/>
      <c r="E56" s="248" t="str">
        <f ca="1">IF(INDIRECT("V11")&lt;&gt;"","RandomNickNames[7]="""&amp;INDIRECT("V11")&amp;"""","")</f>
        <v>RandomNickNames[7]="Conquest"</v>
      </c>
      <c r="F56" s="234" t="s">
        <v>340</v>
      </c>
      <c r="G56" s="234"/>
      <c r="H56" s="234"/>
      <c r="I56" s="234"/>
      <c r="J56" s="234"/>
    </row>
    <row r="57" spans="1:10" x14ac:dyDescent="0.25">
      <c r="A57" s="240" t="str">
        <f ca="1">IF(INDIRECT("B5")=FALSE,";","")&amp;"+AllowedWeapons=(SlotType=eInvSlot_PrimaryWeapon, WeaponType=""rifle"")"</f>
        <v>+AllowedWeapons=(SlotType=eInvSlot_PrimaryWeapon, WeaponType="rifle")</v>
      </c>
      <c r="B57" s="234" t="s">
        <v>340</v>
      </c>
      <c r="C57" s="234"/>
      <c r="D57" s="234"/>
      <c r="E57" s="248" t="str">
        <f ca="1">IF(INDIRECT("V12")&lt;&gt;"","RandomNickNames[8]="""&amp;INDIRECT("V12")&amp;"""","")</f>
        <v>RandomNickNames[8]="Deacon"</v>
      </c>
      <c r="F57" s="234" t="s">
        <v>340</v>
      </c>
      <c r="G57" s="234"/>
      <c r="H57" s="234"/>
      <c r="I57" s="234"/>
      <c r="J57" s="234"/>
    </row>
    <row r="58" spans="1:10" x14ac:dyDescent="0.25">
      <c r="A58" s="240" t="str">
        <f ca="1">IF(INDIRECT("B6")=FALSE,";","")&amp;"+AllowedWeapons=(SlotType=eInvSlot_PrimaryWeapon, WeaponType=""cannon"")"</f>
        <v>;+AllowedWeapons=(SlotType=eInvSlot_PrimaryWeapon, WeaponType="cannon")</v>
      </c>
      <c r="B58" s="234" t="s">
        <v>340</v>
      </c>
      <c r="C58" s="234"/>
      <c r="D58" s="234"/>
      <c r="E58" s="248" t="str">
        <f ca="1">IF(INDIRECT("V13")&lt;&gt;"","RandomNickNames[9]="""&amp;INDIRECT("V13")&amp;"""","")</f>
        <v>RandomNickNames[9]="Doomtrain"</v>
      </c>
      <c r="F58" s="234" t="s">
        <v>340</v>
      </c>
      <c r="G58" s="234"/>
      <c r="H58" s="234"/>
      <c r="I58" s="234"/>
      <c r="J58" s="234"/>
    </row>
    <row r="59" spans="1:10" x14ac:dyDescent="0.25">
      <c r="A59" s="240" t="str">
        <f ca="1">IF(INDIRECT("B7")=FALSE,";","")&amp;"+AllowedWeapons=(SlotType=eInvSlot_PrimaryWeapon, WeaponType=""shotgun"")"</f>
        <v>;+AllowedWeapons=(SlotType=eInvSlot_PrimaryWeapon, WeaponType="shotgun")</v>
      </c>
      <c r="B59" s="234" t="s">
        <v>340</v>
      </c>
      <c r="C59" s="234"/>
      <c r="D59" s="234"/>
      <c r="E59" s="248" t="str">
        <f ca="1">IF(INDIRECT("V14")&lt;&gt;"","RandomNickNames[10]="""&amp;INDIRECT("V14")&amp;"""","")</f>
        <v>RandomNickNames[10]="Nighttime"</v>
      </c>
      <c r="F59" s="234" t="s">
        <v>340</v>
      </c>
      <c r="G59" s="234"/>
      <c r="H59" s="234"/>
      <c r="I59" s="234"/>
      <c r="J59" s="234"/>
    </row>
    <row r="60" spans="1:10" x14ac:dyDescent="0.25">
      <c r="A60" s="240" t="str">
        <f ca="1">IF(INDIRECT("B8")=FALSE,";","")&amp;"+AllowedWeapons=(SlotType=eInvSlot_PrimaryWeapon, WeaponType=""sniper_rifle"")"</f>
        <v>;+AllowedWeapons=(SlotType=eInvSlot_PrimaryWeapon, WeaponType="sniper_rifle")</v>
      </c>
      <c r="B60" s="234" t="s">
        <v>340</v>
      </c>
      <c r="C60" s="234"/>
      <c r="D60" s="234"/>
      <c r="E60" s="248" t="str">
        <f ca="1">IF(INDIRECT("V15")&lt;&gt;"","RandomNickNames[11]="""&amp;INDIRECT("V15")&amp;"""","")</f>
        <v>RandomNickNames[11]="Famine"</v>
      </c>
      <c r="F60" s="234" t="s">
        <v>340</v>
      </c>
      <c r="G60" s="234"/>
      <c r="H60" s="234"/>
      <c r="I60" s="234"/>
      <c r="J60" s="234"/>
    </row>
    <row r="61" spans="1:10" x14ac:dyDescent="0.25">
      <c r="A61" s="240" t="str">
        <f ca="1">IF(INDIRECT("B9")=FALSE,";","")&amp;"+AllowedWeapons=(SlotType=eInvSlot_SecondaryWeapon, WeaponType=""gauntlet"")"</f>
        <v>;+AllowedWeapons=(SlotType=eInvSlot_SecondaryWeapon, WeaponType="gauntlet")</v>
      </c>
      <c r="B61" s="234" t="s">
        <v>340</v>
      </c>
      <c r="C61" s="234"/>
      <c r="D61" s="234"/>
      <c r="E61" s="248" t="str">
        <f ca="1">IF(INDIRECT("V16")&lt;&gt;"","RandomNickNames[12]="""&amp;INDIRECT("V16")&amp;"""","")</f>
        <v>RandomNickNames[12]="Feedback"</v>
      </c>
      <c r="F61" s="234" t="s">
        <v>340</v>
      </c>
      <c r="G61" s="234"/>
      <c r="H61" s="234"/>
      <c r="I61" s="234"/>
      <c r="J61" s="234"/>
    </row>
    <row r="62" spans="1:10" x14ac:dyDescent="0.25">
      <c r="A62" s="240" t="str">
        <f ca="1">IF(INDIRECT("B10")=FALSE,";","")&amp;"+AllowedWeapons=(SlotType=eInvSlot_SecondaryWeapon, WeaponType=""combatknife"")"</f>
        <v>;+AllowedWeapons=(SlotType=eInvSlot_SecondaryWeapon, WeaponType="combatknife")</v>
      </c>
      <c r="B62" s="234" t="s">
        <v>340</v>
      </c>
      <c r="C62" s="234"/>
      <c r="D62" s="234"/>
      <c r="E62" s="248" t="str">
        <f ca="1">IF(INDIRECT("V17")&lt;&gt;"","RandomNickNames[13]="""&amp;INDIRECT("V17")&amp;"""","")</f>
        <v>RandomNickNames[13]="Fencer"</v>
      </c>
      <c r="F62" s="234" t="s">
        <v>340</v>
      </c>
      <c r="G62" s="234"/>
      <c r="H62" s="234"/>
      <c r="I62" s="234"/>
      <c r="J62" s="234"/>
    </row>
    <row r="63" spans="1:10" x14ac:dyDescent="0.25">
      <c r="A63" s="240" t="str">
        <f ca="1">IF(INDIRECT("B11")=FALSE,";","")&amp;"+AllowedWeapons=(SlotType=eInvSlot_SecondaryWeapon, WeaponType=""grenade_launcher"")"</f>
        <v>;+AllowedWeapons=(SlotType=eInvSlot_SecondaryWeapon, WeaponType="grenade_launcher")</v>
      </c>
      <c r="B63" s="234" t="s">
        <v>340</v>
      </c>
      <c r="C63" s="234"/>
      <c r="D63" s="234"/>
      <c r="E63" s="248" t="str">
        <f ca="1">IF(INDIRECT("V18")&lt;&gt;"","RandomNickNames[14]="""&amp;INDIRECT("V18")&amp;"""","")</f>
        <v>RandomNickNames[14]="Genius"</v>
      </c>
      <c r="F63" s="234" t="s">
        <v>340</v>
      </c>
      <c r="G63" s="234"/>
      <c r="H63" s="234"/>
      <c r="I63" s="234"/>
      <c r="J63" s="234"/>
    </row>
    <row r="64" spans="1:10" x14ac:dyDescent="0.25">
      <c r="A64" s="240" t="str">
        <f ca="1">IF(INDIRECT("B12")=FALSE,";","")&amp;"+AllowedWeapons=(SlotType=eInvSlot_SecondaryWeapon, WeaponType=""gremlin"")"</f>
        <v>;+AllowedWeapons=(SlotType=eInvSlot_SecondaryWeapon, WeaponType="gremlin")</v>
      </c>
      <c r="B64" s="234" t="s">
        <v>340</v>
      </c>
      <c r="C64" s="234"/>
      <c r="D64" s="234"/>
      <c r="E64" s="248" t="str">
        <f ca="1">IF(INDIRECT("V19")&lt;&gt;"","RandomNickNames[15]="""&amp;INDIRECT("V19")&amp;"""","")</f>
        <v>RandomNickNames[15]="Gizmo"</v>
      </c>
      <c r="F64" s="234" t="s">
        <v>340</v>
      </c>
      <c r="G64" s="234"/>
      <c r="H64" s="234"/>
      <c r="I64" s="234"/>
      <c r="J64" s="234"/>
    </row>
    <row r="65" spans="1:10" x14ac:dyDescent="0.25">
      <c r="A65" s="240" t="str">
        <f ca="1">IF(INDIRECT("B13")=FALSE,";","")&amp;"+AllowedWeapons=(SlotType=eInvSlot_SecondaryWeapon, WeaponType=""sword"")"</f>
        <v>+AllowedWeapons=(SlotType=eInvSlot_SecondaryWeapon, WeaponType="sword")</v>
      </c>
      <c r="B65" s="234" t="s">
        <v>340</v>
      </c>
      <c r="C65" s="234"/>
      <c r="D65" s="234"/>
      <c r="E65" s="248" t="str">
        <f ca="1">IF(INDIRECT("V20")&lt;&gt;"","RandomNickNames[16]="""&amp;INDIRECT("V20")&amp;"""","")</f>
        <v>RandomNickNames[16]="Jester"</v>
      </c>
      <c r="F65" s="234" t="s">
        <v>340</v>
      </c>
      <c r="G65" s="234"/>
      <c r="H65" s="234"/>
      <c r="I65" s="234"/>
      <c r="J65" s="234"/>
    </row>
    <row r="66" spans="1:10" x14ac:dyDescent="0.25">
      <c r="A66" s="240" t="str">
        <f ca="1">IF(INDIRECT("B14")=FALSE,";","")&amp;"+AllowedWeapons=(SlotType=eInvSlot_SecondaryWeapon, WeaponType=""sawedoffshotgun"")"</f>
        <v>;+AllowedWeapons=(SlotType=eInvSlot_SecondaryWeapon, WeaponType="sawedoffshotgun")</v>
      </c>
      <c r="B66" s="234" t="s">
        <v>340</v>
      </c>
      <c r="C66" s="234"/>
      <c r="D66" s="234"/>
      <c r="E66" s="248" t="str">
        <f ca="1">IF(INDIRECT("V21")&lt;&gt;"","RandomNickNames[17]="""&amp;INDIRECT("V21")&amp;"""","")</f>
        <v>RandomNickNames[17]="Jolt"</v>
      </c>
      <c r="F66" s="234" t="s">
        <v>340</v>
      </c>
      <c r="G66" s="234"/>
      <c r="H66" s="234"/>
      <c r="I66" s="234"/>
      <c r="J66" s="234"/>
    </row>
    <row r="67" spans="1:10" x14ac:dyDescent="0.25">
      <c r="A67" s="240" t="str">
        <f ca="1">IF(INDIRECT("B15")=FALSE,";","")&amp;"+AllowedWeapons=(SlotType=eInvSlot_SecondaryWeapon, WeaponType=""arcthrower"")"</f>
        <v>;+AllowedWeapons=(SlotType=eInvSlot_SecondaryWeapon, WeaponType="arcthrower")</v>
      </c>
      <c r="B67" s="234" t="s">
        <v>340</v>
      </c>
      <c r="C67" s="234"/>
      <c r="D67" s="234"/>
      <c r="E67" s="248" t="str">
        <f ca="1">IF(INDIRECT("V22")&lt;&gt;"","RandomNickNames[18]="""&amp;INDIRECT("V22")&amp;"""","")</f>
        <v>RandomNickNames[18]="Lightning"</v>
      </c>
      <c r="F67" s="234" t="s">
        <v>340</v>
      </c>
      <c r="G67" s="234"/>
      <c r="H67" s="234"/>
      <c r="I67" s="234"/>
      <c r="J67" s="234"/>
    </row>
    <row r="68" spans="1:10" x14ac:dyDescent="0.25">
      <c r="A68" s="240" t="str">
        <f ca="1">IF(INDIRECT("B16")=FALSE,";","")&amp;"+AllowedWeapons=(SlotType=eInvSlot_SecondaryWeapon, WeaponType=""holotargeter"")"</f>
        <v>;+AllowedWeapons=(SlotType=eInvSlot_SecondaryWeapon, WeaponType="holotargeter")</v>
      </c>
      <c r="B68" s="234" t="s">
        <v>340</v>
      </c>
      <c r="C68" s="234"/>
      <c r="D68" s="234"/>
      <c r="E68" s="248" t="str">
        <f ca="1">IF(INDIRECT("V23")&lt;&gt;"","RandomNickNames[19]="""&amp;INDIRECT("V23")&amp;"""","")</f>
        <v>RandomNickNames[19]="Mayday"</v>
      </c>
      <c r="F68" s="234" t="s">
        <v>340</v>
      </c>
      <c r="G68" s="234"/>
      <c r="H68" s="234"/>
      <c r="I68" s="234"/>
      <c r="J68" s="234"/>
    </row>
    <row r="69" spans="1:10" x14ac:dyDescent="0.25">
      <c r="A69" s="240" t="str">
        <f ca="1">IF(INDIRECT("B17")=FALSE,";","")&amp;"+AllowedWeapons=(SlotType=eInvSlot_SecondaryWeapon, WeaponType=""psiamp"")"</f>
        <v>;+AllowedWeapons=(SlotType=eInvSlot_SecondaryWeapon, WeaponType="psiamp")</v>
      </c>
      <c r="B69" s="234" t="s">
        <v>340</v>
      </c>
      <c r="C69" s="234"/>
      <c r="D69" s="234"/>
      <c r="E69" s="248" t="str">
        <f ca="1">IF(INDIRECT("V24")&lt;&gt;"","RandomNickNames[20]="""&amp;INDIRECT("V24")&amp;"""","")</f>
        <v>RandomNickNames[20]="Sensei"</v>
      </c>
      <c r="F69" s="234" t="s">
        <v>340</v>
      </c>
      <c r="G69" s="234"/>
      <c r="H69" s="234"/>
      <c r="I69" s="234"/>
      <c r="J69" s="234"/>
    </row>
    <row r="70" spans="1:10" x14ac:dyDescent="0.25">
      <c r="A70" s="240" t="str">
        <f ca="1">IF(INDIRECT("B9")=FALSE,";","")&amp;"+AllowedWeapons=(SlotType=eInvSlot_HeavyWeapon, WeaponType=""heavyammo"")"</f>
        <v>;+AllowedWeapons=(SlotType=eInvSlot_HeavyWeapon, WeaponType="heavyammo")</v>
      </c>
      <c r="B70" s="234" t="s">
        <v>340</v>
      </c>
      <c r="C70" s="234"/>
      <c r="D70" s="234"/>
      <c r="E70" s="248" t="str">
        <f ca="1">IF(INDIRECT("V25")&lt;&gt;"","RandomNickNames[21]="""&amp;INDIRECT("V25")&amp;"""","")</f>
        <v>RandomNickNames[21]="Judo"</v>
      </c>
      <c r="F70" s="234" t="s">
        <v>340</v>
      </c>
      <c r="G70" s="234"/>
      <c r="H70" s="234"/>
      <c r="I70" s="234"/>
      <c r="J70" s="234"/>
    </row>
    <row r="71" spans="1:10" x14ac:dyDescent="0.25">
      <c r="A71" s="240" t="str">
        <f ca="1">IF(INDIRECT("B9")=TRUE,";","")&amp;"+AllowedWeapons=(SlotType=eInvSlot_HeavyWeapon, WeaponType=""heavy"")"</f>
        <v>+AllowedWeapons=(SlotType=eInvSlot_HeavyWeapon, WeaponType="heavy")</v>
      </c>
      <c r="B71" s="234" t="s">
        <v>340</v>
      </c>
      <c r="C71" s="234"/>
      <c r="D71" s="234"/>
      <c r="E71" s="248" t="str">
        <f ca="1">IF(INDIRECT("V26")&lt;&gt;"","RandomNickNames[22]="""&amp;INDIRECT("V26")&amp;"""","")</f>
        <v>RandomNickNames[22]="Kung Fu"</v>
      </c>
      <c r="F71" s="234" t="s">
        <v>340</v>
      </c>
      <c r="G71" s="234"/>
      <c r="H71" s="234"/>
      <c r="I71" s="234"/>
      <c r="J71" s="234"/>
    </row>
    <row r="72" spans="1:10" x14ac:dyDescent="0.25">
      <c r="A72" s="240" t="str">
        <f ca="1">"+AllowedArmors="&amp;INDIRECT("E13")</f>
        <v>+AllowedArmors=soldier</v>
      </c>
      <c r="B72" s="234" t="s">
        <v>340</v>
      </c>
      <c r="C72" s="234"/>
      <c r="D72" s="234"/>
      <c r="E72" s="248" t="str">
        <f ca="1">IF(INDIRECT("V27")&lt;&gt;"","RandomNickNames[23]="""&amp;INDIRECT("V27")&amp;"""","")</f>
        <v>RandomNickNames[23]="Rascal"</v>
      </c>
      <c r="F72" s="234" t="s">
        <v>340</v>
      </c>
      <c r="G72" s="234"/>
      <c r="H72" s="234"/>
      <c r="I72" s="234"/>
      <c r="J72" s="234"/>
    </row>
    <row r="73" spans="1:10" x14ac:dyDescent="0.25">
      <c r="A73" s="240" t="str">
        <f>"; squaddie"</f>
        <v>; squaddie</v>
      </c>
      <c r="B73" s="234" t="s">
        <v>340</v>
      </c>
      <c r="C73" s="234"/>
      <c r="D73" s="234"/>
      <c r="E73" s="248" t="str">
        <f ca="1">IF(INDIRECT("V28")&lt;&gt;"","RandomNickNames[24]="""&amp;INDIRECT("V28")&amp;"""","")</f>
        <v>RandomNickNames[24]="Rattler"</v>
      </c>
      <c r="F73" s="234" t="s">
        <v>340</v>
      </c>
      <c r="G73" s="234"/>
      <c r="H73" s="234"/>
      <c r="I73" s="234"/>
      <c r="J73" s="234"/>
    </row>
    <row r="74" spans="1:10" x14ac:dyDescent="0.25">
      <c r="A74" s="240" t="str">
        <f ca="1">"+SoldierRanks=(  aAbilityTree=( (AbilityName="""&amp;VLOOKUP(INDIRECT("F4"),Abilities,2,FALSE)&amp;""""&amp;IF(VLOOKUP(INDIRECT("F4"),Abilities,3,FALSE)="","",", ApplyToWeaponSlot=eInvSlot_"&amp;VLOOKUP(INDIRECT("F4"),Abilities,3,FALSE))&amp;"), \\"</f>
        <v>+SoldierRanks=(  aAbilityTree=( (AbilityName="Slash_LW", ApplyToWeaponSlot=eInvSlot_SecondaryWeapon), \\</v>
      </c>
      <c r="B74" s="234" t="s">
        <v>340</v>
      </c>
      <c r="C74" s="234"/>
      <c r="D74" s="234"/>
      <c r="E74" s="248" t="str">
        <f ca="1">IF(INDIRECT("V29")&lt;&gt;"","RandomNickNames[25]="""&amp;INDIRECT("V29")&amp;"""","")</f>
        <v>RandomNickNames[25]="Revelation"</v>
      </c>
      <c r="F74" s="234" t="s">
        <v>340</v>
      </c>
      <c r="G74" s="234"/>
      <c r="H74" s="234"/>
      <c r="I74" s="234"/>
      <c r="J74" s="234"/>
    </row>
    <row r="75" spans="1:10" x14ac:dyDescent="0.25">
      <c r="A75" s="240" t="str">
        <f ca="1">IF(INDIRECT("I4")="","\\","(AbilityName="""&amp;VLOOKUP(INDIRECT("I4"),Abilities,2,FALSE)&amp;""""&amp;IF(VLOOKUP(INDIRECT("I4"),Abilities,3,FALSE)="","",", ApplyToWeaponSlot=eInvSlot_"&amp;VLOOKUP(INDIRECT("I4"),Abilities,3,FALSE))&amp;"), \\")</f>
        <v>(AbilityName="SwordSlice_LW", ApplyToWeaponSlot=eInvSlot_SecondaryWeapon), \\</v>
      </c>
      <c r="B75" s="234" t="s">
        <v>340</v>
      </c>
      <c r="C75" s="234"/>
      <c r="D75" s="234"/>
      <c r="E75" s="248" t="str">
        <f ca="1">IF(INDIRECT("V30")&lt;&gt;"","RandomNickNames[26]="""&amp;INDIRECT("V30")&amp;"""","")</f>
        <v>RandomNickNames[26]="Skipper"</v>
      </c>
      <c r="F75" s="234" t="s">
        <v>340</v>
      </c>
      <c r="G75" s="234"/>
      <c r="H75" s="234"/>
      <c r="I75" s="234"/>
      <c r="J75" s="234"/>
    </row>
    <row r="76" spans="1:10" x14ac:dyDescent="0.25">
      <c r="A76" s="240" t="str">
        <f ca="1">IF(INDIRECT("L4")="","\\","(AbilityName="""&amp;VLOOKUP(INDIRECT("L4"),Abilities,2,FALSE)&amp;""""&amp;IF(VLOOKUP(INDIRECT("L4"),Abilities,3,FALSE)="","",", ApplyToWeaponSlot=eInvSlot_"&amp;VLOOKUP(INDIRECT("L4"),Abilities,3,FALSE))&amp;"), \\")</f>
        <v>(AbilityName="Phantom"), \\</v>
      </c>
      <c r="B76" s="234" t="s">
        <v>340</v>
      </c>
      <c r="C76" s="234"/>
      <c r="D76" s="234"/>
      <c r="E76" s="248" t="str">
        <f ca="1">IF(INDIRECT("V31")&lt;&gt;"","RandomNickNames[27]="""&amp;INDIRECT("V31")&amp;"""","")</f>
        <v>RandomNickNames[27]="Thunder"</v>
      </c>
      <c r="F76" s="234" t="s">
        <v>340</v>
      </c>
      <c r="G76" s="234"/>
      <c r="H76" s="234"/>
      <c r="I76" s="234"/>
      <c r="J76" s="234"/>
    </row>
    <row r="77" spans="1:10" x14ac:dyDescent="0.25">
      <c r="A77" s="240" t="str">
        <f ca="1">IF(INDIRECT("F7")="","\\","(AbilityName="""&amp;VLOOKUP(INDIRECT("F7"),Abilities,2,FALSE)&amp;""""&amp;IF(VLOOKUP(INDIRECT("F7"),Abilities,3,FALSE)="","",", ApplyToWeaponSlot=eInvSlot_"&amp;VLOOKUP(INDIRECT("F7"),Abilities,3,FALSE))&amp;"), \\")</f>
        <v>\\</v>
      </c>
      <c r="B77" s="234" t="s">
        <v>340</v>
      </c>
      <c r="C77" s="234"/>
      <c r="D77" s="234"/>
      <c r="E77" s="248" t="str">
        <f ca="1">IF(INDIRECT("V32")&lt;&gt;"","RandomNickNames[28]="""&amp;INDIRECT("V32")&amp;"""","")</f>
        <v>RandomNickNames[28]="Undertaker"</v>
      </c>
      <c r="F77" s="234" t="s">
        <v>340</v>
      </c>
      <c r="G77" s="234"/>
      <c r="H77" s="234"/>
      <c r="I77" s="234"/>
      <c r="J77" s="234"/>
    </row>
    <row r="78" spans="1:10" x14ac:dyDescent="0.25">
      <c r="A78" s="240" t="str">
        <f ca="1">IF(INDIRECT("I7")="","\\","(AbilityName="""&amp;VLOOKUP(INDIRECT("I7"),Abilities,2,FALSE)&amp;""""&amp;IF(VLOOKUP(INDIRECT("I7"),Abilities,3,FALSE)="","",", ApplyToWeaponSlot=eInvSlot_"&amp;VLOOKUP(INDIRECT("I7"),Abilities,3,FALSE))&amp;"), \\")</f>
        <v>\\</v>
      </c>
      <c r="B78" s="234" t="s">
        <v>340</v>
      </c>
      <c r="C78" s="234"/>
      <c r="D78" s="234"/>
      <c r="E78" s="248" t="str">
        <f ca="1">IF(INDIRECT("V33")&lt;&gt;"","RandomNickNames[29]="""&amp;INDIRECT("V33")&amp;"""","")</f>
        <v>RandomNickNames[29]="War"</v>
      </c>
      <c r="F78" s="234" t="s">
        <v>340</v>
      </c>
      <c r="G78" s="234"/>
      <c r="H78" s="234"/>
      <c r="I78" s="234"/>
      <c r="J78" s="234"/>
    </row>
    <row r="79" spans="1:10" x14ac:dyDescent="0.25">
      <c r="A79" s="240" t="str">
        <f ca="1">IF(INDIRECT("L7")="","\\","(AbilityName="""&amp;VLOOKUP(INDIRECT("L7"),Abilities,2,FALSE)&amp;""""&amp;IF(VLOOKUP(INDIRECT("L7"),Abilities,3,FALSE)="","",", ApplyToWeaponSlot=eInvSlot_"&amp;VLOOKUP(INDIRECT("L7"),Abilities,3,FALSE))&amp;"), \\")</f>
        <v>\\</v>
      </c>
      <c r="B79" s="234" t="s">
        <v>340</v>
      </c>
      <c r="C79" s="234"/>
      <c r="D79" s="234"/>
      <c r="E79" s="248" t="str">
        <f ca="1">IF(INDIRECT("V34")&lt;&gt;"","RandomNickNames[30]="""&amp;INDIRECT("V34")&amp;"""","")</f>
        <v>RandomNickNames[30]="Whoopsie"</v>
      </c>
      <c r="F79" s="234" t="s">
        <v>340</v>
      </c>
      <c r="G79" s="234"/>
      <c r="H79" s="234"/>
      <c r="I79" s="234"/>
      <c r="J79" s="234"/>
    </row>
    <row r="80" spans="1:10" x14ac:dyDescent="0.25">
      <c r="A80" s="240" t="s">
        <v>337</v>
      </c>
      <c r="B80" s="234" t="s">
        <v>340</v>
      </c>
      <c r="C80" s="234"/>
      <c r="D80" s="234"/>
      <c r="E80" s="248" t="str">
        <f ca="1">IF(INDIRECT("V35")&lt;&gt;"","RandomNickNames[31]="""&amp;INDIRECT("V35")&amp;"""","")</f>
        <v>RandomNickNames[31]="Slip"</v>
      </c>
      <c r="F80" s="234" t="s">
        <v>340</v>
      </c>
      <c r="G80" s="234"/>
      <c r="H80" s="234"/>
      <c r="I80" s="234"/>
      <c r="J80" s="234"/>
    </row>
    <row r="81" spans="1:10" x14ac:dyDescent="0.25">
      <c r="A81" s="240"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(StatType=eStat_Hacking,StatAmount=5), (StatType=eStat_CombatSims,StatAmount=1), (StatType=eStat_Will,StatAmount=4), (StatType=eStat_Dodge,StatAmount=2)),\\</v>
      </c>
      <c r="B81" s="234" t="s">
        <v>340</v>
      </c>
      <c r="C81" s="234"/>
      <c r="D81" s="234"/>
      <c r="E81" s="248" t="str">
        <f>"; Male Nicknames"</f>
        <v>; Male Nicknames</v>
      </c>
      <c r="F81" s="234" t="s">
        <v>340</v>
      </c>
      <c r="G81" s="234"/>
      <c r="H81" s="234"/>
      <c r="I81" s="234"/>
      <c r="J81" s="234"/>
    </row>
    <row r="82" spans="1:10" x14ac:dyDescent="0.25">
      <c r="A82" s="240" t="s">
        <v>338</v>
      </c>
      <c r="B82" s="234" t="s">
        <v>340</v>
      </c>
      <c r="C82" s="234"/>
      <c r="D82" s="234"/>
      <c r="E82" s="248" t="str">
        <f ca="1">IF(INDIRECT("X4")&lt;&gt;"","RandomNickNames_Male[0]="""&amp;INDIRECT("X4")&amp;"""","")</f>
        <v>RandomNickNames_Male[0]="Candyman"</v>
      </c>
      <c r="F82" s="234" t="s">
        <v>340</v>
      </c>
      <c r="G82" s="234"/>
      <c r="H82" s="234"/>
      <c r="I82" s="234"/>
      <c r="J82" s="234"/>
    </row>
    <row r="83" spans="1:10" x14ac:dyDescent="0.25">
      <c r="A83" s="240" t="str">
        <f>"; lance corporal"</f>
        <v>; lance corporal</v>
      </c>
      <c r="B83" s="234" t="s">
        <v>340</v>
      </c>
      <c r="C83" s="234"/>
      <c r="D83" s="234"/>
      <c r="E83" s="248" t="str">
        <f ca="1">IF(INDIRECT("X5")&lt;&gt;"","RandomNickNames_Male[1]="""&amp;INDIRECT("X5")&amp;"""","")</f>
        <v>RandomNickNames_Male[1]="Magic Man"</v>
      </c>
      <c r="F83" s="234" t="s">
        <v>340</v>
      </c>
      <c r="G83" s="234"/>
      <c r="H83" s="234"/>
      <c r="I83" s="234"/>
      <c r="J83" s="234"/>
    </row>
    <row r="84" spans="1:10" x14ac:dyDescent="0.25">
      <c r="A84" s="240" t="str">
        <f ca="1">"+SoldierRanks=(  aAbilityTree=( (AbilityName="""&amp;VLOOKUP(INDIRECT("F13"),Abilities,2,FALSE)&amp;""""&amp;IF(VLOOKUP(INDIRECT("F13"),Abilities,3,FALSE)="","",", ApplyToWeaponSlot=eInvSlot_"&amp;VLOOKUP(INDIRECT("F13"),Abilities,3,FALSE))&amp;"), \\"</f>
        <v>+SoldierRanks=(  aAbilityTree=( (AbilityName="Ghostwalker"), \\</v>
      </c>
      <c r="B84" s="234" t="s">
        <v>340</v>
      </c>
      <c r="C84" s="234"/>
      <c r="D84" s="234"/>
      <c r="E84" s="248" t="str">
        <f ca="1">IF(INDIRECT("X6")&lt;&gt;"","RandomNickNames_Male[2]="""&amp;INDIRECT("X6")&amp;"""","")</f>
        <v>RandomNickNames_Male[2]="Priest"</v>
      </c>
      <c r="F84" s="234" t="s">
        <v>340</v>
      </c>
      <c r="G84" s="234"/>
      <c r="H84" s="234"/>
      <c r="I84" s="234"/>
      <c r="J84" s="234"/>
    </row>
    <row r="85" spans="1:10" x14ac:dyDescent="0.25">
      <c r="A85" s="240" t="str">
        <f ca="1">IF(INDIRECT("I13")="","\\","(AbilityName="""&amp;VLOOKUP(INDIRECT("I13"),Abilities,2,FALSE)&amp;""""&amp;IF(VLOOKUP(INDIRECT("I13"),Abilities,3,FALSE)="","",", ApplyToWeaponSlot=eInvSlot_"&amp;VLOOKUP(INDIRECT("I13"),Abilities,3,FALSE))&amp;"), \\")</f>
        <v>(AbilityName=" "), \\</v>
      </c>
      <c r="B85" s="234" t="s">
        <v>340</v>
      </c>
      <c r="C85" s="234"/>
      <c r="D85" s="234"/>
      <c r="E85" s="248" t="str">
        <f ca="1">IF(INDIRECT("X7")&lt;&gt;"","RandomNickNames_Male[3]="""&amp;INDIRECT("X7")&amp;"""","")</f>
        <v>RandomNickNames_Male[3]="Rainman"</v>
      </c>
      <c r="F85" s="234" t="s">
        <v>340</v>
      </c>
      <c r="G85" s="234"/>
      <c r="H85" s="234"/>
      <c r="I85" s="234"/>
      <c r="J85" s="234"/>
    </row>
    <row r="86" spans="1:10" x14ac:dyDescent="0.25">
      <c r="A86" s="240" t="str">
        <f ca="1">IF(INDIRECT("L13")="","\\","(AbilityName="""&amp;VLOOKUP(INDIRECT("L13"),Abilities,2,FALSE)&amp;""""&amp;IF(VLOOKUP(INDIRECT("L13"),Abilities,3,FALSE)="","",", ApplyToWeaponSlot=eInvSlot_"&amp;VLOOKUP(INDIRECT("L13"),Abilities,3,FALSE))&amp;"), \\")</f>
        <v>(AbilityName="Cutthroat", ApplyToWeaponSlot=eInvSlot_SecondaryWeapon), \\</v>
      </c>
      <c r="B86" s="234" t="s">
        <v>340</v>
      </c>
      <c r="C86" s="234"/>
      <c r="D86" s="234"/>
      <c r="E86" s="248" t="str">
        <f ca="1">IF(INDIRECT("X8")&lt;&gt;"","RandomNickNames_Male[4]="""&amp;INDIRECT("X8")&amp;"""","")</f>
        <v>RandomNickNames_Male[4]="Rooster"</v>
      </c>
      <c r="F86" s="234" t="s">
        <v>340</v>
      </c>
      <c r="G86" s="234"/>
      <c r="H86" s="234"/>
      <c r="I86" s="234"/>
      <c r="J86" s="234"/>
    </row>
    <row r="87" spans="1:10" x14ac:dyDescent="0.25">
      <c r="A87" s="240" t="s">
        <v>337</v>
      </c>
      <c r="B87" s="234" t="s">
        <v>340</v>
      </c>
      <c r="C87" s="234"/>
      <c r="D87" s="234"/>
      <c r="E87" s="248" t="str">
        <f>"; Female Nicknames"</f>
        <v>; Female Nicknames</v>
      </c>
      <c r="F87" s="234" t="s">
        <v>340</v>
      </c>
      <c r="G87" s="234"/>
      <c r="H87" s="234"/>
      <c r="I87" s="234"/>
      <c r="J87" s="234"/>
    </row>
    <row r="88" spans="1:10" x14ac:dyDescent="0.25">
      <c r="A88" s="240"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(StatType=eStat_HP,StatAmount=0), (StatType=eStat_Hacking,StatAmount=5), (StatType=eStat_Will,StatAmount=4), (StatType=eStat_Dodge,StatAmount=2)),\\</v>
      </c>
      <c r="B88" s="234" t="s">
        <v>340</v>
      </c>
      <c r="C88" s="234"/>
      <c r="D88" s="234"/>
      <c r="E88" s="248" t="str">
        <f ca="1">IF(INDIRECT("X10")&lt;&gt;"","RandomNickNames_Female[0]="""&amp;INDIRECT("X10")&amp;"""","")</f>
        <v>RandomNickNames_Female[0]="Priestess"</v>
      </c>
      <c r="F88" s="234" t="s">
        <v>340</v>
      </c>
      <c r="G88" s="234"/>
      <c r="H88" s="234"/>
      <c r="I88" s="234"/>
      <c r="J88" s="234"/>
    </row>
    <row r="89" spans="1:10" x14ac:dyDescent="0.25">
      <c r="A89" s="240" t="s">
        <v>338</v>
      </c>
      <c r="B89" s="234" t="s">
        <v>340</v>
      </c>
      <c r="C89" s="234"/>
      <c r="D89" s="234"/>
      <c r="E89" s="248" t="str">
        <f ca="1">IF(INDIRECT("X11")&lt;&gt;"","RandomNickNames_Female[1]="""&amp;INDIRECT("X11")&amp;"""","")</f>
        <v>RandomNickNames_Female[1]="Wolfmother"</v>
      </c>
      <c r="F89" s="234" t="s">
        <v>340</v>
      </c>
      <c r="G89" s="234"/>
      <c r="H89" s="234"/>
      <c r="I89" s="234"/>
      <c r="J89" s="234"/>
    </row>
    <row r="90" spans="1:10" x14ac:dyDescent="0.25">
      <c r="A90" s="240" t="str">
        <f>"; corporal"</f>
        <v>; corporal</v>
      </c>
      <c r="B90" s="234" t="s">
        <v>340</v>
      </c>
      <c r="C90" s="234"/>
      <c r="D90" s="234"/>
      <c r="E90" s="248" t="str">
        <f ca="1">IF(INDIRECT("X12")&lt;&gt;"","RandomNickNames_Female[2]="""&amp;INDIRECT("X12")&amp;"""","")</f>
        <v>RandomNickNames_Female[2]="Black Widow"</v>
      </c>
      <c r="F90" s="234" t="s">
        <v>340</v>
      </c>
      <c r="G90" s="234"/>
      <c r="H90" s="234"/>
      <c r="I90" s="234"/>
      <c r="J90" s="234"/>
    </row>
    <row r="91" spans="1:10" x14ac:dyDescent="0.25">
      <c r="A91" s="240" t="str">
        <f ca="1">"+SoldierRanks=(  aAbilityTree=( (AbilityName="""&amp;VLOOKUP(INDIRECT("F17"),Abilities,2,FALSE)&amp;""""&amp;IF(VLOOKUP(INDIRECT("F17"),Abilities,3,FALSE)="","",", ApplyToWeaponSlot=eInvSlot_"&amp;VLOOKUP(INDIRECT("F17"),Abilities,3,FALSE))&amp;"), \\"</f>
        <v>+SoldierRanks=(  aAbilityTree=( (AbilityName=" "), \\</v>
      </c>
      <c r="B91" s="234" t="s">
        <v>340</v>
      </c>
      <c r="C91" s="234"/>
      <c r="D91" s="234"/>
      <c r="E91" s="248" t="str">
        <f ca="1">IF(INDIRECT("X13")&lt;&gt;"","RandomNickNames_Female[3]="""&amp;INDIRECT("X13")&amp;"""","")</f>
        <v>RandomNickNames_Female[3]="Duchess"</v>
      </c>
      <c r="F91" s="234" t="s">
        <v>340</v>
      </c>
      <c r="G91" s="234"/>
      <c r="H91" s="234"/>
      <c r="I91" s="234"/>
      <c r="J91" s="234"/>
    </row>
    <row r="92" spans="1:10" ht="15.75" thickBot="1" x14ac:dyDescent="0.3">
      <c r="A92" s="240" t="str">
        <f ca="1">IF(INDIRECT("I17")="","\\","(AbilityName="""&amp;VLOOKUP(INDIRECT("I17"),Abilities,2,FALSE)&amp;""""&amp;IF(VLOOKUP(INDIRECT("I17"),Abilities,3,FALSE)="","",", ApplyToWeaponSlot=eInvSlot_"&amp;VLOOKUP(INDIRECT("I17"),Abilities,3,FALSE))&amp;"), \\")</f>
        <v>(AbilityName="Infighter"), \\</v>
      </c>
      <c r="B92" s="234" t="s">
        <v>340</v>
      </c>
      <c r="C92" s="234"/>
      <c r="D92" s="234"/>
      <c r="E92" s="249" t="str">
        <f ca="1">IF(INDIRECT("X14")&lt;&gt;"","RandomNickNames_Female[4]="""&amp;INDIRECT("X14")&amp;"""","")</f>
        <v>RandomNickNames_Female[4]="Queen"</v>
      </c>
      <c r="F92" s="234" t="s">
        <v>340</v>
      </c>
      <c r="G92" s="234"/>
      <c r="H92" s="234"/>
      <c r="I92" s="234"/>
      <c r="J92" s="234"/>
    </row>
    <row r="93" spans="1:10" x14ac:dyDescent="0.25">
      <c r="A93" s="240" t="str">
        <f ca="1">IF(INDIRECT("L17")="","\\","(AbilityName="""&amp;VLOOKUP(INDIRECT("L17"),Abilities,2,FALSE)&amp;""""&amp;IF(VLOOKUP(INDIRECT("L17"),Abilities,3,FALSE)="","",", ApplyToWeaponSlot=eInvSlot_"&amp;VLOOKUP(INDIRECT("L17"),Abilities,3,FALSE))&amp;"), \\")</f>
        <v>(AbilityName=" "), \\</v>
      </c>
      <c r="B93" s="234" t="s">
        <v>340</v>
      </c>
      <c r="C93" s="234"/>
      <c r="D93" s="234"/>
      <c r="E93" s="234"/>
      <c r="F93" s="234"/>
      <c r="G93" s="234"/>
      <c r="H93" s="234"/>
      <c r="I93" s="234"/>
      <c r="J93" s="234"/>
    </row>
    <row r="94" spans="1:10" x14ac:dyDescent="0.25">
      <c r="A94" s="240" t="s">
        <v>337</v>
      </c>
      <c r="B94" s="234" t="s">
        <v>340</v>
      </c>
      <c r="C94" s="234"/>
      <c r="D94" s="234"/>
      <c r="E94" s="234"/>
      <c r="F94" s="234"/>
      <c r="G94" s="234"/>
      <c r="H94" s="234"/>
      <c r="I94" s="234"/>
      <c r="J94" s="234"/>
    </row>
    <row r="95" spans="1:10" x14ac:dyDescent="0.25">
      <c r="A95" s="240"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(StatType=eStat_HP,StatAmount=1), (StatType=eStat_Hacking,StatAmount=5), (StatType=eStat_Dodge,StatAmount=1)),\\</v>
      </c>
      <c r="B95" s="234" t="s">
        <v>340</v>
      </c>
      <c r="C95" s="234"/>
      <c r="D95" s="234"/>
      <c r="E95" s="234"/>
      <c r="F95" s="234"/>
      <c r="G95" s="234"/>
      <c r="H95" s="234"/>
      <c r="I95" s="234"/>
      <c r="J95" s="234"/>
    </row>
    <row r="96" spans="1:10" x14ac:dyDescent="0.25">
      <c r="A96" s="240" t="s">
        <v>338</v>
      </c>
      <c r="B96" s="234" t="s">
        <v>340</v>
      </c>
      <c r="C96" s="234"/>
      <c r="D96" s="234"/>
      <c r="E96" s="234"/>
      <c r="F96" s="234"/>
      <c r="G96" s="234"/>
      <c r="H96" s="234"/>
      <c r="I96" s="234"/>
      <c r="J96" s="234"/>
    </row>
    <row r="97" spans="1:10" x14ac:dyDescent="0.25">
      <c r="A97" s="240" t="str">
        <f>"; sergeant"</f>
        <v>; sergeant</v>
      </c>
      <c r="B97" s="234" t="s">
        <v>340</v>
      </c>
      <c r="C97" s="234"/>
      <c r="D97" s="234"/>
      <c r="E97" s="234"/>
      <c r="F97" s="234"/>
      <c r="G97" s="234"/>
      <c r="H97" s="234"/>
      <c r="I97" s="234"/>
      <c r="J97" s="234"/>
    </row>
    <row r="98" spans="1:10" x14ac:dyDescent="0.25">
      <c r="A98" s="240" t="str">
        <f ca="1">"+SoldierRanks=(  aAbilityTree=( (AbilityName="""&amp;VLOOKUP(INDIRECT("F21"),Abilities,2,FALSE)&amp;""""&amp;IF(VLOOKUP(INDIRECT("F21"),Abilities,3,FALSE)="","",", ApplyToWeaponSlot=eInvSlot_"&amp;VLOOKUP(INDIRECT("F21"),Abilities,3,FALSE))&amp;"), \\"</f>
        <v>+SoldierRanks=(  aAbilityTree=( (AbilityName="Covert"), \\</v>
      </c>
      <c r="B98" s="234" t="s">
        <v>340</v>
      </c>
      <c r="C98" s="234"/>
      <c r="D98" s="234"/>
      <c r="E98" s="234"/>
      <c r="F98" s="234"/>
      <c r="G98" s="234"/>
      <c r="H98" s="234"/>
      <c r="I98" s="234"/>
      <c r="J98" s="234"/>
    </row>
    <row r="99" spans="1:10" x14ac:dyDescent="0.25">
      <c r="A99" s="240" t="str">
        <f ca="1">IF(INDIRECT("I21")="","\\","(AbilityName="""&amp;VLOOKUP(INDIRECT("I21"),Abilities,2,FALSE)&amp;""""&amp;IF(VLOOKUP(INDIRECT("I21"),Abilities,3,FALSE)="","",", ApplyToWeaponSlot=eInvSlot_"&amp;VLOOKUP(INDIRECT("I21"),Abilities,3,FALSE))&amp;"), \\")</f>
        <v>(AbilityName=" "), \\</v>
      </c>
      <c r="B99" s="234" t="s">
        <v>340</v>
      </c>
      <c r="C99" s="234"/>
      <c r="D99" s="234"/>
      <c r="E99" s="234"/>
      <c r="F99" s="234"/>
      <c r="G99" s="234"/>
      <c r="H99" s="234"/>
      <c r="I99" s="234"/>
      <c r="J99" s="234"/>
    </row>
    <row r="100" spans="1:10" x14ac:dyDescent="0.25">
      <c r="A100" s="240" t="str">
        <f ca="1">IF(INDIRECT("L21")="","\\","(AbilityName="""&amp;VLOOKUP(INDIRECT("L21"),Abilities,2,FALSE)&amp;""""&amp;IF(VLOOKUP(INDIRECT("L21"),Abilities,3,FALSE)="","",", ApplyToWeaponSlot=eInvSlot_"&amp;VLOOKUP(INDIRECT("L21"),Abilities,3,FALSE))&amp;"), \\")</f>
        <v>(AbilityName="Blademaster", ApplyToWeaponSlot=eInvSlot_SecondaryWeapon), \\</v>
      </c>
      <c r="B100" s="234" t="s">
        <v>340</v>
      </c>
      <c r="C100" s="234"/>
      <c r="D100" s="234"/>
      <c r="E100" s="234"/>
      <c r="F100" s="234"/>
      <c r="G100" s="234"/>
      <c r="H100" s="234"/>
      <c r="I100" s="234"/>
      <c r="J100" s="234"/>
    </row>
    <row r="101" spans="1:10" x14ac:dyDescent="0.25">
      <c r="A101" s="240" t="s">
        <v>337</v>
      </c>
      <c r="B101" s="234" t="s">
        <v>340</v>
      </c>
      <c r="C101" s="234"/>
      <c r="D101" s="234"/>
      <c r="E101" s="234"/>
      <c r="F101" s="234"/>
      <c r="G101" s="234"/>
      <c r="H101" s="234"/>
      <c r="I101" s="234"/>
      <c r="J101" s="234"/>
    </row>
    <row r="102" spans="1:10" x14ac:dyDescent="0.25">
      <c r="A102" s="240"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(StatType=eStat_Hacking,StatAmount=5), (StatType=eStat_Dodge,StatAmount=1)),\\</v>
      </c>
      <c r="B102" s="234" t="s">
        <v>340</v>
      </c>
      <c r="C102" s="234"/>
      <c r="D102" s="234"/>
      <c r="E102" s="234"/>
      <c r="F102" s="234"/>
      <c r="G102" s="234"/>
      <c r="H102" s="234"/>
      <c r="I102" s="234"/>
      <c r="J102" s="234"/>
    </row>
    <row r="103" spans="1:10" x14ac:dyDescent="0.25">
      <c r="A103" s="240" t="s">
        <v>338</v>
      </c>
      <c r="B103" s="234" t="s">
        <v>340</v>
      </c>
      <c r="C103" s="234"/>
      <c r="D103" s="234"/>
      <c r="E103" s="234"/>
      <c r="F103" s="234"/>
      <c r="G103" s="234"/>
      <c r="H103" s="234"/>
      <c r="I103" s="234"/>
      <c r="J103" s="234"/>
    </row>
    <row r="104" spans="1:10" x14ac:dyDescent="0.25">
      <c r="A104" s="240" t="str">
        <f>"; staff sergeant"</f>
        <v>; staff sergeant</v>
      </c>
      <c r="B104" s="234" t="s">
        <v>340</v>
      </c>
      <c r="C104" s="234"/>
      <c r="D104" s="234"/>
      <c r="E104" s="234"/>
      <c r="F104" s="234"/>
      <c r="G104" s="234"/>
      <c r="H104" s="234"/>
      <c r="I104" s="234"/>
      <c r="J104" s="234"/>
    </row>
    <row r="105" spans="1:10" x14ac:dyDescent="0.25">
      <c r="A105" s="240" t="str">
        <f ca="1">"+SoldierRanks=(  aAbilityTree=( (AbilityName="""&amp;VLOOKUP(INDIRECT("F25"),Abilities,2,FALSE)&amp;""""&amp;IF(VLOOKUP(INDIRECT("F25"),Abilities,3,FALSE)="","",", ApplyToWeaponSlot=eInvSlot_"&amp;VLOOKUP(INDIRECT("F25"),Abilities,3,FALSE))&amp;"), \\"</f>
        <v>+SoldierRanks=(  aAbilityTree=( (AbilityName="Shadowstrike_LW", ApplyToWeaponSlot=eInvSlot_PrimaryWeapon ), \\</v>
      </c>
      <c r="B105" s="234" t="s">
        <v>340</v>
      </c>
      <c r="C105" s="234"/>
      <c r="D105" s="234"/>
      <c r="E105" s="234"/>
      <c r="F105" s="234"/>
      <c r="G105" s="234"/>
      <c r="H105" s="234"/>
      <c r="I105" s="234"/>
      <c r="J105" s="234"/>
    </row>
    <row r="106" spans="1:10" x14ac:dyDescent="0.25">
      <c r="A106" s="240" t="str">
        <f ca="1">IF(INDIRECT("I25")="","\\","(AbilityName="""&amp;VLOOKUP(INDIRECT("I25"),Abilities,2,FALSE)&amp;""""&amp;IF(VLOOKUP(INDIRECT("I25"),Abilities,3,FALSE)="","",", ApplyToWeaponSlot=eInvSlot_"&amp;VLOOKUP(INDIRECT("I25"),Abilities,3,FALSE))&amp;"), \\")</f>
        <v>(AbilityName=" "), \\</v>
      </c>
      <c r="B106" s="234" t="s">
        <v>340</v>
      </c>
      <c r="C106" s="234"/>
      <c r="D106" s="234"/>
      <c r="E106" s="234"/>
      <c r="F106" s="234"/>
      <c r="G106" s="234"/>
      <c r="H106" s="234"/>
      <c r="I106" s="234"/>
      <c r="J106" s="234"/>
    </row>
    <row r="107" spans="1:10" x14ac:dyDescent="0.25">
      <c r="A107" s="240" t="str">
        <f ca="1">IF(INDIRECT("L25")="","\\","(AbilityName="""&amp;VLOOKUP(INDIRECT("L25"),Abilities,2,FALSE)&amp;""""&amp;IF(VLOOKUP(INDIRECT("L25"),Abilities,3,FALSE)="","",", ApplyToWeaponSlot=eInvSlot_"&amp;VLOOKUP(INDIRECT("L25"),Abilities,3,FALSE))&amp;"), \\")</f>
        <v>(AbilityName="Bladestorm", ApplyToWeaponSlot=eInvSlot_SecondaryWeapon), \\</v>
      </c>
      <c r="B107" s="234" t="s">
        <v>340</v>
      </c>
      <c r="C107" s="234"/>
      <c r="D107" s="234"/>
      <c r="E107" s="234"/>
      <c r="F107" s="234"/>
      <c r="G107" s="234"/>
      <c r="H107" s="234"/>
      <c r="I107" s="234"/>
      <c r="J107" s="234"/>
    </row>
    <row r="108" spans="1:10" x14ac:dyDescent="0.25">
      <c r="A108" s="240" t="s">
        <v>337</v>
      </c>
      <c r="B108" s="234" t="s">
        <v>340</v>
      </c>
      <c r="C108" s="234"/>
      <c r="D108" s="234"/>
      <c r="E108" s="234"/>
      <c r="F108" s="234"/>
      <c r="G108" s="234"/>
      <c r="H108" s="234"/>
      <c r="I108" s="234"/>
      <c r="J108" s="234"/>
    </row>
    <row r="109" spans="1:10" x14ac:dyDescent="0.25">
      <c r="A109" s="240"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(StatType=eStat_Hacking,StatAmount=5), (StatType=eStat_Dodge,StatAmount=1)),\\</v>
      </c>
      <c r="B109" s="234" t="s">
        <v>340</v>
      </c>
      <c r="C109" s="234"/>
      <c r="D109" s="234"/>
      <c r="E109" s="234"/>
      <c r="F109" s="234"/>
      <c r="G109" s="234"/>
      <c r="H109" s="234"/>
      <c r="I109" s="234"/>
      <c r="J109" s="234"/>
    </row>
    <row r="110" spans="1:10" x14ac:dyDescent="0.25">
      <c r="A110" s="240" t="s">
        <v>338</v>
      </c>
      <c r="B110" s="234" t="s">
        <v>340</v>
      </c>
      <c r="C110" s="234"/>
      <c r="D110" s="234"/>
      <c r="E110" s="234"/>
      <c r="F110" s="234"/>
      <c r="G110" s="234"/>
      <c r="H110" s="234"/>
      <c r="I110" s="234"/>
      <c r="J110" s="234"/>
    </row>
    <row r="111" spans="1:10" x14ac:dyDescent="0.25">
      <c r="A111" s="240" t="str">
        <f>"; tech sergeant"</f>
        <v>; tech sergeant</v>
      </c>
      <c r="B111" s="234" t="s">
        <v>340</v>
      </c>
      <c r="C111" s="234"/>
      <c r="D111" s="234"/>
      <c r="E111" s="234"/>
      <c r="F111" s="234"/>
      <c r="G111" s="234"/>
      <c r="H111" s="234"/>
      <c r="I111" s="234"/>
      <c r="J111" s="234"/>
    </row>
    <row r="112" spans="1:10" x14ac:dyDescent="0.25">
      <c r="A112" s="240" t="str">
        <f ca="1">"+SoldierRanks=(  aAbilityTree=( (AbilityName="""&amp;VLOOKUP(INDIRECT("F29"),Abilities,2,FALSE)&amp;""""&amp;IF(VLOOKUP(INDIRECT("F29"),Abilities,3,FALSE)="","",", ApplyToWeaponSlot=eInvSlot_"&amp;VLOOKUP(INDIRECT("F29"),Abilities,3,FALSE))&amp;"), \\"</f>
        <v>+SoldierRanks=(  aAbilityTree=( (AbilityName="HardTarget"), \\</v>
      </c>
      <c r="B112" s="234" t="s">
        <v>340</v>
      </c>
      <c r="C112" s="234"/>
      <c r="D112" s="234"/>
      <c r="E112" s="234"/>
      <c r="F112" s="234"/>
      <c r="G112" s="234"/>
      <c r="H112" s="234"/>
      <c r="I112" s="234"/>
      <c r="J112" s="234"/>
    </row>
    <row r="113" spans="1:10" x14ac:dyDescent="0.25">
      <c r="A113" s="240" t="str">
        <f ca="1">IF(INDIRECT("I29")="","\\","(AbilityName="""&amp;VLOOKUP(INDIRECT("I29"),Abilities,2,FALSE)&amp;""""&amp;IF(VLOOKUP(INDIRECT("I29"),Abilities,3,FALSE)="","",", ApplyToWeaponSlot=eInvSlot_"&amp;VLOOKUP(INDIRECT("I29"),Abilities,3,FALSE))&amp;"), \\")</f>
        <v>(AbilityName=" "), \\</v>
      </c>
      <c r="B113" s="234" t="s">
        <v>340</v>
      </c>
      <c r="C113" s="234"/>
      <c r="D113" s="234"/>
      <c r="E113" s="234"/>
      <c r="F113" s="234"/>
      <c r="G113" s="234"/>
      <c r="H113" s="234"/>
      <c r="I113" s="234"/>
      <c r="J113" s="234"/>
    </row>
    <row r="114" spans="1:10" x14ac:dyDescent="0.25">
      <c r="A114" s="240" t="str">
        <f ca="1">IF(INDIRECT("L29")="","\\","(AbilityName="""&amp;VLOOKUP(INDIRECT("L29"),Abilities,2,FALSE)&amp;""""&amp;IF(VLOOKUP(INDIRECT("L29"),Abilities,3,FALSE)="","",", ApplyToWeaponSlot=eInvSlot_"&amp;VLOOKUP(INDIRECT("L29"),Abilities,3,FALSE))&amp;"), \\")</f>
        <v>(AbilityName="Whirlwind2", ApplyToWeaponSlot=eInvSlot_SecondaryWeapon), \\</v>
      </c>
      <c r="B114" s="234" t="s">
        <v>340</v>
      </c>
      <c r="C114" s="234"/>
      <c r="D114" s="234"/>
      <c r="E114" s="234"/>
      <c r="F114" s="234"/>
      <c r="G114" s="234"/>
      <c r="H114" s="234"/>
      <c r="I114" s="234"/>
      <c r="J114" s="234"/>
    </row>
    <row r="115" spans="1:10" x14ac:dyDescent="0.25">
      <c r="A115" s="240" t="s">
        <v>337</v>
      </c>
      <c r="B115" s="234" t="s">
        <v>340</v>
      </c>
      <c r="C115" s="234"/>
      <c r="D115" s="234"/>
      <c r="E115" s="234"/>
      <c r="F115" s="234"/>
      <c r="G115" s="234"/>
      <c r="H115" s="234"/>
      <c r="I115" s="234"/>
      <c r="J115" s="234"/>
    </row>
    <row r="116" spans="1:10" x14ac:dyDescent="0.25">
      <c r="A116" s="240"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(StatType=eStat_Hacking,StatAmount=5), (StatType=eStat_Dodge,StatAmount=1)),\\</v>
      </c>
      <c r="B116" s="234" t="s">
        <v>340</v>
      </c>
      <c r="C116" s="234"/>
      <c r="D116" s="234"/>
      <c r="E116" s="234"/>
      <c r="F116" s="234"/>
      <c r="G116" s="234"/>
      <c r="H116" s="234"/>
      <c r="I116" s="234"/>
      <c r="J116" s="234"/>
    </row>
    <row r="117" spans="1:10" x14ac:dyDescent="0.25">
      <c r="A117" s="240" t="s">
        <v>338</v>
      </c>
      <c r="B117" s="234" t="s">
        <v>340</v>
      </c>
      <c r="C117" s="234"/>
      <c r="D117" s="234"/>
      <c r="E117" s="234"/>
      <c r="F117" s="234"/>
      <c r="G117" s="234"/>
      <c r="H117" s="234"/>
      <c r="I117" s="234"/>
      <c r="J117" s="234"/>
    </row>
    <row r="118" spans="1:10" x14ac:dyDescent="0.25">
      <c r="A118" s="240" t="str">
        <f>";  gunnery sergeant"</f>
        <v>;  gunnery sergeant</v>
      </c>
      <c r="B118" s="234" t="s">
        <v>340</v>
      </c>
      <c r="C118" s="234"/>
      <c r="D118" s="234"/>
      <c r="E118" s="234"/>
      <c r="F118" s="234"/>
      <c r="G118" s="234"/>
      <c r="H118" s="234"/>
      <c r="I118" s="234"/>
      <c r="J118" s="234"/>
    </row>
    <row r="119" spans="1:10" x14ac:dyDescent="0.25">
      <c r="A119" s="240" t="str">
        <f ca="1">"+SoldierRanks=(  aAbilityTree=( (AbilityName="""&amp;VLOOKUP(INDIRECT("F33"),Abilities,2,FALSE)&amp;""""&amp;IF(VLOOKUP(INDIRECT("F33"),Abilities,3,FALSE)="","",", ApplyToWeaponSlot=eInvSlot_"&amp;VLOOKUP(INDIRECT("F33"),Abilities,3,FALSE))&amp;"), \\"</f>
        <v>+SoldierRanks=(  aAbilityTree=( (AbilityName=" "), \\</v>
      </c>
      <c r="B119" s="234" t="s">
        <v>340</v>
      </c>
      <c r="C119" s="234"/>
      <c r="D119" s="234"/>
      <c r="E119" s="234"/>
      <c r="F119" s="234"/>
      <c r="G119" s="234"/>
      <c r="H119" s="234"/>
      <c r="I119" s="234"/>
      <c r="J119" s="234"/>
    </row>
    <row r="120" spans="1:10" x14ac:dyDescent="0.25">
      <c r="A120" s="240" t="str">
        <f ca="1">IF(INDIRECT("I33")="","\\","(AbilityName="""&amp;VLOOKUP(INDIRECT("I33"),Abilities,2,FALSE)&amp;""""&amp;IF(VLOOKUP(INDIRECT("I33"),Abilities,3,FALSE)="","",", ApplyToWeaponSlot=eInvSlot_"&amp;VLOOKUP(INDIRECT("I33"),Abilities,3,FALSE))&amp;"), \\")</f>
        <v>(AbilityName="Tradecraft"), \\</v>
      </c>
      <c r="B120" s="234" t="s">
        <v>340</v>
      </c>
      <c r="C120" s="234"/>
      <c r="D120" s="234"/>
      <c r="E120" s="234"/>
      <c r="F120" s="234"/>
      <c r="G120" s="234"/>
      <c r="H120" s="234"/>
      <c r="I120" s="234"/>
      <c r="J120" s="234"/>
    </row>
    <row r="121" spans="1:10" x14ac:dyDescent="0.25">
      <c r="A121" s="240" t="str">
        <f ca="1">IF(INDIRECT("L33")="","\\","(AbilityName="""&amp;VLOOKUP(INDIRECT("L33"),Abilities,2,FALSE)&amp;""""&amp;IF(VLOOKUP(INDIRECT("L33"),Abilities,3,FALSE)="","",", ApplyToWeaponSlot=eInvSlot_"&amp;VLOOKUP(INDIRECT("L33"),Abilities,3,FALSE))&amp;"), \\")</f>
        <v>(AbilityName=" "), \\</v>
      </c>
      <c r="B121" s="234" t="s">
        <v>340</v>
      </c>
      <c r="C121" s="234"/>
      <c r="D121" s="234"/>
      <c r="E121" s="234"/>
      <c r="F121" s="234"/>
      <c r="G121" s="234"/>
      <c r="H121" s="234"/>
      <c r="I121" s="234"/>
      <c r="J121" s="234"/>
    </row>
    <row r="122" spans="1:10" x14ac:dyDescent="0.25">
      <c r="A122" s="240" t="s">
        <v>337</v>
      </c>
      <c r="B122" s="234" t="s">
        <v>340</v>
      </c>
      <c r="C122" s="234"/>
      <c r="D122" s="234"/>
      <c r="E122" s="234"/>
      <c r="F122" s="234"/>
      <c r="G122" s="234"/>
      <c r="H122" s="234"/>
      <c r="I122" s="234"/>
      <c r="J122" s="234"/>
    </row>
    <row r="123" spans="1:10" x14ac:dyDescent="0.25">
      <c r="A123" s="240"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(StatType=eStat_HP,StatAmount=1), (StatType=eStat_Hacking,StatAmount=5), (StatType=eStat_Dodge,StatAmount=1)),\\</v>
      </c>
      <c r="B123" s="234" t="s">
        <v>340</v>
      </c>
      <c r="C123" s="234"/>
      <c r="D123" s="234"/>
      <c r="E123" s="234"/>
      <c r="F123" s="234"/>
      <c r="G123" s="234"/>
      <c r="H123" s="234"/>
      <c r="I123" s="234"/>
      <c r="J123" s="234"/>
    </row>
    <row r="124" spans="1:10" x14ac:dyDescent="0.25">
      <c r="A124" s="240" t="s">
        <v>338</v>
      </c>
      <c r="B124" s="234" t="s">
        <v>340</v>
      </c>
      <c r="C124" s="234"/>
      <c r="D124" s="234"/>
      <c r="E124" s="234"/>
      <c r="F124" s="234"/>
      <c r="G124" s="234"/>
      <c r="H124" s="234"/>
      <c r="I124" s="234"/>
      <c r="J124" s="234"/>
    </row>
    <row r="125" spans="1:10" x14ac:dyDescent="0.25">
      <c r="A125" s="240" t="str">
        <f>"; master sergeant"</f>
        <v>; master sergeant</v>
      </c>
      <c r="B125" s="234" t="s">
        <v>340</v>
      </c>
      <c r="C125" s="234"/>
      <c r="D125" s="234"/>
      <c r="E125" s="234"/>
      <c r="F125" s="234"/>
      <c r="G125" s="234"/>
      <c r="H125" s="234"/>
      <c r="I125" s="234"/>
      <c r="J125" s="234"/>
    </row>
    <row r="126" spans="1:10" x14ac:dyDescent="0.25">
      <c r="A126" s="240" t="str">
        <f ca="1">"+SoldierRanks=(  aAbilityTree=( (AbilityName="""&amp;VLOOKUP(INDIRECT("F37"),Abilities,2,FALSE)&amp;""""&amp;IF(VLOOKUP(INDIRECT("F37"),Abilities,3,FALSE)="","",", ApplyToWeaponSlot=eInvSlot_"&amp;VLOOKUP(INDIRECT("F37"),Abilities,3,FALSE))&amp;"), \\"</f>
        <v>+SoldierRanks=(  aAbilityTree=( (AbilityName="ShadowOps_Assassin", ApplyToWeaponSlot=eInvSlot_PrimaryWeapon), \\</v>
      </c>
      <c r="B126" s="234" t="s">
        <v>340</v>
      </c>
      <c r="C126" s="234"/>
      <c r="D126" s="234"/>
      <c r="E126" s="234"/>
      <c r="F126" s="234"/>
      <c r="G126" s="234"/>
      <c r="H126" s="234"/>
      <c r="I126" s="234"/>
      <c r="J126" s="234"/>
    </row>
    <row r="127" spans="1:10" x14ac:dyDescent="0.25">
      <c r="A127" s="240" t="str">
        <f ca="1">IF(INDIRECT("I37")="","\\","(AbilityName="""&amp;VLOOKUP(INDIRECT("I37"),Abilities,2,FALSE)&amp;""""&amp;IF(VLOOKUP(INDIRECT("I37"),Abilities,3,FALSE)="","",", ApplyToWeaponSlot=eInvSlot_"&amp;VLOOKUP(INDIRECT("I37"),Abilities,3,FALSE))&amp;"), \\")</f>
        <v>(AbilityName=" "), \\</v>
      </c>
      <c r="B127" s="234" t="s">
        <v>340</v>
      </c>
      <c r="C127" s="234"/>
      <c r="D127" s="234"/>
      <c r="E127" s="234"/>
      <c r="F127" s="234"/>
      <c r="G127" s="234"/>
      <c r="H127" s="234"/>
      <c r="I127" s="234"/>
      <c r="J127" s="234"/>
    </row>
    <row r="128" spans="1:10" x14ac:dyDescent="0.25">
      <c r="A128" s="240" t="str">
        <f ca="1">IF(INDIRECT("L37")="","\\","(AbilityName="""&amp;VLOOKUP(INDIRECT("L37"),Abilities,2,FALSE)&amp;""""&amp;IF(VLOOKUP(INDIRECT("L37"),Abilities,3,FALSE)="","",", ApplyToWeaponSlot=eInvSlot_"&amp;VLOOKUP(INDIRECT("L37"),Abilities,3,FALSE))&amp;"), \\")</f>
        <v>(AbilityName="Reaper", ApplyToWeaponSlot=eInvSlot_SecondaryWeapon), \\</v>
      </c>
      <c r="B128" s="234" t="s">
        <v>340</v>
      </c>
      <c r="C128" s="234"/>
      <c r="D128" s="234"/>
      <c r="E128" s="234"/>
      <c r="F128" s="234"/>
      <c r="G128" s="234"/>
      <c r="H128" s="234"/>
      <c r="I128" s="234"/>
      <c r="J128" s="234"/>
    </row>
    <row r="129" spans="1:10" x14ac:dyDescent="0.25">
      <c r="A129" s="240" t="s">
        <v>337</v>
      </c>
      <c r="B129" s="234" t="s">
        <v>340</v>
      </c>
      <c r="C129" s="234"/>
      <c r="D129" s="234"/>
      <c r="E129" s="234"/>
      <c r="F129" s="234"/>
      <c r="G129" s="234"/>
      <c r="H129" s="234"/>
      <c r="I129" s="234"/>
      <c r="J129" s="234"/>
    </row>
    <row r="130" spans="1:10" x14ac:dyDescent="0.25">
      <c r="A130" s="240"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(StatType=eStat_HP,StatAmount=0), (StatType=eStat_Hacking,StatAmount=5), (StatType=eStat_Dodge,StatAmount=1)),\\</v>
      </c>
      <c r="B130" s="234" t="s">
        <v>340</v>
      </c>
      <c r="C130" s="234"/>
      <c r="D130" s="234"/>
      <c r="E130" s="234"/>
      <c r="F130" s="234"/>
      <c r="G130" s="234"/>
      <c r="H130" s="234"/>
      <c r="I130" s="234"/>
      <c r="J130" s="234"/>
    </row>
    <row r="131" spans="1:10" ht="15.75" thickBot="1" x14ac:dyDescent="0.3">
      <c r="A131" s="241" t="s">
        <v>338</v>
      </c>
      <c r="B131" s="234" t="s">
        <v>340</v>
      </c>
      <c r="C131" s="234"/>
      <c r="D131" s="234"/>
      <c r="E131" s="234"/>
      <c r="F131" s="234"/>
      <c r="G131" s="234"/>
      <c r="H131" s="234"/>
      <c r="I131" s="234"/>
      <c r="J131" s="234"/>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I37:J37"/>
    <mergeCell ref="F17:G17"/>
    <mergeCell ref="I17:J17"/>
    <mergeCell ref="L17:M1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L37:M37"/>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A40:B41"/>
    <mergeCell ref="C40:E41"/>
    <mergeCell ref="A42:B42"/>
    <mergeCell ref="C42:D42"/>
    <mergeCell ref="E42:F42"/>
    <mergeCell ref="F38:H39"/>
    <mergeCell ref="I38:K39"/>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6497"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06498"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06499"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06500"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06501"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06502"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06503"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06504"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06505"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06506"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06507"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06508"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06509"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20"/>
  <sheetViews>
    <sheetView workbookViewId="0">
      <selection activeCell="D15" sqref="D15:L19"/>
    </sheetView>
  </sheetViews>
  <sheetFormatPr defaultRowHeight="15" x14ac:dyDescent="0.25"/>
  <sheetData>
    <row r="1" spans="1:14" ht="15.75" customHeight="1" x14ac:dyDescent="0.25">
      <c r="A1" s="212" t="s">
        <v>339</v>
      </c>
      <c r="B1" s="213"/>
      <c r="C1" s="214"/>
      <c r="D1" s="218" t="s">
        <v>342</v>
      </c>
      <c r="E1" s="219"/>
      <c r="F1" s="220"/>
      <c r="G1" s="224" t="s">
        <v>343</v>
      </c>
      <c r="H1" s="225"/>
      <c r="I1" s="226"/>
      <c r="J1" s="230" t="s">
        <v>923</v>
      </c>
      <c r="K1" s="231"/>
      <c r="L1" s="208" t="s">
        <v>755</v>
      </c>
      <c r="M1" s="208"/>
      <c r="N1" s="209"/>
    </row>
    <row r="2" spans="1:14" ht="15.75" thickBot="1" x14ac:dyDescent="0.3">
      <c r="A2" s="215"/>
      <c r="B2" s="216"/>
      <c r="C2" s="217"/>
      <c r="D2" s="221"/>
      <c r="E2" s="222"/>
      <c r="F2" s="223"/>
      <c r="G2" s="227"/>
      <c r="H2" s="228"/>
      <c r="I2" s="229"/>
      <c r="J2" s="232"/>
      <c r="K2" s="233"/>
      <c r="L2" s="210"/>
      <c r="M2" s="210"/>
      <c r="N2" s="211"/>
    </row>
    <row r="3" spans="1:14" x14ac:dyDescent="0.25">
      <c r="B3" s="43" t="str">
        <f ca="1">Dirty!U2</f>
        <v>[XComGame.X2SoldierClass_DefaultClasses]
+SoldierClasses=LWD_Artillery
+SoldierClasses=LWD_Assault
+SoldierClasses=LWD_Chemist
+SoldierClasses=LWD_CombatEngineer
+SoldierClasses=LWD_Courser
+SoldierClasses=LWD_Cowboy
+SoldierClasses=LWD_Dreadnought
+SoldierClasses=LWD_FieldScientist
+SoldierClasses=LWD_Fireman
+SoldierClasses=LWD_Guerrilla
+SoldierClasses=LWD_Gunner
+SoldierClasses=LWD_Hacker
+SoldierClasses=LWD_Hunter
+SoldierClasses=LWD_Marksman
+SoldierClasses=LWD_Medic
+SoldierClasses=LWD_Partisan
+SoldierClasses=LWD_Protector
+SoldierClasses=LWD_Raider
+SoldierClasses=LWD_Ranger
+SoldierClasses=LWD_Recon
+SoldierClasses=LWD_Sapper
+SoldierClasses=LWD_Scrapper
+SoldierClasses=LWD_Sharpshooter
+SoldierClasses=LWD_Shinobi</v>
      </c>
      <c r="C3" t="s">
        <v>340</v>
      </c>
      <c r="E3" s="44" t="str">
        <f ca="1">Dirty!V2</f>
        <v>[XComGame.X2ItemTemplateManager]
+Loadouts=(LoadoutName="SquaddieLWD_Artillery", Items[0]=(Item="SniperRifle_CV"), Items[1]=(Item="LWGauntlet_CV"))
+Loadouts=(LoadoutName="SquaddieLWD_Assault", Items[0]=(Item="Shotgun_CV"), Items[1]=(Item="Arcthrower_CV"))
+Loadouts=(LoadoutName="SquaddieLWD_Chemist", Items[0]=(Item="AssaultRifle_CV"), Items[1]=(Item="GrenadeLauncher_CV"))
+Loadouts=(LoadoutName="SquaddieLWD_CombatEngineer", Items[0]=(Item="AssaultRifle_CV"), Items[1]=(Item="Gremlin_CV"))
+Loadouts=(LoadoutName="SquaddieLWD_Courser", Items[0]=(Item="Shotgun_CV"), Items[1]=(Item="Holotargeter_CV"))
+Loadouts=(LoadoutName="SquaddieLWD_Cowboy", Items[0]=(Item="SniperRifle_CV"), Items[1]=(Item="SawedOffShotgun_CV"))
+Loadouts=(LoadoutName="SquaddieLWD_Dreadnought", Items[0]=(Item="Cannon_CV"), Items[1]=(Item="LWGauntlet_CV"))
+Loadouts=(LoadoutName="SquaddieLWD_FieldScientist", Items[0]=(Item="AssaultRifle_CV"), Items[1]=(Item="Arcthrower_CV"))
+Loadouts=(LoadoutName="SquaddieLWD_Fireman", Items[0]=(Item="Shotgun_CV"), Items[1]=(Item="LWGauntlet_CV"))
+Loadouts=(LoadoutName="SquaddieLWD_Guerrilla", Items[0]=(Item="SniperRifle_CV"), Items[1]=(Item="CombatKnife_CV"))
+Loadouts=(LoadoutName="SquaddieLWD_Gunner", Items[0]=(Item="Cannon_CV"), Items[1]=(Item="CombatKnife_CV"))
+Loadouts=(LoadoutName="SquaddieLWD_Hacker", Items[0]=(Item="AssaultRifle_CV"), Items[1]=(Item="Gremlin_CV"))
+Loadouts=(LoadoutName="SquaddieLWD_Hunter", Items[0]=(Item="SniperRifle_CV"), Items[1]=(Item="Sword_CV"))
+Loadouts=(LoadoutName="SquaddieLWD_Marksman", Items[0]=(Item="SniperRifle_CV"), Items[1]=(Item="SawedOffShotgun_CV"))
+Loadouts=(LoadoutName="SquaddieLWD_Medic", Items[0]=(Item="AssaultRifle_CV"), Items[1]=(Item="Gremlin_CV"))
+Loadouts=(LoadoutName="SquaddieLWD_Partisan", Items[0]=(Item="Shotgun_CV"), Items[1]=(Item="Arcthrower_CV"))
+Loadouts=(LoadoutName="SquaddieLWD_Protector", Items[0]=(Item="AssaultRifle_CV"), Items[1]=(Item="GrenadeLauncher_CV"))
+Loadouts=(LoadoutName="SquaddieLWD_Raider", Items[0]=(Item="Shotgun_CV"), Items[1]=(Item="Sword_CV"))
+Loadouts=(LoadoutName="SquaddieLWD_Ranger", Items[0]=(Item="AssaultRifle_CV"), Items[1]=(Item="SawedOffShotgun_CV"))
+Loadouts=(LoadoutName="SquaddieLWD_Recon", Items[0]=(Item="AssaultRifle_CV"), Items[1]=(Item="Holotargeter_CV"))
+Loadouts=(LoadoutName="SquaddieLWD_Sapper", Items[0]=(Item="Cannon_CV"), Items[1]=(Item="GrenadeLauncher_CV"))
+Loadouts=(LoadoutName="SquaddieLWD_Scrapper", Items[0]=(Item="Shotgun_CV"), Items[1]=(Item="CombatKnife_CV"))
+Loadouts=(LoadoutName="SquaddieLWD_Sharpshooter", Items[0]=(Item="SniperRifle_CV"), Items[1]=(Item="Holotargeter_CV"))
+Loadouts=(LoadoutName="SquaddieLWD_Shinobi", Items[0]=(Item="AssaultRifle_CV"), Items[1]=(Item="Sword_CV"))</v>
      </c>
      <c r="F3" t="s">
        <v>340</v>
      </c>
      <c r="H3" s="45" t="str">
        <f ca="1">Dirty!W2</f>
        <v>[LWD_Artillery X2SoldierClassTemplate]
+DisplayName="Artillery"
+ClassSummary="Artillery train with sniper rifles and rocket launchers, and are at their best when their enemy is a mile away."
+LeftAbilityTreeTitle="Tankbuster"
+RightAbilityTreeTitle="Mortar"
; Nicknames
RandomNickNames[0]="Angel"
RandomNickNames[1]="Bargain"
RandomNickNames[2]="Beta"
RandomNickNames[3]="Bishop"
RandomNickNames[4]="Hometown"
RandomNickNames[5]="Breaker"
RandomNickNames[6]="Broker"
RandomNickNames[7]="Conquest"
RandomNickNames[8]="Deacon"
RandomNickNames[9]="Doomtrain"
RandomNickNames[10]="Dr. Feelgood"
RandomNickNames[11]="Famine"
RandomNickNames[12]="Feedback"
RandomNickNames[13]="Sure Thing"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[LWD_Assault X2SoldierClassTemplate]
+DisplayName="Assault"
+ClassSummary="The Assault serves as our primary close range unit, able to push in close and hold the line. They carry an arc thrower to keep the enemy on their toes."
+LeftAbilityTreeTitle="Aggressor"
+RightAbilityTreeTitle="Breacher"
; Nicknames
RandomNickNames[0]="Angel"
RandomNickNames[1]="Bargain"
RandomNickNames[2]="Beta"
RandomNickNames[3]="Bishop"
RandomNickNames[4]="Shatter"
RandomNickNames[5]="Breaker"
RandomNickNames[6]="Broker"
RandomNickNames[7]="Conquest"
RandomNickNames[8]="Deacon"
RandomNickNames[9]="Doomtrain"
RandomNickNames[10]="Dr. Feelgood"
RandomNickNames[11]="Famine"
RandomNickNames[12]="Feedback"
RandomNickNames[13]="Firewall"
RandomNickNames[14]="Genius"
RandomNickNames[15]="Mad Dog"
RandomNickNames[16]="Jester"
RandomNickNames[17]="Jolt"
RandomNickNames[18]="Lightning"
RandomNickNames[19]="Mayday"
RandomNickNames[20]="Mega"
RandomNickNames[21]="Newton"
RandomNickNames[22]="Ragtime"
RandomNickNames[23]="Dancer"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RandomNickNames_Male[3]="Mr. Go"
RandomNickNames_Male[4]="Rooster"
; Female Nicknames
RandomNickNames_Female[0]="Priestess"
RandomNickNames_Female[1]="Wolfmother"
RandomNickNames_Female[2]="Black Widow"
RandomNickNames_Female[3]="Duchess"
RandomNickNames_Female[4]="Vixen"
[LWD_Chemist X2SoldierClassTemplate]
+DisplayName="Chemist"
+ClassSummary=""
+LeftAbilityTreeTitle=""
+RightAbilityTreeTitle=""
; Nicknames
RandomNickNames[0]="Maniac"
RandomNickNames[1]="Bargain"
RandomNickNames[2]="Villain"
RandomNickNames[3]="Bishop"
RandomNickNames[4]="Freak"
RandomNickNames[5]="Breaker"
RandomNickNames[6]="Broker"
RandomNickNames[7]="Conquest"
RandomNickNames[8]="Deacon"
RandomNickNames[9]="Doomtrain"
RandomNickNames[10]="Dr. Feelgood"
RandomNickNames[11]="Famine"
RandomNickNames[12]="Feedback"
RandomNickNames[13]="Sure Thing"
RandomNickNames[14]="Genius"
RandomNickNames[15]="Gizmo"
RandomNickNames[16]="Jester"
RandomNickNames[17]="Jolt"
RandomNickNames[18]="Lightning"
RandomNickNames[19]="Mayday"
RandomNickNames[20]="Arson"
RandomNickNames[21]="Newton"
RandomNickNames[22]="Laughing Gas"
RandomNickNames[23]="Rascal"
RandomNickNames[24]="Rattler"
RandomNickNames[25]="Revelation"
RandomNickNames[26]="Skipper"
RandomNickNames[27]="Thunder"
RandomNickNames[28]="Undertaker"
RandomNickNames[29]="War"
RandomNickNames[30]="Whoopsie"
RandomNickNames[31]="The Hurt"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[LWD_CombatEngineer X2SoldierClassTemplate]
+DisplayName="Combat Engineer"
+ClassSummary="Some Engineers are more at home on the battlefield than the Avenger. Their technical skills with a GREMLIN come in handy, especially when protecting our soldiers and against enemy mechanical units."
+LeftAbilityTreeTitle="Armorer"
+RightAbilityTreeTitle="Technician"
; Nicknames
RandomNickNames[0]="Chum"
RandomNickNames[1]="Bargain"
RandomNickNames[2]="Beta"
RandomNickNames[3]="Bishop"
RandomNickNames[4]="Hometown"
RandomNickNames[5]="Breaker"
RandomNickNames[6]="Broker"
RandomNickNames[7]="Conquest"
RandomNickNames[8]="Deacon"
RandomNickNames[9]="Doomtrain"
RandomNickNames[10]="Eiger"
RandomNickNames[11]="Famine"
RandomNickNames[12]="Feedback"
RandomNickNames[13]="Glory"
RandomNickNames[14]="Blitz"
RandomNickNames[15]="Paco"
RandomNickNames[16]="Dante"
RandomNickNames[17]="Decker"
RandomNickNames[18]="Coyote"
RandomNickNames[19]="Mayday"
RandomNickNames[20]="Mega"
RandomNickNames[21]="Newton"
RandomNickNames[22]="Ragtime"
RandomNickNames[23]="Rascal"
RandomNickNames[24]="Gaichu"
RandomNickNames[25]="Revelation"
RandomNickNames[26]="Racter"
RandomNickNames[27]="Thunder"
RandomNickNames[28]="Undertaker"
RandomNickNames[29]="War"
RandomNickNames[30]="Whoopsie"
RandomNickNames[31]="Gobbet"
; Male Nicknames
RandomNickNames_Male[0]="Mr. Magoo"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[LWD_Courser X2SoldierClassTemplate]
+DisplayName="Courser"
+ClassSummary="The Courser serves best offset from the rest of the squad, specializing in either taking on entire squads, or picking off stragglers. They employ a holotargeter for picking their targets."
+LeftAbilityTreeTitle="Hordebreaker"
+RightAbilityTreeTitle="Duelist"
; Nicknames
RandomNickNames[0]="Angel"
RandomNickNames[1]="Bargain"
RandomNickNames[2]="Beta"
RandomNickNames[3]="Bishop"
RandomNickNames[4]="Bones"
RandomNickNames[5]="FUBAR"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RandomNickNames[26]="Horseman"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[LWD_Cowboy X2SoldierClassTemplate]
+DisplayName="Cowboy"
+ClassSummary="Versatile soldiers that are always ready for anything, Cowboys carry sniper rifles, pistols, and sawed-off shotguns, and are just as deadly with each of them."
+LeftAbilityTreeTitle="Pistoleer"
+RightAbilityTreeTitle="Shotgunner"
; Nicknames
RandomNickNames[0]="Skinny"
RandomNickNames[1]="Bargain"
RandomNickNames[2]="Shanghai Kid"
RandomNickNames[3]="The Kid"
RandomNickNames[4]="Hometown"
RandomNickNames[5]="Breaker"
RandomNickNames[6]="Broker"
RandomNickNames[7]="Conquest"
RandomNickNames[8]="Snake Oil"
RandomNickNames[9]="Doomtrain"
RandomNickNames[10]="Doc Holliday"
RandomNickNames[11]="Famine"
RandomNickNames[12]="Sundance"
RandomNickNames[13]="Revolver"
RandomNickNames[14]="Genius"
RandomNickNames[15]="Arkansas"
RandomNickNames[16]="Jester"
RandomNickNames[17]="Bandit"
RandomNickNames[18]="Pistolero"
RandomNickNames[19]="Mayday"
RandomNickNames[20]="Buffalo"
RandomNickNames[21]="Newton"
RandomNickNames[22]="Ragtime"
RandomNickNames[23]="Rascal"
RandomNickNames[24]="Rattlesnake"
RandomNickNames[25]="Revelation"
RandomNickNames[26]="Huckleberry"
RandomNickNames[27]="Tequila"
RandomNickNames[28]="Undertaker"
RandomNickNames[29]="Ringo"
RandomNickNames[30]="Eastwood"
RandomNickNames[31]="Unforgiven"
; Male Nicknames
RandomNickNames_Male[0]="The Duke"
RandomNickNames_Male[1]="Black Bart"
RandomNickNames_Male[2]="Padre"
RandomNickNames_Male[3]="Butch"
RandomNickNames_Male[4]="Amigo"
; Female Nicknames
RandomNickNames_Female[0]="Belle"
RandomNickNames_Female[1]="Amiga"
RandomNickNames_Female[2]="Black Widow"
RandomNickNames_Female[3]="Duchess"
RandomNickNames_Female[4]="Calamity"</v>
      </c>
      <c r="I3" t="s">
        <v>340</v>
      </c>
    </row>
    <row r="4" spans="1:14" ht="15.75" thickBot="1" x14ac:dyDescent="0.3">
      <c r="B4" s="30"/>
      <c r="C4" t="s">
        <v>340</v>
      </c>
      <c r="E4" s="32" t="str">
        <f ca="1">Dirty!V3</f>
        <v>[XComGame.XGStrategy]
+DEBUG_StartingSoldierClasses="LWD_Artillery"
+DEBUG_StartingSoldierClasses="LWD_Assault"
+DEBUG_StartingSoldierClasses="LWD_Chemist"
+DEBUG_StartingSoldierClasses="LWD_CombatEngineer"
+DEBUG_StartingSoldierClasses="LWD_Courser"
+DEBUG_StartingSoldierClasses="LWD_Cowboy"
+DEBUG_StartingSoldierClasses="LWD_Dreadnought"
+DEBUG_StartingSoldierClasses="LWD_FieldScientist"
+DEBUG_StartingSoldierClasses="LWD_Fireman"
+DEBUG_StartingSoldierClasses="LWD_Guerrilla"
+DEBUG_StartingSoldierClasses="LWD_Gunner"
+DEBUG_StartingSoldierClasses="LWD_Hacker"
+DEBUG_StartingSoldierClasses="LWD_Hunter"
+DEBUG_StartingSoldierClasses="LWD_Marksman"
+DEBUG_StartingSoldierClasses="LWD_Medic"
+DEBUG_StartingSoldierClasses="LWD_Partisan"
+DEBUG_StartingSoldierClasses="LWD_Protector"
+DEBUG_StartingSoldierClasses="LWD_Raider"
+DEBUG_StartingSoldierClasses="LWD_Ranger"
+DEBUG_StartingSoldierClasses="LWD_Recon"
+DEBUG_StartingSoldierClasses="LWD_Sapper"
+DEBUG_StartingSoldierClasses="LWD_Scrapper"
+DEBUG_StartingSoldierClasses="LWD_Sharpshooter"
+DEBUG_StartingSoldierClasses="LWD_Shinobi"</v>
      </c>
      <c r="F4" t="s">
        <v>340</v>
      </c>
      <c r="H4" s="33" t="str">
        <f ca="1">Dirty!W3</f>
        <v>[LWD_Dreadnought X2SoldierClassTemplate]
+DisplayName="Dreadnought"
+ClassSummary="The Dreadnought is a human brick wall, who can take everything the enemy can throw at them and then throw it all back. They employ gauntlets for the really tough enemies."
+LeftAbilityTreeTitle="Immovable"
+RightAbilityTreeTitle="Unstoppable"
; Nicknames
RandomNickNames[0]="Angel"
RandomNickNames[1]="Bargain"
RandomNickNames[2]="Beta"
RandomNickNames[3]="Bishop"
RandomNickNames[4]="Bones"
RandomNickNames[5]="Breaker"
RandomNickNames[6]="Broker"
RandomNickNames[7]="Conquest"
RandomNickNames[8]="Pride"
RandomNickNames[9]="Doomtrain"
RandomNickNames[10]="Boomtown"
RandomNickNames[11]="Famine"
RandomNickNames[12]="Feedback"
RandomNickNames[13]="Firewall"
RandomNickNames[14]="Genius"
RandomNickNames[15]="Gizmo"
RandomNickNames[16]="Jester"
RandomNickNames[17]="Juggernaut"
RandomNickNames[18]="Stonewall"
RandomNickNames[19]="Mayday"
RandomNickNames[20]="Mega"
RandomNickNames[21]="Brick"
RandomNickNames[22]="Ragtime"
RandomNickNames[23]="Rascal"
RandomNickNames[24]="Rattler"
RandomNickNames[25]="Revelation"
RandomNickNames[26]="Skipper"
RandomNickNames[27]="Thunder"
RandomNickNames[28]="Undertaker"
RandomNickNames[29]="War"
RandomNickNames[30]="Whoopsie"
RandomNickNames[31]="Tank"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[LWD_FieldScientist X2SoldierClassTemplate]
+DisplayName="Field Scientist"
+ClassSummary="Field Scientists forgo the lab to aid our soldiers directly on the battlefield. They've got some ways to use their arc thrower to keep our soldiers in the fight."
+LeftAbilityTreeTitle="Electrician"
+RightAbilityTreeTitle="Doctor"
; Nicknames
RandomNickNames[0]="Angel"
RandomNickNames[1]="Bargain"
RandomNickNames[2]="Beta"
RandomNickNames[3]="Bishop"
RandomNickNames[4]="Bones"
RandomNickNames[5]="Moron"
RandomNickNames[6]="Broker"
RandomNickNames[7]="Conquest"
RandomNickNames[8]="Deacon"
RandomNickNames[9]="Electrician"
RandomNickNames[10]="Dr. Feelgood"
RandomNickNames[11]="Famine"
RandomNickNames[12]="Feedback"
RandomNickNames[13]="Firewall"
RandomNickNames[14]="Genius"
RandomNickNames[15]="Gizmo"
RandomNickNames[16]="Professor"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RandomNickNames[29]="Doc"
RandomNickNames[30]="Whoopsie"
RandomNickNames[31]="Segfault"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[LWD_Fireman X2SoldierClassTemplate]
+DisplayName="Fireman"
+ClassSummary="Specializing in their gauntlet's flamethrower, Firemen can clear entire rooms of enemies, as well as blocking off chokepoints with walls of flame."
+LeftAbilityTreeTitle="Explosions"
+RightAbilityTreeTitle="Flames"
; Nicknames
RandomNickNames[0]="Angel"
RandomNickNames[1]="Bargain"
RandomNickNames[2]="Beta"
RandomNickNames[3]="Bishop"
RandomNickNames[4]="Bones"
RandomNickNames[5]="Breaker"
RandomNickNames[6]="Broker"
RandomNickNames[7]="Conquest"
RandomNickNames[8]="Deacon"
RandomNickNames[9]="Lamp"
RandomNickNames[10]="Dr. Feelgood"
RandomNickNames[11]="Famine"
RandomNickNames[12]="Feedback"
RandomNickNames[13]="Firewall"
RandomNickNames[14]="Boomtown"
RandomNickNames[15]="Flamer"
RandomNickNames[16]="Jester"
RandomNickNames[17]="Jolt"
RandomNickNames[18]="Lightning"
RandomNickNames[19]="Mayday"
RandomNickNames[20]="The Truck"
RandomNickNames[21]="Newton"
RandomNickNames[22]="Ragtime"
RandomNickNames[23]="Rascal"
RandomNickNames[24]="Rattler"
RandomNickNames[25]="Revelation"
RandomNickNames[26]="Spark"
RandomNickNames[27]="Thunder"
RandomNickNames[28]="Undertaker"
RandomNickNames[29]="War"
RandomNickNames[30]="Torch"
RandomNickNames[31]="Zulu"
; Male Nicknames
RandomNickNames_Male[0]="Waterboy"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[LWD_Guerrilla X2SoldierClassTemplate]
+DisplayName="Guerrilla"
+ClassSummary="The Guerrilla is a capable assassin who stays on the move and catches the enemy off-guard. They're comfortable with a variety of firearms, and carry a knife, just in case."
+LeftAbilityTreeTitle="Bushwhacker"
+RightAbilityTreeTitle="Commando"
; Nicknames
RandomNickNames[0]="Grey Ghost"
RandomNickNames[1]="Cavalry"
RandomNickNames[2]="Hiss"
RandomNickNames[3]="Bishop"
RandomNickNames[4]="Tootsies"
RandomNickNames[5]="Breaker"
RandomNickNames[6]="Broker"
RandomNickNames[7]="Conquest"
RandomNickNames[8]="Deacon"
RandomNickNames[9]="Doomtrain"
RandomNickNames[10]="Mercury"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[LWD_Gunner X2SoldierClassTemplate]
+DisplayName="Gunner"
+ClassSummary="The Gunner is trained to use heavy automatic weapons, able to cover the squad with suppressive fire or inflict significant damage in direct attacks. They also carry a combat knife as a backup."
+LeftAbilityTreeTitle="SAW Gunner"
+RightAbilityTreeTitle="Machinegunner"
; Nicknames
RandomNickNames[0]="Angel"
RandomNickNames[1]="Bargain"
RandomNickNames[2]="Beta"
RandomNickNames[3]="Bishop"
RandomNickNames[4]="Dakka"
RandomNickNames[5]="Breaker"
RandomNickNames[6]="Broker"
RandomNickNames[7]="Conquest"
RandomNickNames[8]="Deacon"
RandomNickNames[9]="Doomtrain"
RandomNickNames[10]="Dr. Feelgood"
RandomNickNames[11]="Famine"
RandomNickNames[12]="More"
RandomNickNames[13]="Firewall"
RandomNickNames[14]="Genius"
RandomNickNames[15]="Gizmo"
RandomNickNames[16]="Jester"
RandomNickNames[17]="Tiny"
RandomNickNames[18]="Lightning"
RandomNickNames[19]="Mayday"
RandomNickNames[20]="Mega"
RandomNickNames[21]="Newton"
RandomNickNames[22]="Ragtime"
RandomNickNames[23]="Rascal"
RandomNickNames[24]="Rattler"
RandomNickNames[25]="Revelation"
RandomNickNames[26]="Skipper"
RandomNickNames[27]="Thunder"
RandomNickNames[28]="Oak"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[LWD_Hacker X2SoldierClassTemplate]
+DisplayName="Hacker"
+ClassSummary="The Hacker is a a savant when it comes to computers. They use their GREMLINs to keep Advent's systems on the fritz."
+LeftAbilityTreeTitle="Operator"
+RightAbilityTreeTitle="Decker"
; Nicknames
RandomNickNames[0]="Angel"
RandomNickNames[1]="Bargain"
RandomNickNames[2]="Beta"
RandomNickNames[3]="Bishop"
RandomNickNames[4]="Malware"
RandomNickNames[5]="Breaker"
RandomNickNames[6]="Broker"
RandomNickNames[7]="Conquest"
RandomNickNames[8]="Deacon"
RandomNickNames[9]="Professor"
RandomNickNames[10]="Spybot"
RandomNickNames[11]="Famine"
RandomNickNames[12]="Feedback"
RandomNickNames[13]="Firewall"
RandomNickNames[14]="Genius"
RandomNickNames[15]="Gizmo"
RandomNickNames[16]="Jester"
RandomNickNames[17]="Jolt"
RandomNickNames[18]="Lightning"
RandomNickNames[19]="Worm"
RandomNickNames[20]="Mega"
RandomNickNames[21]="Newton"
RandomNickNames[22]="Botnet"
RandomNickNames[23]="Rascal"
RandomNickNames[24]="Rattler"
RandomNickNames[25]="Revelation"
RandomNickNames[26]="Skipper"
RandomNickNames[27]="Thunder"
RandomNickNames[28]="Undertaker"
RandomNickNames[29]="War"
RandomNickNames[30]="Whoopsie"
RandomNickNames[31]="Virus"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I4" t="s">
        <v>340</v>
      </c>
    </row>
    <row r="5" spans="1:14" x14ac:dyDescent="0.25">
      <c r="B5" s="30" t="str">
        <f ca="1">Dirty!U4</f>
        <v>[LWD_Artillery X2SoldierClassTemplate]
+bMultiplayerOnly=0
+ClassPoints=4
+IconImage="img:///UILibrary_LWD.class_Artillery"
+NumInForcedDeck=1
+NumInDeck=4
+KillAssistsPerKill=4
+SquaddieLoadout=SquaddieLWD_Artillery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(AbilityName="Squadsight"), \\
\\
\\
\\
\\
  ), \\
aStatProgression=((StatType=eStat_Offense,StatAmount=7), (StatType=eStat_HP,StatAmount=0), (StatType=eStat_Hacking,StatAmount=0), (StatType=eStat_CombatSims,StatAmount=1), (StatType=eStat_Will,StatAmount=3)),\\
 )
; lance corporal
+SoldierRanks=(  aAbilityTree=( (AbilityName="LWD_AntiMateriel", ApplyToWeaponSlot=eInvSlot_PrimaryWeapon), \\
(AbilityName=" "), \\
(AbilityName="JavelinRockets", ApplyToWeaponSlot=eInvSlot_SecondaryWeapon), \\
  ), \\
aStatProgression=((StatType=eStat_Offense,StatAmount=3), (StatType=eStat_HP,StatAmount=0), (StatType=eStat_Hacking,StatAmount=0), (StatType=eStat_Will,StatAmount=3)),\\
 )
; corporal
+SoldierRanks=(  aAbilityTree=( (AbilityName=" "), \\
(AbilityName="FireInTheHole", ApplyToWeaponSlot=eInvSlot_SecondaryWeapon), \\
(AbilityName=" "), \\
  ), \\
aStatProgression=((StatType=eStat_Offense,StatAmount=3), (StatType=eStat_HP,StatAmount=1), (StatType=eStat_Hacking,StatAmount=0)),\\
 )
; sergeant
+SoldierRanks=(  aAbilityTree=( (AbilityName="LWD_Gallop"), \\
(AbilityName=" "), \\
(AbilityName="BiggestBooms_LW"), \\
  ), \\
aStatProgression=((StatType=eStat_Offense,StatAmount=3), (StatType=eStat_HP,StatAmount=0), (StatType=eStat_Hacking,StatAmount=0)),\\
 )
; staff sergeant
+SoldierRanks=(  aAbilityTree=( (AbilityName="LongWatch", ApplyToWeaponSlot=eInvSlot_PrimaryWeapon), \\
(AbilityName=" "), \\
(AbilityName="LWD_FullyStocked"), \\
  ), \\
aStatProgression=((StatType=eStat_Offense,StatAmount=3), (StatType=eStat_HP,StatAmount=0), (StatType=eStat_Hacking,StatAmount=0)),\\
 )
; tech sergeant
+SoldierRanks=(  aAbilityTree=( (AbilityName="Deadeye", ApplyToWeaponSlot=eInvSlot_PrimaryWeapon), \\
(AbilityName=" "), \\
(AbilityName="TandemWarheads"), \\
  ), \\
aStatProgression=((StatType=eStat_Offense,StatAmount=3), (StatType=eStat_HP,StatAmount=0), (StatType=eStat_Hacking,StatAmount=0)),\\
 )
;  gunnery sergeant
+SoldierRanks=(  aAbilityTree=( (AbilityName=" "), \\
(AbilityName="FireandSteel", ApplyToWeaponSlot=eInvSlot_SecondaryWeapon), \\
(AbilityName=" "), \\
  ), \\
aStatProgression=((StatType=eStat_Offense,StatAmount=3), (StatType=eStat_HP,StatAmount=1), (StatType=eStat_Hacking,StatAmount=0)),\\
 )
; master sergeant
+SoldierRanks=(  aAbilityTree=( (AbilityName="AlphaMikeFoxtrot", ApplyToWeaponSlot=eInvSlot_PrimaryWeapon), \\
(AbilityName=" "), \\
(AbilityName="BunkerBuster", ApplyToWeaponSlot=eInvSlot_SecondaryWeapon), \\
  ), \\
aStatProgression=((StatType=eStat_Offense,StatAmount=3), (StatType=eStat_HP,StatAmount=0), (StatType=eStat_Hacking,StatAmount=0)),\\
 )
[LWD_Assault X2SoldierClassTemplate]
+bMultiplayerOnly=0
+ClassPoints=4
+IconImage="img:///UILibrary_LW_PerkPack.Class_Assault"
+NumInForcedDeck=1
+NumInDeck=4
+KillAssistsPerKill=5
+SquaddieLoadout=SquaddieLWD_Assault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(AbilityName="RunAndGun_LW"), \\
\\
\\
\\
\\
  ), \\
aStatProgression=((StatType=eStat_Offense,StatAmount=2), (StatType=eStat_HP,StatAmount=0), (StatType=eStat_Hacking,StatAmount=0), (StatType=eStat_CombatSims,StatAmount=1), (StatType=eStat_Will,StatAmount=5), (StatType=eStat_Mobility,StatAmount=1)),\\
 )
; lance corporal
+SoldierRanks=(  aAbilityTree=( (AbilityName="Electroshock", ApplyToWeaponSlot=eInvSlot_SecondaryWeapon), \\
(AbilityName=" "), \\
(AbilityName="LightningReflexes_LW", ApplyToWeaponSlot=eInvSlot_Unknown), \\
  ), \\
aStatProgression=((StatType=eStat_Offense,StatAmount=2), (StatType=eStat_HP,StatAmount=1), (StatType=eStat_Hacking,StatAmount=0), (StatType=eStat_Will,StatAmount=5)),\\
 )
; corporal
+SoldierRanks=(  aAbilityTree=( (AbilityName=" "), \\
(AbilityName="StreetSweeper", ApplyToWeaponSlot=eInvSlot_PrimaryWeapon), \\
(AbilityName=" "), \\
  ), \\
aStatProgression=((StatType=eStat_Offense,StatAmount=2), (StatType=eStat_HP,StatAmount=0), (StatType=eStat_Hacking,StatAmount=0)),\\
 )
; sergeant
+SoldierRanks=(  aAbilityTree=( (AbilityName="KillerInstinct", ApplyToWeaponSlot=eInvSlot_Unknown), \\
(AbilityName=" "), \\
(AbilityName="LWD_HandsAndFeet"), \\
  ), \\
aStatProgression=((StatType=eStat_Offense,StatAmount=2), (StatType=eStat_HP,StatAmount=1), (StatType=eStat_Hacking,StatAmount=0)),\\
 )
; staff sergeant
+SoldierRanks=(  aAbilityTree=( (AbilityName="Aggression", ApplyToWeaponSlot=eInvSlot_PrimaryWeapon), \\
(AbilityName=" "), \\
(AbilityName="CloseEncounters", ApplyToWeaponSlot=eInvSlot_PrimaryWeapon), \\
  ), \\
aStatProgression=((StatType=eStat_Offense,StatAmount=2), (StatType=eStat_HP,StatAmount=0), (StatType=eStat_Hacking,StatAmount=0)),\\
 )
; tech sergeant
+SoldierRanks=(  aAbilityTree=( (AbilityName="EMPulser", ApplyToWeaponSlot=eInvSlot_SecondaryWeapon), \\
(AbilityName=" "), \\
(AbilityName="EverVigilant", ApplyToWeaponSlot=eInvSlot_Unknown), \\
  ), \\
aStatProgression=((StatType=eStat_Offense,StatAmount=2), (StatType=eStat_HP,StatAmount=1), (StatType=eStat_Hacking,StatAmount=0)),\\
 )
;  gunnery sergeant
+SoldierRanks=(  aAbilityTree=( (AbilityName=" "), \\
(AbilityName="CloseCombatSpecialist", ApplyToWeaponSlot=eInvSlot_PrimaryWeapon), \\
(AbilityName=" "), \\
  ), \\
aStatProgression=((StatType=eStat_Offense,StatAmount=2), (StatType=eStat_HP,StatAmount=0), (StatType=eStat_Hacking,StatAmount=0)),\\
 )
; master sergeant
+SoldierRanks=(  aAbilityTree=( (AbilityName="StreetSweeper2", ApplyToWeaponSlot=eInvSlot_PrimaryWeapon), \\
(AbilityName=" "), \\
(AbilityName="ShadowOps_SlamFire", ApplyToWeaponSlot=eInvSlot_PrimaryWeapon), \\
  ), \\
aStatProgression=((StatType=eStat_Offense,StatAmount=2), (StatType=eStat_HP,StatAmount=1), (StatType=eStat_Hacking,StatAmount=0)),\\
 )
[LWD_Chemist X2SoldierClassTemplate]
+bMultiplayerOnly=0
+ClassPoints=4
+IconImage="img:///UILibrary_LWD.class_Chemist"
+NumInForcedDeck=1
+NumInDeck=4
+KillAssistsPerKill=3
+SquaddieLoadout=SquaddieLWD_Chemist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(AbilityName="LWD_Gasser"), \\
\\
\\
\\
\\
  ), \\
aStatProgression=((StatType=eStat_Offense,StatAmount=2), (StatType=eStat_HP,StatAmount=0), (StatType=eStat_Hacking,StatAmount=0), (StatType=eStat_CombatSims,StatAmount=1), (StatType=eStat_Will,StatAmount=3)),\\
 )
; lance corporal
+SoldierRanks=(  aAbilityTree=( (AbilityName="LWD_HeightenedImmuneSystem"), \\
(AbilityName=" "), \\
(AbilityName="LWD_Cloudkill", ApplyToWeaponSlot=eInvSlot_SecondaryWeapon), \\
  ), \\
aStatProgression=((StatType=eStat_Offense,StatAmount=2), (StatType=eStat_HP,StatAmount=1), (StatType=eStat_Hacking,StatAmount=0), (StatType=eStat_Will,StatAmount=3)),\\
 )
; corporal
+SoldierRanks=(  aAbilityTree=( (AbilityName=" "), \\
(AbilityName="ShadowOps_Pyromaniac"), \\
(AbilityName=" "), \\
  ), \\
aStatProgression=((StatType=eStat_Offense,StatAmount=2), (StatType=eStat_HP,StatAmount=0), (StatType=eStat_Hacking,StatAmount=0)),\\
 )
; sergeant
+SoldierRanks=(  aAbilityTree=( (AbilityName="LWD_Pyromancer", ApplyToWeaponSlot=eInvSlot_SecondaryWeapon), \\
(AbilityName=" "), \\
(AbilityName="LWD_ThirdDegree", ApplyToWeaponSlot=eInvSlot_SecondaryWeapon), \\
  ), \\
aStatProgression=((StatType=eStat_Offense,StatAmount=2), (StatType=eStat_HP,StatAmount=0), (StatType=eStat_Hacking,StatAmount=0)),\\
 )
; staff sergeant
+SoldierRanks=(  aAbilityTree=( (AbilityName=" "), \\
(AbilityName="LWD_CausticPersonality"), \\
(AbilityName=" "), \\
  ), \\
aStatProgression=((StatType=eStat_Offense,StatAmount=2), (StatType=eStat_HP,StatAmount=1), (StatType=eStat_Hacking,StatAmount=0)),\\
 )
; tech sergeant
+SoldierRanks=(  aAbilityTree=( (AbilityName="LWD_AlkalineArmor"), \\
(AbilityName=" "), \\
(AbilityName="LWD_AcidBurns", ApplyToWeaponSlot=eInvSlot_SecondaryWeapon), \\
  ), \\
aStatProgression=((StatType=eStat_Offense,StatAmount=2), (StatType=eStat_HP,StatAmount=0), (StatType=eStat_Hacking,StatAmount=0)),\\
 )
;  gunnery sergeant
+SoldierRanks=(  aAbilityTree=( (AbilityName=" "), \\
(AbilityName="VolatileMix", ApplyToWeaponSlot=eInvSlot_Unknown), \\
(AbilityName=" "), \\
  ), \\
aStatProgression=((StatType=eStat_Offense,StatAmount=2), (StatType=eStat_HP,StatAmount=0), (StatType=eStat_Hacking,StatAmount=0)),\\
 )
; master sergeant
+SoldierRanks=(  aAbilityTree=( (AbilityName="LWD_MadChemist", ApplyToWeaponSlot=eInvSlot_SecondaryWeapon), \\
(AbilityName=" "), \\
(AbilityName="LWD_Frostlord"), \\
  ), \\
aStatProgression=((StatType=eStat_Offense,StatAmount=2), (StatType=eStat_HP,StatAmount=1), (StatType=eStat_Hacking,StatAmount=0)),\\
 )
[LWD_CombatEngineer X2SoldierClassTemplate]
+bMultiplayerOnly=0
+ClassPoints=4
+IconImage="img:///UILibrary_Common.class_specialist"
+NumInForcedDeck=1
+NumInDeck=4
+KillAssistsPerKill=4
+SquaddieLoadout=SquaddieLWD_CombatEngineer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(AbilityName="CombatProtocol", ApplyToWeaponSlot=eInvSlot_SecondaryWeapon), \\
(AbilityName="ShadowOps_ShieldProtocol", ApplyToWeaponSlot=eInvSlot_SecondaryWeapon), \\
\\
\\
\\
  ), \\
aStatProgression=((StatType=eStat_Offense,StatAmount=2), (StatType=eStat_HP,StatAmount=0), (StatType=eStat_Hacking,StatAmount=40), (StatType=eStat_CombatSims,StatAmount=1), (StatType=eStat_Will,StatAmount=5)),\\
 )
; lance corporal
+SoldierRanks=(  aAbilityTree=( (AbilityName="AidProtocol", ApplyToWeaponSlot=eInvSlot_SecondaryWeapon), \\
(AbilityName=" "), \\
(AbilityName="LWD_SmartlinkProtocol", ApplyToWeaponSlot=eInvSlot_SecondaryWeapon), \\
  ), \\
aStatProgression=((StatType=eStat_Offense,StatAmount=2), (StatType=eStat_HP,StatAmount=1), (StatType=eStat_Hacking,StatAmount=5), (StatType=eStat_Will,StatAmount=5)),\\
 )
; corporal
+SoldierRanks=(  aAbilityTree=( (AbilityName=" "), \\
(AbilityName="LWD_ArtificialIntelligence"), \\
(AbilityName=" "), \\
  ), \\
aStatProgression=((StatType=eStat_Offense,StatAmount=2), (StatType=eStat_HP,StatAmount=0), (StatType=eStat_Hacking,StatAmount=5)),\\
 )
; sergeant
+SoldierRanks=(  aAbilityTree=( (AbilityName="ShadowOps_Scrounger"), \\
(AbilityName=" "), \\
(AbilityName="Airdrop", ApplyToWeaponSlot=eInvSlot_SecondaryWeapon), \\
  ), \\
aStatProgression=((StatType=eStat_Offense,StatAmount=2), (StatType=eStat_HP,StatAmount=0), (StatType=eStat_Hacking,StatAmount=5)),\\
 )
; staff sergeant
+SoldierRanks=(  aAbilityTree=( (AbilityName="ShadowOps_AdvancedShieldProtocol", ApplyToWeaponSlot=eInvSlot_SecondaryWeapon), \\
(AbilityName=" "), \\
(AbilityName="ShadowOps_RestorationProtocol", ApplyToWeaponSlot=eInvSlot_SecondaryWeapon), \\
  ), \\
aStatProgression=((StatType=eStat_Offense,StatAmount=2), (StatType=eStat_HP,StatAmount=1), (StatType=eStat_Hacking,StatAmount=5)),\\
 )
; tech sergeant
+SoldierRanks=(  aAbilityTree=( (AbilityName="ShadowOps_ShieldsUp", ApplyToWeaponSlot=eInvSlot_SecondaryWeapon), \\
(AbilityName=" "), \\
(AbilityName="ScanningProtocol", ApplyToWeaponSlot=eInvSlot_SecondaryWeapon), \\
  ), \\
aStatProgression=((StatType=eStat_Offense,StatAmount=2), (StatType=eStat_HP,StatAmount=0), (StatType=eStat_Hacking,StatAmount=5)),\\
 )
;  gunnery sergeant
+SoldierRanks=(  aAbilityTree=( (AbilityName=" "), \\
(AbilityName="ShadowOps_Aegis", ApplyToWeaponSlot=eInvSlot_SecondaryWeapon), \\
(AbilityName=" "), \\
  ), \\
aStatProgression=((StatType=eStat_Offense,StatAmount=2), (StatType=eStat_HP,StatAmount=0), (StatType=eStat_Hacking,StatAmount=5)),\\
 )
; master sergeant
+SoldierRanks=(  aAbilityTree=( (AbilityName="ShadowOps_Supercharge", ApplyToWeaponSlot=eInvSlot_SecondaryWeapon), \\
(AbilityName=" "), \\
(AbilityName="CapacitorDischarge", ApplyToWeaponSlot=eInvSlot_SecondaryWeapon), \\
  ), \\
aStatProgression=((StatType=eStat_Offense,StatAmount=2), (StatType=eStat_HP,StatAmount=1), (StatType=eStat_Hacking,StatAmount=5)),\\
 )
[LWD_Courser X2SoldierClassTemplate]
+bMultiplayerOnly=0
+ClassPoints=4
+IconImage="img:///UILibrary_LWD.class_courser"
+NumInForcedDeck=1
+NumInDeck=4
+KillAssistsPerKill=4
+SquaddieLoadout=SquaddieLWD_Courser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(AbilityName="Holotargeting", ApplyToWeaponSlot=eInvSlot_PrimaryWeapon), \\
(AbilityName="LowProfile"), \\
(AbilityName="LoneWolf", ApplyToWeaponSlot=eInvSlot_Unknown), \\
\\
\\
\\
  ), \\
aStatProgression=((StatType=eStat_Offense,StatAmount=3), (StatType=eStat_HP,StatAmount=0), (StatType=eStat_Hacking,StatAmount=0), (StatType=eStat_CombatSims,StatAmount=1), (StatType=eStat_Will,StatAmount=5)),\\
 )
; lance corporal
+SoldierRanks=(  aAbilityTree=( (AbilityName="StreetSweeper", ApplyToWeaponSlot=eInvSlot_PrimaryWeapon), \\
(AbilityName=" "), \\
(AbilityName="ShadowOps_SurvivalInstinct"), \\
  ), \\
aStatProgression=((StatType=eStat_Offense,StatAmount=2), (StatType=eStat_HP,StatAmount=1), (StatType=eStat_Hacking,StatAmount=0), (StatType=eStat_Will,StatAmount=5)),\\
 )
; corporal
+SoldierRanks=(  aAbilityTree=( (AbilityName=" "), \\
(AbilityName="RapidTargeting", ApplyToWeaponSlot=eInvSlot_SecondaryWeapon), \\
(AbilityName=" "), \\
  ), \\
aStatProgression=((StatType=eStat_Offense,StatAmount=3), (StatType=eStat_HP,StatAmount=0), (StatType=eStat_Hacking,StatAmount=0)),\\
 )
; sergeant
+SoldierRanks=(  aAbilityTree=( (AbilityName="Aggression", ApplyToWeaponSlot=eInvSlot_PrimaryWeapon), \\
(AbilityName=" "), \\
(AbilityName="ShadowOps_LineEmUp", ApplyToWeaponSlot=eInvSlot_PrimaryWeapon), \\
  ), \\
aStatProgression=((StatType=eStat_Offense,StatAmount=2), (StatType=eStat_HP,StatAmount=1), (StatType=eStat_Hacking,StatAmount=0)),\\
 )
; staff sergeant
+SoldierRanks=(  aAbilityTree=( (AbilityName="TacticalSense"), \\
(AbilityName=" "), \\
(AbilityName="ShadowOps_FocusedDefense"), \\
  ), \\
aStatProgression=((StatType=eStat_Offense,StatAmount=3), (StatType=eStat_HP,StatAmount=0), (StatType=eStat_Hacking,StatAmount=0)),\\
 )
; tech sergeant
+SoldierRanks=(  aAbilityTree=( (AbilityName="Multitargeting", ApplyToWeaponSlot=eInvSlot_SecondaryWeapon), \\
(AbilityName=" "), \\
(AbilityName="IndependentTracking", ApplyToWeaponSlot=eInvSlot_SecondaryWeapon), \\
  ), \\
aStatProgression=((StatType=eStat_Offense,StatAmount=2), (StatType=eStat_HP,StatAmount=0), (StatType=eStat_Hacking,StatAmount=0)),\\
 )
;  gunnery sergeant
+SoldierRanks=(  aAbilityTree=( (AbilityName=" "), \\
(AbilityName="BringEmOn", ApplyToWeaponSlot=eInvSlot_Unknown), \\
(AbilityName=" "), \\
  ), \\
aStatProgression=((StatType=eStat_Offense,StatAmount=3), (StatType=eStat_HP,StatAmount=1), (StatType=eStat_Hacking,StatAmount=0)),\\
 )
; master sergeant
+SoldierRanks=(  aAbilityTree=( (AbilityName="ShadowOps_AgainstTheOdds"), \\
(AbilityName=" "), \\
(AbilityName="AlphaMikeFoxtrot", ApplyToWeaponSlot=eInvSlot_PrimaryWeapon), \\
  ), \\
aStatProgression=((StatType=eStat_Offense,StatAmount=2), (StatType=eStat_HP,StatAmount=0), (StatType=eStat_Hacking,StatAmount=0)),\\
 )
[LWD_Cowboy X2SoldierClassTemplate]
+bMultiplayerOnly=0
+ClassPoints=4
+IconImage="img:///UILibrary_LWD.class_Cowboy"
+NumInForcedDeck=1
+NumInDeck=4
+KillAssistsPerKill=4
+SquaddieLoadout=SquaddieLWD_Cowboy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(AbilityName="QuickStudy"), \\
(AbilityName="LWD_CoachGun", ApplyToWeaponSlot=eInvSlot_SecondaryWeapon), \\
(AbilityName="LWD_HighNoon", ApplyToWeaponSlot=eInvSlot_Utility, UtilityCat="pistol"), \\
\\
\\
\\
  ), \\
aStatProgression=((StatType=eStat_Offense,StatAmount=3), (StatType=eStat_HP,StatAmount=0), (StatType=eStat_Hacking,StatAmount=0), (StatType=eStat_CombatSims,StatAmount=1), (StatType=eStat_Will,StatAmount=3)),\\
 )
; lance corporal
+SoldierRanks=(  aAbilityTree=( (AbilityName="LWD_Shootist", ApplyToWeaponSlot=eInvSlot_Utility, UtilityCat="pistol"), \\
(AbilityName=" "), \\
(AbilityName="LWD_SpareShells", ApplyToWeaponSlot=eInvSlot_SecondaryWeapon), \\
  ), \\
aStatProgression=((StatType=eStat_Offense,StatAmount=3), (StatType=eStat_HP,StatAmount=1), (StatType=eStat_Hacking,StatAmount=0), (StatType=eStat_Will,StatAmount=3)),\\
 )
; corporal
+SoldierRanks=(  aAbilityTree=( (AbilityName=" "), \\
(AbilityName="LWD_TrueGrit"), \\
(AbilityName=" "), \\
  ), \\
aStatProgression=((StatType=eStat_Offense,StatAmount=3), (StatType=eStat_HP,StatAmount=0), (StatType=eStat_Hacking,StatAmount=0)),\\
 )
; sergeant
+SoldierRanks=(  aAbilityTree=( (AbilityName="LWD_LeadDealer", ApplyToWeaponSlot=eInvSlot_Utility, UtilityCat="pistol"), \\
(AbilityName=" "), \\
(AbilityName="LWD_Unforgiven", ApplyToWeaponSlot=eInvSlot_SecondaryWeapon), \\
  ), \\
aStatProgression=((StatType=eStat_Offense,StatAmount=3), (StatType=eStat_HP,StatAmount=0), (StatType=eStat_Hacking,StatAmount=0)),\\
 )
; staff sergeant
+SoldierRanks=(  aAbilityTree=( (AbilityName="LWD_TrickShot", ApplyToWeaponSlot=eInvSlot_Utility, UtilityCat="pistol"), \\
(AbilityName=" "), \\
(AbilityName="LWD_StoppingPower", ApplyToWeaponSlot=eInvSlot_SecondaryWeapon), \\
  ), \\
aStatProgression=((StatType=eStat_Offense,StatAmount=3), (StatType=eStat_HP,StatAmount=1), (StatType=eStat_Hacking,StatAmount=0)),\\
 )
; tech sergeant
+SoldierRanks=(  aAbilityTree=( (AbilityName="LWD_BattleMomentum", ApplyToWeaponSlot=eInvSlot_Utility, UtilityCat="pistol"), \\
(AbilityName=" "), \\
(AbilityName="LWD_HadItComing", ApplyToWeaponSlot=eInvSlot_SecondaryWeapon), \\
  ), \\
aStatProgression=((StatType=eStat_Offense,StatAmount=3), (StatType=eStat_HP,StatAmount=0), (StatType=eStat_Hacking,StatAmount=0)),\\
 )
;  gunnery sergeant
+SoldierRanks=(  aAbilityTree=( (AbilityName=" "), \\
(AbilityName="LWD_HangEmHigh"), \\
(AbilityName=" "), \\
  ), \\
aStatProgression=((StatType=eStat_Offense,StatAmount=3), (StatType=eStat_HP,StatAmount=0), (StatType=eStat_Hacking,StatAmount=0)),\\
 )
; master sergeant
+SoldierRanks=(  aAbilityTree=( (AbilityName="LWD_SixShooter", ApplyToWeaponSlot=eInvSlot_Utility, UtilityCat="pistol"), \\
(AbilityName=" "), \\
(AbilityName="LWD_QuickHands", ApplyToWeaponSlot=eInvSlot_SecondaryWeapon), \\
  ), \\
aStatProgression=((StatType=eStat_Offense,StatAmount=3), (StatType=eStat_HP,StatAmount=1), (StatType=eStat_Hacking,StatAmount=0)),\\
 )</v>
      </c>
      <c r="C5" t="s">
        <v>340</v>
      </c>
      <c r="H5" s="33" t="str">
        <f ca="1">Dirty!W4</f>
        <v>[LWD_Hunter X2SoldierClassTemplate]
+DisplayName="Hunter"
+ClassSummary="Our Hunters are a versatile sort, carrying sniper rifles for distant engagements, and swords for when they need to get close. They're good at staying on the move."
+LeftAbilityTreeTitle="Sportsman"
+RightAbilityTreeTitle="Survivalist"
; Nicknames
RandomNickNames[0]="Angel"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RandomNickNames[15]="Camper"
RandomNickNames[16]="Jester"
RandomNickNames[17]="Jolt"
RandomNickNames[18]="Lightning"
RandomNickNames[19]="Mayday"
RandomNickNames[20]="Eyes"
RandomNickNames[21]="Savage"
RandomNickNames[22]="Cleanup"
RandomNickNames[23]="Janitor"
RandomNickNames[24]="Rattler"
RandomNickNames[25]="Revelation"
RandomNickNames[26]="One-Shot"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[LWD_Marksman X2SoldierClassTemplate]
+DisplayName="Marksman"
+ClassSummary="The Marksman is more comfortable with a sniper rifle than most of our soldiers, and carries a sawed-off shotgun for closer ranges."
+LeftAbilityTreeTitle="Rifleman"
+RightAbilityTreeTitle="Shotgunner"
; Nicknames
RandomNickNames[0]="Agent"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RandomNickNames[21]="Eyes"
RandomNickNames[22]="Ragtime"
RandomNickNames[23]="Rascal"
RandomNickNames[24]="Rattler"
RandomNickNames[25]="Revelation"
RandomNickNames[26]="Hitman"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[LWD_Medic X2SoldierClassTemplate]
+DisplayName="Medic"
+ClassSummary="The Medic uses their GREMLIN to keep their squad in tip-top fighting shape. "
+LeftAbilityTreeTitle="Healer"
+RightAbilityTreeTitle="Ally"
; Nicknames
RandomNickNames[0]="Angel"
RandomNickNames[1]="Bargain"
RandomNickNames[2]="Beta"
RandomNickNames[3]="Bishop"
RandomNickNames[4]="Bones"
RandomNickNames[5]="Breaker"
RandomNickNames[6]="Broker"
RandomNickNames[7]="Doc"
RandomNickNames[8]="Deacon"
RandomNickNames[9]="Doomtrain"
RandomNickNames[10]="Dr. Feelgood"
RandomNickNames[11]="Famine"
RandomNickNames[12]="Feedback"
RandomNickNames[13]="Band-Aid"
RandomNickNames[14]="Genius"
RandomNickNames[15]="Gizmo"
RandomNickNames[16]="Jester"
RandomNickNames[17]="Jolt"
RandomNickNames[18]="Lightning"
RandomNickNames[19]="Mayday"
RandomNickNames[20]="Mega"
RandomNickNames[21]="Newton"
RandomNickNames[22]="Chance"
RandomNickNames[23]="Rascal"
RandomNickNames[24]="Rattler"
RandomNickNames[25]="Revelation"
RandomNickNames[26]="Skipper"
RandomNickNames[27]="Thunder"
RandomNickNames[28]="Undertaker"
RandomNickNames[29]="War"
RandomNickNames[30]="Whoopsie"
RandomNickNames[31]="Red Cross"
; Male Nicknames
RandomNickNames_Male[0]="Candyman"
RandomNickNames_Male[1]="Magic Man"
RandomNickNames_Male[2]="Priest"
RandomNickNames_Male[3]="Rainman"
RandomNickNames_Male[4]="Mr. Fixer"
; Female Nicknames
RandomNickNames_Female[0]="Priestess"
RandomNickNames_Female[1]="Wolfmother"
RandomNickNames_Female[2]="Black Widow"
RandomNickNames_Female[3]="Duchess"
RandomNickNames_Female[4]="Nurse Joy"
[LWD_Partisan X2SoldierClassTemplate]
+DisplayName="Partisan"
+ClassSummary="The Partisan makes sure the enemy is never operating at 100%, through their arc thrower, stun grenades, and oppressive fire."
+LeftAbilityTreeTitle="Electrocutioner"
+RightAbilityTreeTitle="Harrasser"
; Nicknames
RandomNickNames[0]="Angel"
RandomNickNames[1]="Bargain"
RandomNickNames[2]="Beta"
RandomNickNames[3]="Bishop"
RandomNickNames[4]="Pikachu"
RandomNickNames[5]="Breaker"
RandomNickNames[6]="Broker"
RandomNickNames[7]="Conquest"
RandomNickNames[8]="Deacon"
RandomNickNames[9]="Doomtrain"
RandomNickNames[10]="Dr. Feelgood"
RandomNickNames[11]="Famine"
RandomNickNames[12]="Feedback"
RandomNickNames[13]="Firewall"
RandomNickNames[14]="Grey Ghost"
RandomNickNames[15]="Gizmo"
RandomNickNames[16]="Jester"
RandomNickNames[17]="Jolt"
RandomNickNames[18]="Lightning"
RandomNickNames[19]="Mayday"
RandomNickNames[20]="Mega"
RandomNickNames[21]="Newton"
RandomNickNames[22]="The Wall"
RandomNickNames[23]="Rascal"
RandomNickNames[24]="Rattler"
RandomNickNames[25]="Revelation"
RandomNickNames[26]="Skipper"
RandomNickNames[27]="Thunder"
RandomNickNames[28]="Undertaker"
RandomNickNames[29]="War"
RandomNickNames[30]="Whoopsie"
RandomNickNames[31]="Zap"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[LWD_Protector X2SoldierClassTemplate]
+DisplayName="Protector"
+ClassSummary="The Protector carries a variety of non-lethal and defensive grenades to keep our soldiers safe on the battlefield."
+LeftAbilityTreeTitle="Fire Support"
+RightAbilityTreeTitle="Smokescreen"
; Nicknames
RandomNickNames[0]="Angel"
RandomNickNames[1]="Cover"
RandomNickNames[2]="Beta"
RandomNickNames[3]="Magician"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RandomNickNames[15]="Illusion"
RandomNickNames[16]="Jester"
RandomNickNames[17]="Jolt"
RandomNickNames[18]="Lightning"
RandomNickNames[19]="Mayday"
RandomNickNames[20]="Mega"
RandomNickNames[21]="Newton"
RandomNickNames[22]="Ragtime"
RandomNickNames[23]="Mortar"
RandomNickNames[24]="Rattler"
RandomNickNames[25]="Revelation"
RandomNickNames[26]="Skipper"
RandomNickNames[27]="Thunder"
RandomNickNames[28]="Undertaker"
RandomNickNames[29]="War"
RandomNickNames[30]="Whoopsie"
RandomNickNames[31]="Artillery"
; Male Nicknames
RandomNickNames_Male[0]="Candyman"
RandomNickNames_Male[1]="Magic Man"
RandomNickNames_Male[2]="Priest"
RandomNickNames_Male[3]="Rainman"
RandomNickNames_Male[4]="Mysterio"
; Female Nicknames
RandomNickNames_Female[0]="Priestess"
RandomNickNames_Female[1]="Wolfmother"
RandomNickNames_Female[2]="Black Widow"
RandomNickNames_Female[3]="Duchess"
RandomNickNames_Female[4]="Queen"
[LWD_Raider X2SoldierClassTemplate]
+DisplayName="Raider"
+ClassSummary="The Raider is a vicious foe, keeping inside the enemy's reach with sword and shotgun, making sure they can never sit comfortable."
+LeftAbilityTreeTitle="Skirmisher"
+RightAbilityTreeTitle="Fencer"
; Nicknames
RandomNickNames[0]="Grey Ghost"
RandomNickNames[1]="Bargain"
RandomNickNames[2]="Facetime"
RandomNickNames[3]="Elvis"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RandomNickNames[17]="Pirate"
RandomNickNames[18]="Cap'n"
RandomNickNames[19]="Mayday"
RandomNickNames[20]="Mega"
RandomNickNames[21]="Viking"
RandomNickNames[22]="Ragtime"
RandomNickNames[23]="Rascal"
RandomNickNames[24]="Rattler"
RandomNickNames[25]="Revelation"
RandomNickNames[26]="Skipper"
RandomNickNames[27]="Thunder"
RandomNickNames[28]="Undertaker"
RandomNickNames[29]="War"
RandomNickNames[30]="Whoopsie"
RandomNickNames[31]="Berserk"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I5" t="s">
        <v>340</v>
      </c>
    </row>
    <row r="6" spans="1:14" x14ac:dyDescent="0.25">
      <c r="B6" s="30" t="str">
        <f ca="1">Dirty!U5</f>
        <v>[LWD_Dreadnought X2SoldierClassTemplate]
+bMultiplayerOnly=0
+ClassPoints=4
+IconImage="img:///UILibrary_LW_PerkPack.Class_Technical"
+NumInForcedDeck=1
+NumInDeck=4
+KillAssistsPerKill=4
+SquaddieLoadout=SquaddieLWD_Dreadnought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
\\
\\
\\
\\
  ), \\
aStatProgression=((StatType=eStat_Offense,StatAmount=2), (StatType=eStat_HP,StatAmount=1), (StatType=eStat_Hacking,StatAmount=0), (StatType=eStat_CombatSims,StatAmount=1), (StatType=eStat_Defense,StatAmount=1), (StatType=eStat_Will,StatAmount=4)),\\
 )
; lance corporal
+SoldierRanks=(  aAbilityTree=( (AbilityName="Formidable"), \\
(AbilityName=" "), \\
(AbilityName="Suppression_LW", ApplyToWeaponSlot=eInvSlot_PrimaryWeapon), \\
  ), \\
aStatProgression=((StatType=eStat_Offense,StatAmount=2), (StatType=eStat_HP,StatAmount=0), (StatType=eStat_Hacking,StatAmount=0), (StatType=eStat_Defense,StatAmount=1), (StatType=eStat_Will,StatAmount=4)),\\
 )
; corporal
+SoldierRanks=(  aAbilityTree=( (AbilityName=" "), \\
(AbilityName="ShadowOps_IronWill"), \\
(AbilityName=" "), \\
  ), \\
aStatProgression=((StatType=eStat_Offense,StatAmount=2), (StatType=eStat_HP,StatAmount=1), (StatType=eStat_Hacking,StatAmount=0), (StatType=eStat_Defense,StatAmount=1)),\\
 )
; sergeant
+SoldierRanks=(  aAbilityTree=( (AbilityName="ShadowOps_HeavyArmor"), \\
(AbilityName=" "), \\
(AbilityName="Shredder", ApplyToWeaponSlot=eInvSlot_PrimaryWeapon), \\
  ), \\
aStatProgression=((StatType=eStat_Offense,StatAmount=2), (StatType=eStat_HP,StatAmount=0), (StatType=eStat_Hacking,StatAmount=0)),\\
 )
; staff sergeant
+SoldierRanks=(  aAbilityTree=( (AbilityName="ShadowOps_FocusedDefense"), \\
(AbilityName=" "), \\
(AbilityName="PhosphorusPassive", ApplyToWeaponSlot=eInvSlot_SecondaryWeapon), \\
  ), \\
aStatProgression=((StatType=eStat_Offense,StatAmount=2), (StatType=eStat_HP,StatAmount=1), (StatType=eStat_Hacking,StatAmount=0), (StatType=eStat_Defense,StatAmount=1)),\\
 )
; tech sergeant
+SoldierRanks=(  aAbilityTree=( (AbilityName="ShadowOps_Evasive"), \\
(AbilityName=" "), \\
(AbilityName="FireandSteel", ApplyToWeaponSlot=eInvSlot_SecondaryWeapon), \\
  ), \\
aStatProgression=((StatType=eStat_Offense,StatAmount=2), (StatType=eStat_HP,StatAmount=0), (StatType=eStat_Hacking,StatAmount=0)),\\
 )
;  gunnery sergeant
+SoldierRanks=(  aAbilityTree=( (AbilityName=" "), \\
(AbilityName="ShadowOps_ShieldsUp", ApplyToWeaponSlot=eInvSlot_SecondaryWeapon), \\
(AbilityName=" "), \\
  ), \\
aStatProgression=((StatType=eStat_Offense,StatAmount=2), (StatType=eStat_HP,StatAmount=1), (StatType=eStat_Hacking,StatAmount=0), (StatType=eStat_Defense,StatAmount=1)),\\
 )
; master sergeant
+SoldierRanks=(  aAbilityTree=( (AbilityName="ShadowOps_StasisField"), \\
(AbilityName=" "), \\
(AbilityName="Salvo", ApplyToWeaponSlot=eInvSlot_Unknown), \\
  ), \\
aStatProgression=((StatType=eStat_Offense,StatAmount=2), (StatType=eStat_HP,StatAmount=1), (StatType=eStat_Hacking,StatAmount=0)),\\
 )
[LWD_FieldScientist X2SoldierClassTemplate]
+bMultiplayerOnly=0
+ClassPoints=4
+IconImage="img:///UILibrary_LWD.class_fieldScientist"
+NumInForcedDeck=1
+NumInDeck=4
+KillAssistsPerKill=3
+SquaddieLoadout=SquaddieLWD_FieldScientist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(AbilityName="LWD_Hotwire", ApplyToWeaponSlot=eInvSlot_SecondaryWeapon), \\
(AbilityName="LWD_Clear", ApplyToWeaponSlot=eInvSlot_SecondaryWeapon), \\
\\
\\
\\
  ), \\
aStatProgression=((StatType=eStat_Offense,StatAmount=2), (StatType=eStat_HP,StatAmount=0), (StatType=eStat_Hacking,StatAmount=40), (StatType=eStat_CombatSims,StatAmount=1), (StatType=eStat_Will,StatAmount=4)),\\
 )
; lance corporal
+SoldierRanks=(  aAbilityTree=( (AbilityName="LWD_Juiced", ApplyToWeaponSlot=eInvSlot_SecondaryWeapon), \\
(AbilityName=" "), \\
(AbilityName="ShadowOps_SecondWind"), \\
  ), \\
aStatProgression=((StatType=eStat_Offense,StatAmount=2), (StatType=eStat_HP,StatAmount=1), (StatType=eStat_Hacking,StatAmount=5), (StatType=eStat_Will,StatAmount=4)),\\
 )
; corporal
+SoldierRanks=(  aAbilityTree=( (AbilityName=" "), \\
(AbilityName="ShadowOps_Anatomist"), \\
(AbilityName=" "), \\
  ), \\
aStatProgression=((StatType=eStat_Offense,StatAmount=2), (StatType=eStat_HP,StatAmount=0), (StatType=eStat_Hacking,StatAmount=5)),\\
 )
; sergeant
+SoldierRanks=(  aAbilityTree=( (AbilityName="StunGunner", ApplyToWeaponSlot=eInvSlot_SecondaryWeapon), \\
(AbilityName=" "), \\
(AbilityName="FieldMedic", ApplyToWeaponSlot=eInvSlot_Unknown), \\
  ), \\
aStatProgression=((StatType=eStat_Offense,StatAmount=2), (StatType=eStat_HP,StatAmount=0), (StatType=eStat_Hacking,StatAmount=5)),\\
 )
; staff sergeant
+SoldierRanks=(  aAbilityTree=( (AbilityName="LWD_ShortCircuit", ApplyToWeaponSlot=eInvSlot_SecondaryWeapon), \\
(AbilityName=" "), \\
(AbilityName="Savior", ApplyToWeaponSlot=eInvSlot_Unknown), \\
  ), \\
aStatProgression=((StatType=eStat_Offense,StatAmount=2), (StatType=eStat_HP,StatAmount=1), (StatType=eStat_Hacking,StatAmount=5)),\\
 )
; tech sergeant
+SoldierRanks=(  aAbilityTree=( (AbilityName="LWD_ScriptKiddie"), \\
(AbilityName=" "), \\
(AbilityName="LWD_Skullminer"), \\
  ), \\
aStatProgression=((StatType=eStat_Offense,StatAmount=2), (StatType=eStat_HP,StatAmount=0), (StatType=eStat_Hacking,StatAmount=5)),\\
 )
;  gunnery sergeant
+SoldierRanks=(  aAbilityTree=( (AbilityName=" "), \\
(AbilityName="LWD_ShortCircuit", ApplyToWeaponSlot=eInvSlot_SecondaryWeapon), \\
(AbilityName=" "), \\
  ), \\
aStatProgression=((StatType=eStat_Offense,StatAmount=2), (StatType=eStat_HP,StatAmount=0), (StatType=eStat_Hacking,StatAmount=5)),\\
 )
; master sergeant
+SoldierRanks=(  aAbilityTree=( (AbilityName="ChainLightning", ApplyToWeaponSlot=eInvSlot_SecondaryWeapon), \\
(AbilityName=" "), \\
(AbilityName="CombatFitness"), \\
  ), \\
aStatProgression=((StatType=eStat_Offense,StatAmount=2), (StatType=eStat_HP,StatAmount=1), (StatType=eStat_Hacking,StatAmount=5)),\\
 )
[LWD_Fireman X2SoldierClassTemplate]
+bMultiplayerOnly=0
+ClassPoints=4
+IconImage="img:///UILibrary_LWD.class_fireman"
+NumInForcedDeck=1
+NumInDeck=4
+KillAssistsPerKill=4
+SquaddieLoadout=SquaddieLWD_Fireman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
\\
\\
\\
\\
  ), \\
aStatProgression=((StatType=eStat_Offense,StatAmount=2), (StatType=eStat_HP,StatAmount=0), (StatType=eStat_Hacking,StatAmount=0), (StatType=eStat_CombatSims,StatAmount=1), (StatType=eStat_Will,StatAmount=4)),\\
 )
; lance corporal
+SoldierRanks=(  aAbilityTree=( (AbilityName="ShadowOps_Pyromaniac"), \\
(AbilityName=" "), \\
(AbilityName="Roust", ApplyToWeaponSlot=eInvSlot_SecondaryWeapon), \\
  ), \\
aStatProgression=((StatType=eStat_Offense,StatAmount=2), (StatType=eStat_HP,StatAmount=1), (StatType=eStat_Hacking,StatAmount=0), (StatType=eStat_Will,StatAmount=4)),\\
 )
; corporal
+SoldierRanks=(  aAbilityTree=( (AbilityName=" "), \\
(AbilityName="NapalmX", ApplyToWeaponSlot=eInvSlot_SecondaryWeapon), \\
(AbilityName=" "), \\
  ), \\
aStatProgression=((StatType=eStat_Offense,StatAmount=2), (StatType=eStat_HP,StatAmount=0), (StatType=eStat_Hacking,StatAmount=0)),\\
 )
; sergeant
+SoldierRanks=(  aAbilityTree=( (AbilityName="ShadowOps_DemoGrenades"), \\
(AbilityName=" "), \\
(AbilityName="Burnout", ApplyToWeaponSlot=eInvSlot_SecondaryWeapon), \\
  ), \\
aStatProgression=((StatType=eStat_Offense,StatAmount=2), (StatType=eStat_HP,StatAmount=1), (StatType=eStat_Hacking,StatAmount=0)),\\
 )
; staff sergeant
+SoldierRanks=(  aAbilityTree=( (AbilityName="ShadowOps_SmokeAndMirrors_LW2", ApplyToWeaponSlot=eInvSlot_SecondaryWeapon), \\
(AbilityName=" "), \\
(AbilityName="PhosphorusPassive", ApplyToWeaponSlot=eInvSlot_SecondaryWeapon), \\
  ), \\
aStatProgression=((StatType=eStat_Offense,StatAmount=2), (StatType=eStat_HP,StatAmount=0), (StatType=eStat_Hacking,StatAmount=0)),\\
 )
; tech sergeant
+SoldierRanks=(  aAbilityTree=( (AbilityName="ShadowOps_Evasive"), \\
(AbilityName=" "), \\
(AbilityName="FireandSteel", ApplyToWeaponSlot=eInvSlot_SecondaryWeapon), \\
  ), \\
aStatProgression=((StatType=eStat_Offense,StatAmount=2), (StatType=eStat_HP,StatAmount=1), (StatType=eStat_Hacking,StatAmount=0)),\\
 )
;  gunnery sergeant
+SoldierRanks=(  aAbilityTree=( (AbilityName=" "), \\
(AbilityName="Incinerator", ApplyToWeaponSlot=eInvSlot_SecondaryWeapon), \\
(AbilityName=" "), \\
  ), \\
aStatProgression=((StatType=eStat_Offense,StatAmount=2), (StatType=eStat_HP,StatAmount=0), (StatType=eStat_Hacking,StatAmount=0)),\\
 )
; master sergeant
+SoldierRanks=(  aAbilityTree=( (AbilityName="Quickburn", ApplyToWeaponSlot=eInvSlot_SecondaryWeapon), \\
(AbilityName=" "), \\
(AbilityName="Firestorm", ApplyToWeaponSlot=eInvSlot_SecondaryWeapon), \\
  ), \\
aStatProgression=((StatType=eStat_Offense,StatAmount=2), (StatType=eStat_HP,StatAmount=1), (StatType=eStat_Hacking,StatAmount=0)),\\
 )
[LWD_Guerrilla X2SoldierClassTemplate]
+bMultiplayerOnly=0
+ClassPoints=4
+IconImage="img:///UILibrary_SOHunter.class_survivalist"
+NumInForcedDeck=1
+NumInDeck=4
+KillAssistsPerKill=4
+SquaddieLoadout=SquaddieLWD_Guerrilla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(AbilityName="LWD_Jab", ApplyToWeaponSlot=eInvSlot_SecondaryWeapon), \\
(AbilityName="ShadowOps_Reposition", ApplyToWeaponSlot=eInvSlot_PrimaryWeapon), \\
\\
\\
\\
\\
  ), \\
aStatProgression=((StatType=eStat_Offense,StatAmount=4), (StatType=eStat_HP,StatAmount=0), (StatType=eStat_Hacking,StatAmount=0), (StatType=eStat_CombatSims,StatAmount=1), (StatType=eStat_Will,StatAmount=4), (StatType=eStat_Dodge,StatAmount=2)),\\
 )
; lance corporal
+SoldierRanks=(  aAbilityTree=( (AbilityName="LowProfile"), \\
(AbilityName=" "), \\
(AbilityName="Cutthroat", ApplyToWeaponSlot=eInvSlot_SecondaryWeapon), \\
  ), \\
aStatProgression=((StatType=eStat_Offense,StatAmount=3), (StatType=eStat_HP,StatAmount=0), (StatType=eStat_Hacking,StatAmount=0), (StatType=eStat_Will,StatAmount=4), (StatType=eStat_Dodge,StatAmount=1)),\\
 )
; corporal
+SoldierRanks=(  aAbilityTree=( (AbilityName=" "), \\
(AbilityName="Shadowstrike_LW", ApplyToWeaponSlot=eInvSlot_PrimaryWeapon ), \\
(AbilityName=" "), \\
  ), \\
aStatProgression=((StatType=eStat_Offense,StatAmount=2), (StatType=eStat_HP,StatAmount=0), (StatType=eStat_Hacking,StatAmount=0)),\\
 )
; sergeant
+SoldierRanks=(  aAbilityTree=( (AbilityName="Shadowstep", ApplyToWeaponSlot=eInvSlot_Unknown), \\
(AbilityName=" "), \\
(AbilityName="Combatives", ApplyToWeaponSlot=eInvSlot_SecondaryWeapon), \\
  ), \\
aStatProgression=((StatType=eStat_Offense,StatAmount=3), (StatType=eStat_HP,StatAmount=1), (StatType=eStat_Hacking,StatAmount=0), (StatType=eStat_Dodge,StatAmount=1)),\\
 )
; staff sergeant
+SoldierRanks=(  aAbilityTree=( (AbilityName="ShadowOps_SnakeBlood"), \\
(AbilityName=" "), \\
(AbilityName="LWD_WhereItHurts"), \\
  ), \\
aStatProgression=((StatType=eStat_Offense,StatAmount=2), (StatType=eStat_HP,StatAmount=0), (StatType=eStat_Hacking,StatAmount=0)),\\
 )
; tech sergeant
+SoldierRanks=(  aAbilityTree=( (AbilityName="ShadowOps_FirstStrike", ApplyToWeaponSlot=eInvSlot_PrimaryWeapon), \\
(AbilityName=" "), \\
(AbilityName="CoupDeGrace", ApplyToWeaponSlot=eInvSlot_SecondaryWeapon), \\
  ), \\
aStatProgression=((StatType=eStat_Offense,StatAmount=3), (StatType=eStat_HP,StatAmount=0), (StatType=eStat_Hacking,StatAmount=0), (StatType=eStat_Dodge,StatAmount=1)),\\
 )
;  gunnery sergeant
+SoldierRanks=(  aAbilityTree=( (AbilityName=" "), \\
(AbilityName="Implacable"), \\
(AbilityName=" "), \\
  ), \\
aStatProgression=((StatType=eStat_Offense,StatAmount=2), (StatType=eStat_HP,StatAmount=0), (StatType=eStat_Hacking,StatAmount=0)),\\
 )
; master sergeant
+SoldierRanks=(  aAbilityTree=( (AbilityName="ShadowOps_Vanish"), \\
(AbilityName=" "), \\
(AbilityName="InTheZone", ApplyToWeaponSlot=eInvSlot_PrimaryWeapon), \\
  ), \\
aStatProgression=((StatType=eStat_Offense,StatAmount=3), (StatType=eStat_HP,StatAmount=1), (StatType=eStat_Hacking,StatAmount=0), (StatType=eStat_Dodge,StatAmount=1)),\\
 )
[LWD_Gunner X2SoldierClassTemplate]
+bMultiplayerOnly=0
+ClassPoints=4
+IconImage="img:///UILibrary_LW_PerkPack.Class_Gunner"
+NumInForcedDeck=1
+NumInDeck=4
+KillAssistsPerKill=4
+SquaddieLoadout=SquaddieLWD_Gunner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(AbilityName="LWD_Jab", ApplyToWeaponSlot=eInvSlot_SecondaryWeapon), \\
(AbilityName="Suppression_LW", ApplyToWeaponSlot=eInvSlot_PrimaryWeapon), \\
(AbilityName="AreaSuppression", ApplyToWeaponSlot=eInvSlot_PrimaryWeapon), \\
\\
\\
\\
  ), \\
aStatProgression=((StatType=eStat_Offense,StatAmount=3), (StatType=eStat_HP,StatAmount=0), (StatType=eStat_Hacking,StatAmount=0), (StatType=eStat_CombatSims,StatAmount=1), (StatType=eStat_Will,StatAmount=4)),\\
 )
; lance corporal
+SoldierRanks=(  aAbilityTree=( (AbilityName="Shredder", ApplyToWeaponSlot=eInvSlot_PrimaryWeapon), \\
(AbilityName=" "), \\
(AbilityName="Lockdown", ApplyToWeaponSlot=eInvSlot_PrimaryWeapon), \\
  ), \\
aStatProgression=((StatType=eStat_Offense,StatAmount=2), (StatType=eStat_HP,StatAmount=1), (StatType=eStat_Hacking,StatAmount=0), (StatType=eStat_Will,StatAmount=4)),\\
 )
; corporal
+SoldierRanks=(  aAbilityTree=( (AbilityName=" "), \\
(AbilityName="ShadowOps_BurstFire", ApplyToWeaponSlot=eInvSlot_PrimaryWeapon), \\
(AbilityName=" "), \\
  ), \\
aStatProgression=((StatType=eStat_Offense,StatAmount=2), (StatType=eStat_HP,StatAmount=0), (StatType=eStat_Hacking,StatAmount=0)),\\
 )
; sergeant
+SoldierRanks=(  aAbilityTree=( (AbilityName="Demolition", ApplyToWeaponSlot=eInvSlot_PrimaryWeapon), \\
(AbilityName=" "), \\
(AbilityName="IronCurtain", ApplyToWeaponSlot=eInvSlot_PrimaryWeapon), \\
  ), \\
aStatProgression=((StatType=eStat_Offense,StatAmount=2), (StatType=eStat_HP,StatAmount=0), (StatType=eStat_Hacking,StatAmount=0)),\\
 )
; staff sergeant
+SoldierRanks=(  aAbilityTree=( (AbilityName="ChainShot", ApplyToWeaponSlot=eInvSlot_PrimaryWeapon), \\
(AbilityName=" "), \\
(AbilityName="Mayhem", ApplyToWeaponSlot=eInvSlot_PrimaryWeapon), \\
  ), \\
aStatProgression=((StatType=eStat_Offense,StatAmount=3), (StatType=eStat_HP,StatAmount=1), (StatType=eStat_Hacking,StatAmount=0)),\\
 )
; tech sergeant
+SoldierRanks=(  aAbilityTree=( (AbilityName="CyclicFire", ApplyToWeaponSlot=eInvSlot_PrimaryWeapon), \\
(AbilityName=" "), \\
(AbilityName="DangerZone"), \\
  ), \\
aStatProgression=((StatType=eStat_Offense,StatAmount=2), (StatType=eStat_HP,StatAmount=0), (StatType=eStat_Hacking,StatAmount=0)),\\
 )
;  gunnery sergeant
+SoldierRanks=(  aAbilityTree=( (AbilityName=" "), \\
(AbilityName="TraverseFire", ApplyToWeaponSlot=eInvSlot_PrimaryWeapon), \\
(AbilityName=" "), \\
  ), \\
aStatProgression=((StatType=eStat_Offense,StatAmount=2), (StatType=eStat_HP,StatAmount=0), (StatType=eStat_Hacking,StatAmount=0)),\\
 )
; master sergeant
+SoldierRanks=(  aAbilityTree=( (AbilityName="SaturationFire", ApplyToWeaponSlot=eInvSlot_PrimaryWeapon), \\
(AbilityName=" "), \\
(AbilityName="KillZone", ApplyToWeaponSlot=eInvSlot_PrimaryWeapon), \\
  ), \\
aStatProgression=((StatType=eStat_Offense,StatAmount=2), (StatType=eStat_HP,StatAmount=1), (StatType=eStat_Hacking,StatAmount=0)),\\
 )
[LWD_Hacker X2SoldierClassTemplate]
+bMultiplayerOnly=0
+ClassPoints=4
+IconImage="img:///UILibrary_LWD.class_hacker"
+NumInForcedDeck=1
+NumInDeck=4
+KillAssistsPerKill=4
+SquaddieLoadout=SquaddieLWD_Hacker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(AbilityName="ShadowOps_ReverseEngineering"), \\
(AbilityName="HaywireProtocol", ApplyToWeaponSlot=eInvSlot_SecondaryWeapon), \\
\\
\\
\\
  ), \\
aStatProgression=((StatType=eStat_Offense,StatAmount=2), (StatType=eStat_HP,StatAmount=0), (StatType=eStat_Hacking,StatAmount=40), (StatType=eStat_CombatSims,StatAmount=1), (StatType=eStat_Will,StatAmount=4)),\\
 )
; lance corporal
+SoldierRanks=(  aAbilityTree=( (AbilityName="ShadowOps_StealthProtocol", ApplyToWeaponSlot=eInvSlot_SecondaryWeapon), \\
(AbilityName=" "), \\
(AbilityName="Interference", ApplyToWeaponSlot=eInvSlot_SecondaryWeapon), \\
  ), \\
aStatProgression=((StatType=eStat_Offense,StatAmount=2), (StatType=eStat_HP,StatAmount=1), (StatType=eStat_Hacking,StatAmount=5), (StatType=eStat_Will,StatAmount=4)),\\
 )
; corporal
+SoldierRanks=(  aAbilityTree=( (AbilityName=" "), \\
(AbilityName="AidProtocol", ApplyToWeaponSlot=eInvSlot_SecondaryWeapon), \\
(AbilityName=" "), \\
  ), \\
aStatProgression=((StatType=eStat_Offense,StatAmount=2), (StatType=eStat_HP,StatAmount=0), (StatType=eStat_Hacking,StatAmount=5)),\\
 )
; sergeant
+SoldierRanks=(  aAbilityTree=( (AbilityName="ThreatAssessment", ApplyToWeaponSlot=eInvSlot_Unknown), \\
(AbilityName=" "), \\
(AbilityName="CombatProtocol", ApplyToWeaponSlot=eInvSlot_SecondaryWeapon), \\
  ), \\
aStatProgression=((StatType=eStat_Offense,StatAmount=2), (StatType=eStat_HP,StatAmount=0), (StatType=eStat_Hacking,StatAmount=5)),\\
 )
; staff sergeant
+SoldierRanks=(  aAbilityTree=( (AbilityName="ShadowOps_SensorOverlays"), \\
(AbilityName=" "), \\
(AbilityName="Failsafe", ApplyToWeaponSlot=eInvSlot_SecondaryWeapon), \\
  ), \\
aStatProgression=((StatType=eStat_Offense,StatAmount=2), (StatType=eStat_HP,StatAmount=1), (StatType=eStat_Hacking,StatAmount=5)),\\
 )
; tech sergeant
+SoldierRanks=(  aAbilityTree=( (AbilityName="ScanningProtocol", ApplyToWeaponSlot=eInvSlot_SecondaryWeapon), \\
(AbilityName=" "), \\
(AbilityName="Trojan", ApplyToWeaponSlot=eInvSlot_SecondaryWeapon), \\
  ), \\
aStatProgression=((StatType=eStat_Offense,StatAmount=2), (StatType=eStat_HP,StatAmount=0), (StatType=eStat_Hacking,StatAmount=5)),\\
 )
;  gunnery sergeant
+SoldierRanks=(  aAbilityTree=( (AbilityName=" "), \\
(AbilityName="LWD_SelfAware", ApplyToWeaponSlot=eInvSlot_SecondaryWeapon), \\
(AbilityName=" "), \\
  ), \\
aStatProgression=((StatType=eStat_Offense,StatAmount=2), (StatType=eStat_HP,StatAmount=0), (StatType=eStat_Hacking,StatAmount=5)),\\
 )
; master sergeant
+SoldierRanks=(  aAbilityTree=( (AbilityName="Tradecraft"), \\
(AbilityName=" "), \\
(AbilityName="FullOverride", ApplyToWeaponSlot=eInvSlot_SecondaryWeapon), \\
  ), \\
aStatProgression=((StatType=eStat_Offense,StatAmount=2), (StatType=eStat_HP,StatAmount=1), (StatType=eStat_Hacking,StatAmount=5)),\\
 )</v>
      </c>
      <c r="C6" t="s">
        <v>340</v>
      </c>
      <c r="H6" s="33" t="str">
        <f ca="1">Dirty!W5</f>
        <v>[LWD_Ranger X2SoldierClassTemplate]
+DisplayName="Ranger"
+ClassSummary="The Ranger is the master of the rifle and may be trained to use it in offensive and defensive capacities. They carry a sawed-off shotgun as a backup as well."
+LeftAbilityTreeTitle="Infantry"
+RightAbilityTreeTitle="Defender"
; Nicknames
RandomNickNames[0]="Angel"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[LWD_Recon X2SoldierClassTemplate]
+DisplayName="Recon"
+ClassSummary="The Recon is our eyes and ears on the battlefield, staying out of sight, but always keeping tabs on the enemy's exact location. They carry a holo-targeter to mark targets."
+LeftAbilityTreeTitle="Scout"
+RightAbilityTreeTitle="Spotter"
; Nicknames
RandomNickNames[0]="Angel"
RandomNickNames[1]="Scope"
RandomNickNames[2]="Beta"
RandomNickNames[3]="Bishop"
RandomNickNames[4]="Bones"
RandomNickNames[5]="Breaker"
RandomNickNames[6]="Broker"
RandomNickNames[7]="Conquest"
RandomNickNames[8]="Deacon"
RandomNickNames[9]="Solo"
RandomNickNames[10]="Dr. Feelgood"
RandomNickNames[11]="Famine"
RandomNickNames[12]="Feedback"
RandomNickNames[13]="Firewall"
RandomNickNames[14]="Genius"
RandomNickNames[15]="Gizmo"
RandomNickNames[16]="Jester"
RandomNickNames[17]="Jolt"
RandomNickNames[18]="Eyes"
RandomNickNames[19]="Mayday"
RandomNickNames[20]="Binoc"
RandomNickNames[21]="Newton"
RandomNickNames[22]="Ragtime"
RandomNickNames[23]="Rascal"
RandomNickNames[24]="Rattler"
RandomNickNames[25]="Revelation"
RandomNickNames[26]="Skipper"
RandomNickNames[27]="Thunder"
RandomNickNames[28]="Cyclops"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[LWD_Sapper X2SoldierClassTemplate]
+DisplayName="Sapper"
+ClassSummary="The Sapper specializes in using their grenade launcher to control the battlefield - usually by destroying it. "
+LeftAbilityTreeTitle="Explosives"
+RightAbilityTreeTitle="Demolitions"
; Nicknames
RandomNickNames[0]="Angel"
RandomNickNames[1]="Bargain"
RandomNickNames[2]="Beta"
RandomNickNames[3]="Bishop"
RandomNickNames[4]="Bones"
RandomNickNames[5]="Breaker"
RandomNickNames[6]="Broker"
RandomNickNames[7]="Conquest"
RandomNickNames[8]="Boomtown"
RandomNickNames[9]="Doomtrain"
RandomNickNames[10]="Dr. Feelgood"
RandomNickNames[11]="Downtown"
RandomNickNames[12]="Demoman"
RandomNickNames[13]="Bulldozer"
RandomNickNames[14]="Genius"
RandomNickNames[15]="Gizmo"
RandomNickNames[16]="Jester"
RandomNickNames[17]="Jolt"
RandomNickNames[18]="Hard Hat"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[LWD_Scrapper X2SoldierClassTemplate]
+DisplayName="Scrapper"
+ClassSummary="The Scrapper wishes they didn't have to carry a gun in the first place. They like to solve things with their fists, and, if the situation is really dire, knives."
+LeftAbilityTreeTitle="Thug"
+RightAbilityTreeTitle="Brawler"
; Nicknames
RandomNickNames[0]="Facetime"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RandomNickNames[13]="Cuddles"
RandomNickNames[14]="Genius"
RandomNickNames[15]="Gizmo"
RandomNickNames[16]="Jester"
RandomNickNames[17]="Jolt"
RandomNickNames[18]="Lightning"
RandomNickNames[19]="Mayday"
RandomNickNames[20]="Mega"
RandomNickNames[21]="Judo"
RandomNickNames[22]="Ragtime"
RandomNickNames[23]="Rascal"
RandomNickNames[24]="Rattler"
RandomNickNames[25]="Hug-n-snug"
RandomNickNames[26]="Skipper"
RandomNickNames[27]="Thunder"
RandomNickNames[28]="Undertaker"
RandomNickNames[29]="War"
RandomNickNames[30]="Whoopsie"
RandomNickNames[31]="Knife"
; Male Nicknames
RandomNickNames_Male[0]="Mr. Tibbs"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[LWD_Sharpshooter X2SoldierClassTemplate]
+DisplayName="Sharpshooter"
+ClassSummary="Our Sharpshooters engage enemy targets with pinpoint accuracy from extreme range. They carry a holotargeter to mark enemies for execution."
+LeftAbilityTreeTitle="Sniper"
+RightAbilityTreeTitle="Deadeye"
; Nicknames
RandomNickNames[0]="Angel"
RandomNickNames[1]="Bargain"
RandomNickNames[2]="Beta"
RandomNickNames[3]="Bishop"
RandomNickNames[4]="Bones"
RandomNickNames[5]="Breaker"
RandomNickNames[6]="Broker"
RandomNickNames[7]="Conquest"
RandomNickNames[8]="Last Rites"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RandomNickNames[31]="Pick'em"
; Male Nicknames
RandomNickNames_Male[0]="Candyman"
RandomNickNames_Male[1]="Mr. Clean"
RandomNickNames_Male[2]="Priest"
RandomNickNames_Male[3]="Rainman"
RandomNickNames_Male[4]="Rooster"
; Female Nicknames
RandomNickNames_Female[0]="Priestess"
RandomNickNames_Female[1]="Wolfmother"
RandomNickNames_Female[2]="Black Widow"
RandomNickNames_Female[3]="Huntress"
RandomNickNames_Female[4]="Queen"
[LWD_Shinobi X2SoldierClassTemplate]
+DisplayName="Shinobi"
+ClassSummary="The Shinobi serves as a capable scouting unit, using a sword to deliver stealthy close-range attacks."
+LeftAbilityTreeTitle="Saboteur"
+RightAbilityTreeTitle="Kenshi"
; Nicknames
RandomNickNames[0]="Angel"
RandomNickNames[1]="Bargain"
RandomNickNames[2]="Nightlight"
RandomNickNames[3]="Bishop"
RandomNickNames[4]="Cloak"
RandomNickNames[5]="Breaker"
RandomNickNames[6]="Broker"
RandomNickNames[7]="Conquest"
RandomNickNames[8]="Deacon"
RandomNickNames[9]="Doomtrain"
RandomNickNames[10]="Nighttime"
RandomNickNames[11]="Famine"
RandomNickNames[12]="Feedback"
RandomNickNames[13]="Fencer"
RandomNickNames[14]="Genius"
RandomNickNames[15]="Gizmo"
RandomNickNames[16]="Jester"
RandomNickNames[17]="Jolt"
RandomNickNames[18]="Lightning"
RandomNickNames[19]="Mayday"
RandomNickNames[20]="Sensei"
RandomNickNames[21]="Judo"
RandomNickNames[22]="Kung Fu"
RandomNickNames[23]="Rascal"
RandomNickNames[24]="Rattler"
RandomNickNames[25]="Revelation"
RandomNickNames[26]="Skipper"
RandomNickNames[27]="Thunder"
RandomNickNames[28]="Undertaker"
RandomNickNames[29]="War"
RandomNickNames[30]="Whoopsie"
RandomNickNames[31]="Slip"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I6" t="s">
        <v>340</v>
      </c>
    </row>
    <row r="7" spans="1:14" x14ac:dyDescent="0.25">
      <c r="B7" s="30" t="str">
        <f ca="1">Dirty!U6</f>
        <v>[LWD_Hunter X2SoldierClassTemplate]
+bMultiplayerOnly=0
+ClassPoints=4
+IconImage="img:///UILibrary_SOHunter.class_hunter"
+NumInForcedDeck=1
+NumInDeck=4
+KillAssistsPerKill=5
+SquaddieLoadout=SquaddieLWD_Hunter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(AbilityName="Slash_LW", ApplyToWeaponSlot=eInvSlot_SecondaryWeapon), \\
(AbilityName="SwordSlice_LW", ApplyToWeaponSlot=eInvSlot_SecondaryWeapon), \\
(AbilityName="Squadsight"), \\
\\
\\
\\
  ), \\
aStatProgression=((StatType=eStat_Offense,StatAmount=5), (StatType=eStat_HP,StatAmount=0), (StatType=eStat_Hacking,StatAmount=0), (StatType=eStat_CombatSims,StatAmount=1), (StatType=eStat_Will,StatAmount=3)),\\
 )
; lance corporal
+SoldierRanks=(  aAbilityTree=( (AbilityName="SnapShot", ApplyToWeaponSlot=eInvSlot_PrimaryWeapon), \\
(AbilityName=" "), \\
(AbilityName="ShadowOps_Reposition", ApplyToWeaponSlot=eInvSlot_PrimaryWeapon), \\
  ), \\
aStatProgression=((StatType=eStat_Offense,StatAmount=4), (StatType=eStat_HP,StatAmount=1), (StatType=eStat_Hacking,StatAmount=0), (StatType=eStat_Will,StatAmount=3)),\\
 )
; corporal
+SoldierRanks=(  aAbilityTree=( (AbilityName=" "), \\
(AbilityName="ShadowOps_FirstStrike", ApplyToWeaponSlot=eInvSlot_PrimaryWeapon), \\
(AbilityName=" "), \\
  ), \\
aStatProgression=((StatType=eStat_Offense,StatAmount=4), (StatType=eStat_HP,StatAmount=0), (StatType=eStat_Hacking,StatAmount=0)),\\
 )
; sergeant
+SoldierRanks=(  aAbilityTree=( (AbilityName="ShadowOps_Stalker"), \\
(AbilityName=" "), \\
(AbilityName="Blademaster", ApplyToWeaponSlot=eInvSlot_SecondaryWeapon), \\
  ), \\
aStatProgression=((StatType=eStat_Offense,StatAmount=3), (StatType=eStat_HP,StatAmount=0), (StatType=eStat_Hacking,StatAmount=0)),\\
 )
; staff sergeant
+SoldierRanks=(  aAbilityTree=( (AbilityName="ShadowOps_Bullseye", ApplyToWeaponSlot=eInvSlot_PrimaryWeapon), \\
(AbilityName=" "), \\
(AbilityName="ShadowOps_Tracking"), \\
  ), \\
aStatProgression=((StatType=eStat_Offense,StatAmount=3), (StatType=eStat_HP,StatAmount=1), (StatType=eStat_Hacking,StatAmount=0)),\\
 )
; tech sergeant
+SoldierRanks=(  aAbilityTree=( (AbilityName="ShadowOps_Precision"), \\
(AbilityName=" "), \\
(AbilityName="LowProfile"), \\
  ), \\
aStatProgression=((StatType=eStat_Offense,StatAmount=3), (StatType=eStat_HP,StatAmount=0), (StatType=eStat_Hacking,StatAmount=0)),\\
 )
;  gunnery sergeant
+SoldierRanks=(  aAbilityTree=( (AbilityName=" "), \\
(AbilityName="ShadowOps_Assassin", ApplyToWeaponSlot=eInvSlot_PrimaryWeapon), \\
(AbilityName=" "), \\
  ), \\
aStatProgression=((StatType=eStat_Offense,StatAmount=3), (StatType=eStat_HP,StatAmount=0), (StatType=eStat_Hacking,StatAmount=0)),\\
 )
; master sergeant
+SoldierRanks=(  aAbilityTree=( (AbilityName="InTheZone", ApplyToWeaponSlot=eInvSlot_PrimaryWeapon), \\
(AbilityName=" "), \\
(AbilityName="ShadowOps_SliceAndDice", ApplyToWeaponSlot=eInvSlot_SecondaryWeapon), \\
  ), \\
aStatProgression=((StatType=eStat_Offense,StatAmount=3), (StatType=eStat_HP,StatAmount=1), (StatType=eStat_Hacking,StatAmount=0)),\\
 )
[LWD_Marksman X2SoldierClassTemplate]
+bMultiplayerOnly=0
+ClassPoints=4
+IconImage="img:///UILibrary_LWD.class_marksman"
+NumInForcedDeck=1
+NumInDeck=4
+KillAssistsPerKill=5
+SquaddieLoadout=SquaddieLWD_Marksman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(AbilityName="PointBlank", ApplyToWeaponSlot=eInvSlot_SecondaryWeapon), \\
(AbilityName="BothBarrels", ApplyToWeaponSlot=eInvSlot_SecondaryWeapon), \\
(AbilityName="SnapShot", ApplyToWeaponSlot=eInvSlot_PrimaryWeapon), \\
\\
\\
\\
  ), \\
aStatProgression=((StatType=eStat_Offense,StatAmount=3), (StatType=eStat_HP,StatAmount=0), (StatType=eStat_Hacking,StatAmount=0), (StatType=eStat_CombatSims,StatAmount=1), (StatType=eStat_Will,StatAmount=3)),\\
 )
; lance corporal
+SoldierRanks=(  aAbilityTree=( (AbilityName="Squadsight"), \\
(AbilityName=" "), \\
(AbilityName="LWD_SpareShells", ApplyToWeaponSlot=eInvSlot_SecondaryWeapon), \\
  ), \\
aStatProgression=((StatType=eStat_Offense,StatAmount=3), (StatType=eStat_HP,StatAmount=0), (StatType=eStat_Hacking,StatAmount=0), (StatType=eStat_Will,StatAmount=3)),\\
 )
; corporal
+SoldierRanks=(  aAbilityTree=( (AbilityName=" "), \\
(AbilityName="PrecisionShot", ApplyToWeaponSlot=eInvSlot_PrimaryWeapon), \\
(AbilityName=" "), \\
  ), \\
aStatProgression=((StatType=eStat_Offense,StatAmount=3), (StatType=eStat_HP,StatAmount=0), (StatType=eStat_Hacking,StatAmount=0)),\\
 )
; sergeant
+SoldierRanks=(  aAbilityTree=( (AbilityName="LowProfile"), \\
(AbilityName=" "), \\
(AbilityName="HitWhereItHurts", ApplyToWeaponSlot=eInvSlot_PrimaryWeapon), \\
  ), \\
aStatProgression=((StatType=eStat_Offense,StatAmount=3), (StatType=eStat_HP,StatAmount=1), (StatType=eStat_Hacking,StatAmount=0)),\\
 )
; staff sergeant
+SoldierRanks=(  aAbilityTree=( (AbilityName="CenterMass", ApplyToWeaponSlot=eInvSlot_PrimaryWeapon), \\
(AbilityName=" "), \\
(AbilityName="LWD_TightChoke", ApplyToWeaponSlot=eInvSlot_SecondaryWeapon), \\
  ), \\
aStatProgression=((StatType=eStat_Offense,StatAmount=3), (StatType=eStat_HP,StatAmount=0), (StatType=eStat_Hacking,StatAmount=0)),\\
 )
; tech sergeant
+SoldierRanks=(  aAbilityTree=( (AbilityName="GrazingFire", ApplyToWeaponSlot=eInvSlot_PrimaryWeapon), \\
(AbilityName=" "), \\
(AbilityName="Aggression", ApplyToWeaponSlot=eInvSlot_PrimaryWeapon), \\
  ), \\
aStatProgression=((StatType=eStat_Offense,StatAmount=3), (StatType=eStat_HP,StatAmount=0), (StatType=eStat_Hacking,StatAmount=0)),\\
 )
;  gunnery sergeant
+SoldierRanks=(  aAbilityTree=( (AbilityName=" "), \\
(AbilityName="HuntersInstinct", ApplyToWeaponSlot=eInvSlot_PrimaryWeapon), \\
(AbilityName=" "), \\
  ), \\
aStatProgression=((StatType=eStat_Offense,StatAmount=3), (StatType=eStat_HP,StatAmount=0), (StatType=eStat_Hacking,StatAmount=0)),\\
 )
; master sergeant
+SoldierRanks=(  aAbilityTree=( (AbilityName="DoubleTap", ApplyToWeaponSlot=eInvSlot_PrimaryWeapon), \\
(AbilityName=" "), \\
(AbilityName="LWD_WhitesOfTheirEyes", ApplyToWeaponSlot=eInvSlot_SecondaryWeapon), \\
  ), \\
aStatProgression=((StatType=eStat_Offense,StatAmount=3), (StatType=eStat_HP,StatAmount=1), (StatType=eStat_Hacking,StatAmount=0)),\\
 )
[LWD_Medic X2SoldierClassTemplate]
+bMultiplayerOnly=0
+ClassPoints=4
+IconImage="img:///UILibrary_LWD.class_medic"
+NumInForcedDeck=1
+NumInDeck=4
+KillAssistsPerKill=3
+SquaddieLoadout=SquaddieLWD_Medic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(AbilityName="AidProtocol", ApplyToWeaponSlot=eInvSlot_SecondaryWeapon), \\
(AbilityName="MedicalProtocol", ApplyToWeaponSlot=eInvSlot_SecondaryWeapon), \\
\\
\\
\\
  ), \\
aStatProgression=((StatType=eStat_Offense,StatAmount=2), (StatType=eStat_HP,StatAmount=0), (StatType=eStat_Hacking,StatAmount=0), (StatType=eStat_CombatSims,StatAmount=1), (StatType=eStat_Will,StatAmount=6)),\\
 )
; lance corporal
+SoldierRanks=(  aAbilityTree=( (AbilityName="RevivalProtocol", ApplyToWeaponSlot=eInvSlot_SecondaryWeapon), \\
(AbilityName=" "), \\
(AbilityName="ThreatAssessment", ApplyToWeaponSlot=eInvSlot_Unknown), \\
  ), \\
aStatProgression=((StatType=eStat_Offense,StatAmount=2), (StatType=eStat_HP,StatAmount=1), (StatType=eStat_Hacking,StatAmount=0), (StatType=eStat_Will,StatAmount=6)),\\
 )
; corporal
+SoldierRanks=(  aAbilityTree=( (AbilityName=" "), \\
(AbilityName="FieldSurgeon", ApplyToWeaponSlot=eInvSlot_Unknown), \\
(AbilityName=" "), \\
  ), \\
aStatProgression=((StatType=eStat_Offense,StatAmount=2), (StatType=eStat_HP,StatAmount=0), (StatType=eStat_Hacking,StatAmount=0)),\\
 )
; sergeant
+SoldierRanks=(  aAbilityTree=( (AbilityName="FieldMedic", ApplyToWeaponSlot=eInvSlot_Unknown), \\
(AbilityName=" "), \\
(AbilityName="ShadowOps_ShieldProtocol", ApplyToWeaponSlot=eInvSlot_SecondaryWeapon), \\
  ), \\
aStatProgression=((StatType=eStat_Offense,StatAmount=2), (StatType=eStat_HP,StatAmount=0), (StatType=eStat_Hacking,StatAmount=0)),\\
 )
; staff sergeant
+SoldierRanks=(  aAbilityTree=( (AbilityName="ShadowOps_CoverMe"), \\
(AbilityName=" "), \\
(AbilityName="EverVigilant", ApplyToWeaponSlot=eInvSlot_Unknown), \\
  ), \\
aStatProgression=((StatType=eStat_Offense,StatAmount=2), (StatType=eStat_HP,StatAmount=1), (StatType=eStat_Hacking,StatAmount=0)),\\
 )
; tech sergeant
+SoldierRanks=(  aAbilityTree=( (AbilityName="Savior", ApplyToWeaponSlot=eInvSlot_Unknown), \\
(AbilityName=" "), \\
(AbilityName="Sentinel", ApplyToWeaponSlot=eInvSlot_Unknown), \\
  ), \\
aStatProgression=((StatType=eStat_Offense,StatAmount=2), (StatType=eStat_HP,StatAmount=0), (StatType=eStat_Hacking,StatAmount=0)),\\
 )
;  gunnery sergeant
+SoldierRanks=(  aAbilityTree=( (AbilityName=" "), \\
(AbilityName="DeepCover"), \\
(AbilityName=" "), \\
  ), \\
aStatProgression=((StatType=eStat_Offense,StatAmount=2), (StatType=eStat_HP,StatAmount=0), (StatType=eStat_Hacking,StatAmount=0)),\\
 )
; master sergeant
+SoldierRanks=(  aAbilityTree=( (AbilityName="RestorativeMist", ApplyToWeaponSlot=eInvSlot_SecondaryWeapon), \\
(AbilityName=" "), \\
(AbilityName="ShadowOps_Focus", ApplyToWeaponSlot=eInvSlot_PrimaryWeapon), \\
  ), \\
aStatProgression=((StatType=eStat_Offense,StatAmount=2), (StatType=eStat_HP,StatAmount=1), (StatType=eStat_Hacking,StatAmount=0)),\\
 )
[LWD_Partisan X2SoldierClassTemplate]
+bMultiplayerOnly=0
+ClassPoints=4
+IconImage="img:///UILibrary_LWD.class_partisan"
+NumInForcedDeck=1
+NumInDeck=4
+KillAssistsPerKill=4
+SquaddieLoadout=SquaddieLWD_Partisan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(AbilityName="LightningReflexes_LW", ApplyToWeaponSlot=eInvSlot_Unknown), \\
\\
\\
\\
\\
  ), \\
aStatProgression=((StatType=eStat_Offense,StatAmount=2), (StatType=eStat_HP,StatAmount=0), (StatType=eStat_Hacking,StatAmount=0), (StatType=eStat_CombatSims,StatAmount=1), (StatType=eStat_Will,StatAmount=5)),\\
 )
; lance corporal
+SoldierRanks=(  aAbilityTree=( (AbilityName="LWD_GreasedLightning", ApplyToWeaponSlot=eInvSlot_SecondaryWeapon), \\
(AbilityName=" "), \\
(AbilityName="Flush", ApplyToWeaponSlot=eInvSlot_PrimaryWeapon), \\
  ), \\
aStatProgression=((StatType=eStat_Offense,StatAmount=2), (StatType=eStat_HP,StatAmount=1), (StatType=eStat_Hacking,StatAmount=0), (StatType=eStat_Will,StatAmount=5)),\\
 )
; corporal
+SoldierRanks=(  aAbilityTree=( (AbilityName=" "), \\
(AbilityName="LWD_CattleProd", ApplyToWeaponSlot=eInvSlot_SecondaryWeapon), \\
(AbilityName=" "), \\
  ), \\
aStatProgression=((StatType=eStat_Offense,StatAmount=2), (StatType=eStat_HP,StatAmount=0), (StatType=eStat_Hacking,StatAmount=0)),\\
 )
; sergeant
+SoldierRanks=(  aAbilityTree=( (AbilityName="Flashbanger"), \\
(AbilityName=" "), \\
(AbilityName="ShadowOps_DisablingShot", ApplyToWeaponSlot=eInvSlot_PrimaryWeapon), \\
  ), \\
aStatProgression=((StatType=eStat_Offense,StatAmount=2), (StatType=eStat_HP,StatAmount=0), (StatType=eStat_Hacking,StatAmount=0)),\\
 )
; staff sergeant
+SoldierRanks=(  aAbilityTree=( (AbilityName="StunGunner", ApplyToWeaponSlot=eInvSlot_SecondaryWeapon), \\
(AbilityName=" "), \\
(AbilityName="ShadowOps_Fearsome"), \\
  ), \\
aStatProgression=((StatType=eStat_Offense,StatAmount=2), (StatType=eStat_HP,StatAmount=1), (StatType=eStat_Hacking,StatAmount=0)),\\
 )
; tech sergeant
+SoldierRanks=(  aAbilityTree=( (AbilityName="StingGrenades", ApplyToWeaponSlot=eInvSlot_SecondaryWeapon), \\
(AbilityName=" "), \\
(AbilityName="IronCurtain", ApplyToWeaponSlot=eInvSlot_PrimaryWeapon), \\
  ), \\
aStatProgression=((StatType=eStat_Offense,StatAmount=2), (StatType=eStat_HP,StatAmount=0), (StatType=eStat_Hacking,StatAmount=0)),\\
 )
;  gunnery sergeant
+SoldierRanks=(  aAbilityTree=( (AbilityName=" "), \\
(AbilityName="HitAndRun", ApplyToWeaponSlot=eInvSlot_PrimaryWeapon), \\
(AbilityName=" "), \\
  ), \\
aStatProgression=((StatType=eStat_Offense,StatAmount=2), (StatType=eStat_HP,StatAmount=0), (StatType=eStat_Hacking,StatAmount=0)),\\
 )
; master sergeant
+SoldierRanks=(  aAbilityTree=( (AbilityName="ChainLightning", ApplyToWeaponSlot=eInvSlot_SecondaryWeapon), \\
(AbilityName=" "), \\
(AbilityName="BulletShred", ApplyToWeaponSlot=eInvSlot_PrimaryWeapon), \\
  ), \\
aStatProgression=((StatType=eStat_Offense,StatAmount=2), (StatType=eStat_HP,StatAmount=1), (StatType=eStat_Hacking,StatAmount=0)),\\
 )
[LWD_Protector X2SoldierClassTemplate]
+bMultiplayerOnly=0
+ClassPoints=4
+IconImage="img:///UILibrary_LWD.class_support"
+NumInForcedDeck=1
+NumInDeck=3
+KillAssistsPerKill=4
+SquaddieLoadout=SquaddieLWD_Protector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(AbilityName="ShadowOps_SmokeAndMirrors_LW2", ApplyToWeaponSlot=eInvSlot_SecondaryWeapon), \\
\\
\\
\\
\\
  ), \\
aStatProgression=((StatType=eStat_Offense,StatAmount=2), (StatType=eStat_HP,StatAmount=0), (StatType=eStat_Hacking,StatAmount=0), (StatType=eStat_CombatSims,StatAmount=1), (StatType=eStat_Will,StatAmount=4)),\\
 )
; lance corporal
+SoldierRanks=(  aAbilityTree=( (AbilityName="RapidDeployment"), \\
(AbilityName=" "), \\
(AbilityName="Flashbanger"), \\
  ), \\
aStatProgression=((StatType=eStat_Offense,StatAmount=2), (StatType=eStat_HP,StatAmount=1), (StatType=eStat_Hacking,StatAmount=0), (StatType=eStat_Will,StatAmount=4)),\\
 )
; corporal
+SoldierRanks=(  aAbilityTree=( (AbilityName=" "), \\
(AbilityName="Protector"), \\
(AbilityName=" "), \\
  ), \\
aStatProgression=((StatType=eStat_Offense,StatAmount=2), (StatType=eStat_HP,StatAmount=0), (StatType=eStat_Hacking,StatAmount=0)),\\
 )
; sergeant
+SoldierRanks=(  aAbilityTree=( (AbilityName="CoolUnderPressure", ApplyToWeaponSlot=eInvSlot_PrimaryWeapon), \\
(AbilityName=" "), \\
(AbilityName="BluescreenBombs", ApplyToWeaponSlot=eInvSlot_Unknown), \\
  ), \\
aStatProgression=((StatType=eStat_Offense,StatAmount=2), (StatType=eStat_HP,StatAmount=1), (StatType=eStat_Hacking,StatAmount=0)),\\
 )
; staff sergeant
+SoldierRanks=(  aAbilityTree=( (AbilityName="Suppression_LW", ApplyToWeaponSlot=eInvSlot_PrimaryWeapon), \\
(AbilityName=" "), \\
(AbilityName="StingGrenades", ApplyToWeaponSlot=eInvSlot_SecondaryWeapon), \\
  ), \\
aStatProgression=((StatType=eStat_Offense,StatAmount=2), (StatType=eStat_HP,StatAmount=0), (StatType=eStat_Hacking,StatAmount=0)),\\
 )
; tech sergeant
+SoldierRanks=(  aAbilityTree=( (AbilityName="ShadowOps_CombatDrugs"), \\
(AbilityName=" "), \\
(AbilityName="DenseSmoke"), \\
  ), \\
aStatProgression=((StatType=eStat_Offense,StatAmount=2), (StatType=eStat_HP,StatAmount=1), (StatType=eStat_Hacking,StatAmount=0)),\\
 )
;  gunnery sergeant
+SoldierRanks=(  aAbilityTree=( (AbilityName=" "), \\
(AbilityName="Bombard_LW", ApplyToWeaponSlot=eInvSlot_Unknown), \\
(AbilityName=" "), \\
  ), \\
aStatProgression=((StatType=eStat_Offense,StatAmount=2), (StatType=eStat_HP,StatAmount=0), (StatType=eStat_Hacking,StatAmount=0)),\\
 )
; master sergeant
+SoldierRanks=(  aAbilityTree=( (AbilityName="ShadowOps_Focus", ApplyToWeaponSlot=eInvSlot_PrimaryWeapon), \\
(AbilityName=" "), \\
(AbilityName="GhostGrenade", ApplyToWeaponSlot=eInvSlot_SecondaryWeapon), \\
  ), \\
aStatProgression=((StatType=eStat_Offense,StatAmount=2), (StatType=eStat_HP,StatAmount=1), (StatType=eStat_Hacking,StatAmount=0)),\\
 )
[LWD_Raider X2SoldierClassTemplate]
+bMultiplayerOnly=0
+ClassPoints=4
+IconImage="img:///UILibrary_LWD.class_raider"
+NumInForcedDeck=1
+NumInDeck=4
+KillAssistsPerKill=5
+SquaddieLoadout=SquaddieLWD_Raider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(AbilityName="LWD_Onslaught", ApplyToWeaponSlot=eInvSlot_PrimaryWeapon), \\
(AbilityName="LWD_Reave", ApplyToWeaponSlot=eInvSlot_SecondaryWeapon), \\
\\
\\
\\
\\
  ), \\
aStatProgression=((StatType=eStat_Offense,StatAmount=2), (StatType=eStat_HP,StatAmount=0), (StatType=eStat_Hacking,StatAmount=0), (StatType=eStat_CombatSims,StatAmount=1), (StatType=eStat_Will,StatAmount=4), (StatType=eStat_Dodge,StatAmount=1)),\\
 )
; lance corporal
+SoldierRanks=(  aAbilityTree=( (AbilityName="LWD_BattleFocus", ApplyToWeaponSlot=eInvSlot_PrimaryWeapon), \\
(AbilityName=" "), \\
(AbilityName="LWD_BattleFury", ApplyToWeaponSlot=eInvSlot_SecondaryWeapon), \\
  ), \\
aStatProgression=((StatType=eStat_Offense,StatAmount=2), (StatType=eStat_HP,StatAmount=1), (StatType=eStat_Hacking,StatAmount=0), (StatType=eStat_Will,StatAmount=4), (StatType=eStat_Dodge,StatAmount=1)),\\
 )
; corporal
+SoldierRanks=(  aAbilityTree=( (AbilityName=" "), \\
(AbilityName="LWD_CombatStance"), \\
(AbilityName=" "), \\
  ), \\
aStatProgression=((StatType=eStat_Offense,StatAmount=2), (StatType=eStat_HP,StatAmount=0), (StatType=eStat_Hacking,StatAmount=0), (StatType=eStat_Dodge,StatAmount=1)),\\
 )
; sergeant
+SoldierRanks=(  aAbilityTree=( (AbilityName="ShadowOps_Sprint"), \\
(AbilityName=" "), \\
(AbilityName="Cutthroat", ApplyToWeaponSlot=eInvSlot_SecondaryWeapon), \\
  ), \\
aStatProgression=((StatType=eStat_Offense,StatAmount=2), (StatType=eStat_HP,StatAmount=1), (StatType=eStat_Hacking,StatAmount=0)),\\
 )
; staff sergeant
+SoldierRanks=(  aAbilityTree=( (AbilityName="Untouchable"), \\
(AbilityName=" "), \\
(AbilityName="CloseAndPersonal", ApplyToWeaponSlot=eInvSlot_Unknown), \\
  ), \\
aStatProgression=((StatType=eStat_Offense,StatAmount=2), (StatType=eStat_HP,StatAmount=0), (StatType=eStat_Hacking,StatAmount=0), (StatType=eStat_Dodge,StatAmount=1)),\\
 )
; tech sergeant
+SoldierRanks=(  aAbilityTree=( (AbilityName="LWD_Warlord"), \\
(AbilityName=" "), \\
(AbilityName="LWD_Berserker"), \\
  ), \\
aStatProgression=((StatType=eStat_Offense,StatAmount=2), (StatType=eStat_HP,StatAmount=1), (StatType=eStat_Hacking,StatAmount=0)),\\
 )
;  gunnery sergeant
+SoldierRanks=(  aAbilityTree=( (AbilityName=" "), \\
(AbilityName="LWD_Viking"), \\
(AbilityName=" "), \\
  ), \\
aStatProgression=((StatType=eStat_Offense,StatAmount=2), (StatType=eStat_HP,StatAmount=0), (StatType=eStat_Hacking,StatAmount=0), (StatType=eStat_Dodge,StatAmount=1)),\\
 )
; master sergeant
+SoldierRanks=(  aAbilityTree=( (AbilityName="LWD_Ravager", ApplyToWeaponSlot=eInvSlot_PrimaryWeapon), \\
(AbilityName=" "), \\
(AbilityName="LWD_Reaver", ApplyToWeaponSlot=eInvSlot_SecondaryWeapon), \\
  ), \\
aStatProgression=((StatType=eStat_Offense,StatAmount=2), (StatType=eStat_HP,StatAmount=1), (StatType=eStat_Hacking,StatAmount=0)),\\
 )</v>
      </c>
      <c r="C7" t="s">
        <v>340</v>
      </c>
      <c r="H7" s="33" t="str">
        <f ca="1">Dirty!W6</f>
        <v/>
      </c>
      <c r="I7" t="s">
        <v>340</v>
      </c>
    </row>
    <row r="8" spans="1:14" x14ac:dyDescent="0.25">
      <c r="B8" s="30" t="str">
        <f ca="1">Dirty!U7</f>
        <v>[LWD_Ranger X2SoldierClassTemplate]
+bMultiplayerOnly=0
+ClassPoints=4
+IconImage="img:///UILibrary_Common.class_ranger"
+NumInForcedDeck=1
+NumInDeck=4
+KillAssistsPerKill=4
+SquaddieLoadout=SquaddieLWD_Ranger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(AbilityName="PointBlank", ApplyToWeaponSlot=eInvSlot_SecondaryWeapon), \\
(AbilityName="BothBarrels", ApplyToWeaponSlot=eInvSlot_SecondaryWeapon), \\
(AbilityName="LightEmUp", ApplyToWeaponSlot=eInvSlot_PrimaryWeapon), \\
\\
\\
\\
  ), \\
aStatProgression=((StatType=eStat_Offense,StatAmount=3), (StatType=eStat_HP,StatAmount=0), (StatType=eStat_Hacking,StatAmount=0), (StatType=eStat_CombatSims,StatAmount=1), (StatType=eStat_Will,StatAmount=4)),\\
 )
; lance corporal
+SoldierRanks=(  aAbilityTree=( (AbilityName="CoolUnderPressure", ApplyToWeaponSlot=eInvSlot_PrimaryWeapon), \\
(AbilityName=" "), \\
(AbilityName="CoveringFire", ApplyToWeaponSlot=eInvSlot_PrimaryWeapon), \\
  ), \\
aStatProgression=((StatType=eStat_Offense,StatAmount=2), (StatType=eStat_HP,StatAmount=1), (StatType=eStat_Hacking,StatAmount=0), (StatType=eStat_Will,StatAmount=4)),\\
 )
; corporal
+SoldierRanks=(  aAbilityTree=( (AbilityName=" "), \\
(AbilityName="CenterMass", ApplyToWeaponSlot=eInvSlot_PrimaryWeapon), \\
(AbilityName=" "), \\
  ), \\
aStatProgression=((StatType=eStat_Offense,StatAmount=3), (StatType=eStat_HP,StatAmount=0), (StatType=eStat_Hacking,StatAmount=0)),\\
 )
; sergeant
+SoldierRanks=(  aAbilityTree=( (AbilityName="GrazingFire", ApplyToWeaponSlot=eInvSlot_PrimaryWeapon), \\
(AbilityName=" "), \\
(AbilityName="Suppression_LW", ApplyToWeaponSlot=eInvSlot_PrimaryWeapon), \\
  ), \\
aStatProgression=((StatType=eStat_Offense,StatAmount=2), (StatType=eStat_HP,StatAmount=0), (StatType=eStat_Hacking,StatAmount=0)),\\
 )
; staff sergeant
+SoldierRanks=(  aAbilityTree=( (AbilityName="BringEmOn", ApplyToWeaponSlot=eInvSlot_Unknown), \\
(AbilityName=" "), \\
(AbilityName="Fortify"), \\
  ), \\
aStatProgression=((StatType=eStat_Offense,StatAmount=3), (StatType=eStat_HP,StatAmount=1), (StatType=eStat_Hacking,StatAmount=0)),\\
 )
; tech sergeant
+SoldierRanks=(  aAbilityTree=( (AbilityName="Lethal", ApplyToWeaponSlot=eInvSlot_PrimaryWeapon), \\
(AbilityName=" "), \\
(AbilityName="ShadowOps_ReadyForAnything", ApplyToWeaponSlot=eInvSlot_PrimaryWeapon), \\
  ), \\
aStatProgression=((StatType=eStat_Offense,StatAmount=2), (StatType=eStat_HP,StatAmount=0), (StatType=eStat_Hacking,StatAmount=0)),\\
 )
;  gunnery sergeant
+SoldierRanks=(  aAbilityTree=( (AbilityName=" "), \\
(AbilityName="RapidFire", ApplyToWeaponSlot=eInvSlot_PrimaryWeapon), \\
(AbilityName=" "), \\
  ), \\
aStatProgression=((StatType=eStat_Offense,StatAmount=3), (StatType=eStat_HP,StatAmount=0), (StatType=eStat_Hacking,StatAmount=0)),\\
 )
; master sergeant
+SoldierRanks=(  aAbilityTree=( (AbilityName="CombatFitness"), \\
(AbilityName=" "), \\
(AbilityName="RapidReaction", ApplyToWeaponSlot=eInvSlot_PrimaryWeapon), \\
  ), \\
aStatProgression=((StatType=eStat_Offense,StatAmount=2), (StatType=eStat_HP,StatAmount=1), (StatType=eStat_Hacking,StatAmount=0)),\\
 )
[LWD_Recon X2SoldierClassTemplate]
+bMultiplayerOnly=0
+ClassPoints=4
+IconImage="img:///UILibrary_SOInfantry.class_recon"
+NumInForcedDeck=1
+NumInDeck=4
+KillAssistsPerKill=3
+SquaddieLoadout=SquaddieLWD_Recon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(AbilityName="Holotargeting", ApplyToWeaponSlot=eInvSlot_PrimaryWeapon), \\
(AbilityName="ShadowOps_Vanish"), \\
\\
\\
\\
\\
  ), \\
aStatProgression=((StatType=eStat_Offense,StatAmount=3), (StatType=eStat_HP,StatAmount=0), (StatType=eStat_Hacking,StatAmount=5), (StatType=eStat_CombatSims,StatAmount=1), (StatType=eStat_Will,StatAmount=3)),\\
 )
; lance corporal
+SoldierRanks=(  aAbilityTree=( (AbilityName="LWD_ScannerSweep", ApplyToWeaponSlot=eInvSlot_SecondaryWeapon), \\
(AbilityName=" "), \\
(AbilityName="HDHolo", ApplyToWeaponSlot=eInvSlot_SecondaryWeapon), \\
  ), \\
aStatProgression=((StatType=eStat_Offense,StatAmount=2), (StatType=eStat_HP,StatAmount=0), (StatType=eStat_Hacking,StatAmount=5), (StatType=eStat_Will,StatAmount=3)),\\
 )
; corporal
+SoldierRanks=(  aAbilityTree=( (AbilityName=" "), \\
(AbilityName="LWD_EagleEyes"), \\
(AbilityName=" "), \\
  ), \\
aStatProgression=((StatType=eStat_Offense,StatAmount=3), (StatType=eStat_HP,StatAmount=1), (StatType=eStat_Hacking,StatAmount=5)),\\
 )
; sergeant
+SoldierRanks=(  aAbilityTree=( (AbilityName="ShadowOps_Tracking"), \\
(AbilityName=" "), \\
(AbilityName="IndependentTracking", ApplyToWeaponSlot=eInvSlot_SecondaryWeapon), \\
  ), \\
aStatProgression=((StatType=eStat_Offense,StatAmount=2), (StatType=eStat_HP,StatAmount=0), (StatType=eStat_Hacking,StatAmount=5)),\\
 )
; staff sergeant
+SoldierRanks=(  aAbilityTree=( (AbilityName="LWD_Watchman"), \\
(AbilityName=" "), \\
(AbilityName="LWD_Lookout", ApplyToWeaponSlot=eInvSlot_SecondaryWeapon), \\
  ), \\
aStatProgression=((StatType=eStat_Offense,StatAmount=3), (StatType=eStat_HP,StatAmount=0), (StatType=eStat_Hacking,StatAmount=5)),\\
 )
; tech sergeant
+SoldierRanks=(  aAbilityTree=( (AbilityName="Tradecraft"), \\
(AbilityName=" "), \\
(AbilityName="RapidTargeting", ApplyToWeaponSlot=eInvSlot_SecondaryWeapon), \\
  ), \\
aStatProgression=((StatType=eStat_Offense,StatAmount=2), (StatType=eStat_HP,StatAmount=0), (StatType=eStat_Hacking,StatAmount=5)),\\
 )
;  gunnery sergeant
+SoldierRanks=(  aAbilityTree=( (AbilityName=" "), \\
(AbilityName="Multitargeting", ApplyToWeaponSlot=eInvSlot_SecondaryWeapon), \\
(AbilityName=" "), \\
  ), \\
aStatProgression=((StatType=eStat_Offense,StatAmount=3), (StatType=eStat_HP,StatAmount=1), (StatType=eStat_Hacking,StatAmount=5)),\\
 )
; master sergeant
+SoldierRanks=(  aAbilityTree=( (AbilityName="LWD_Ghost"), \\
(AbilityName=" "), \\
(AbilityName="ShadowOps_Airstrike", ApplyToWeaponSlot=eInvSlot_SecondaryWeapon), \\
  ), \\
aStatProgression=((StatType=eStat_Offense,StatAmount=2), (StatType=eStat_HP,StatAmount=0), (StatType=eStat_Hacking,StatAmount=5)),\\
 )
[LWD_Sapper X2SoldierClassTemplate]
+bMultiplayerOnly=0
+ClassPoints=4
+IconImage="img:///UILibrary_SOCombatEngineer.class_engineer"
+NumInForcedDeck=1
+NumInDeck=4
+KillAssistsPerKill=4
+SquaddieLoadout=SquaddieLWD_Sapper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(AbilityName="Sapper"), \\
(AbilityName="ShadowOps_Saboteur", ApplyToWeaponSlot=eInvSlot_PrimaryWeapon), \\
\\
\\
\\
  ), \\
aStatProgression=((StatType=eStat_Offense,StatAmount=2), (StatType=eStat_HP,StatAmount=0), (StatType=eStat_Hacking,StatAmount=0), (StatType=eStat_CombatSims,StatAmount=1), (StatType=eStat_Will,StatAmount=4)),\\
 )
; lance corporal
+SoldierRanks=(  aAbilityTree=( (AbilityName="NeedleGrenades"), \\
(AbilityName=" "), \\
(AbilityName="ShadowOps_Breach", ApplyToWeaponSlot=eInvSlot_PrimaryWeapon), \\
  ), \\
aStatProgression=((StatType=eStat_Offense,StatAmount=2), (StatType=eStat_HP,StatAmount=1), (StatType=eStat_Hacking,StatAmount=0), (StatType=eStat_Will,StatAmount=4)),\\
 )
; corporal
+SoldierRanks=(  aAbilityTree=( (AbilityName=" "), \\
(AbilityName="HeavyOrdnance_LW"), \\
(AbilityName=" "), \\
  ), \\
aStatProgression=((StatType=eStat_Offense,StatAmount=2), (StatType=eStat_HP,StatAmount=0), (StatType=eStat_Hacking,StatAmount=0)),\\
 )
; sergeant
+SoldierRanks=(  aAbilityTree=( (AbilityName="HeavyFrags"), \\
(AbilityName=" "), \\
(AbilityName="LWD_Dynamite"), \\
  ), \\
aStatProgression=((StatType=eStat_Offense,StatAmount=2), (StatType=eStat_HP,StatAmount=1), (StatType=eStat_Hacking,StatAmount=0)),\\
 )
; staff sergeant
+SoldierRanks=(  aAbilityTree=( (AbilityName="HEATWarheads", ApplyToWeaponSlot=eInvSlot_SecondaryWeapon), \\
(AbilityName=" "), \\
(AbilityName="TandemWarheads"), \\
  ), \\
aStatProgression=((StatType=eStat_Offense,StatAmount=2), (StatType=eStat_HP,StatAmount=0), (StatType=eStat_Hacking,StatAmount=0)),\\
 )
; tech sergeant
+SoldierRanks=(  aAbilityTree=( (AbilityName="BiggestBooms_LW"), \\
(AbilityName=" "), \\
(AbilityName="HEATWarheads", ApplyToWeaponSlot=eInvSlot_SecondaryWeapon), \\
  ), \\
aStatProgression=((StatType=eStat_Offense,StatAmount=2), (StatType=eStat_HP,StatAmount=1), (StatType=eStat_Hacking,StatAmount=0)),\\
 )
;  gunnery sergeant
+SoldierRanks=(  aAbilityTree=( (AbilityName=" "), \\
(AbilityName="Salvo", ApplyToWeaponSlot=eInvSlot_Unknown), \\
(AbilityName=" "), \\
  ), \\
aStatProgression=((StatType=eStat_Offense,StatAmount=2), (StatType=eStat_HP,StatAmount=0), (StatType=eStat_Hacking,StatAmount=0)),\\
 )
; master sergeant
+SoldierRanks=(  aAbilityTree=( (AbilityName="FullKit"), \\
(AbilityName=" "), \\
(AbilityName="CombatEngineer"), \\
  ), \\
aStatProgression=((StatType=eStat_Offense,StatAmount=2), (StatType=eStat_HP,StatAmount=1), (StatType=eStat_Hacking,StatAmount=0)),\\
 )
[LWD_Scrapper X2SoldierClassTemplate]
+bMultiplayerOnly=0
+ClassPoints=4
+IconImage="img:///UILibrary_SOCombatEngineer.class_scrapper"
+NumInForcedDeck=1
+NumInDeck=4
+KillAssistsPerKill=4
+SquaddieLoadout=SquaddieLWD_Scrapper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(AbilityName="KnifeFighter", ApplyToWeaponSlot=eInvSlot_SecondaryWeapon), \\
(AbilityName="ShadowOps_BullRush"), \\
\\
\\
\\
\\
  ), \\
aStatProgression=((StatType=eStat_Offense,StatAmount=2), (StatType=eStat_HP,StatAmount=0), (StatType=eStat_Hacking,StatAmount=0), (StatType=eStat_CombatSims,StatAmount=1), (StatType=eStat_Will,StatAmount=5), (StatType=eStat_Dodge,StatAmount=2)),\\
 )
; lance corporal
+SoldierRanks=(  aAbilityTree=( (AbilityName="CloseAndPersonal", ApplyToWeaponSlot=eInvSlot_Unknown), \\
(AbilityName=" "), \\
(AbilityName="ShadowOps_BareKnuckle"), \\
  ), \\
aStatProgression=((StatType=eStat_Offense,StatAmount=2), (StatType=eStat_HP,StatAmount=1), (StatType=eStat_Hacking,StatAmount=0), (StatType=eStat_Will,StatAmount=5), (StatType=eStat_Dodge,StatAmount=2)),\\
 )
; corporal
+SoldierRanks=(  aAbilityTree=( (AbilityName=" "), \\
(AbilityName="Combatives", ApplyToWeaponSlot=eInvSlot_SecondaryWeapon), \\
(AbilityName=" "), \\
  ), \\
aStatProgression=((StatType=eStat_Offense,StatAmount=2), (StatType=eStat_HP,StatAmount=0), (StatType=eStat_Hacking,StatAmount=0), (StatType=eStat_Dodge,StatAmount=1)),\\
 )
; sergeant
+SoldierRanks=(  aAbilityTree=( (AbilityName="ShadowOps_Pyromaniac"), \\
(AbilityName=" "), \\
(AbilityName="Shadowstep", ApplyToWeaponSlot=eInvSlot_Unknown), \\
  ), \\
aStatProgression=((StatType=eStat_Offense,StatAmount=2), (StatType=eStat_HP,StatAmount=1), (StatType=eStat_Hacking,StatAmount=0)),\\
 )
; staff sergeant
+SoldierRanks=(  aAbilityTree=( (AbilityName="ShadowOps_IronWill"), \\
(AbilityName=" "), \\
(AbilityName="Resilience"), \\
  ), \\
aStatProgression=((StatType=eStat_Offense,StatAmount=2), (StatType=eStat_HP,StatAmount=0), (StatType=eStat_Hacking,StatAmount=0)),\\
 )
; tech sergeant
+SoldierRanks=(  aAbilityTree=( (AbilityName="StreetSweeper", ApplyToWeaponSlot=eInvSlot_PrimaryWeapon), \\
(AbilityName=" "), \\
(AbilityName="Bladestorm", ApplyToWeaponSlot=eInvSlot_SecondaryWeapon), \\
  ), \\
aStatProgression=((StatType=eStat_Offense,StatAmount=2), (StatType=eStat_HP,StatAmount=1), (StatType=eStat_Hacking,StatAmount=0)),\\
 )
;  gunnery sergeant
+SoldierRanks=(  aAbilityTree=( (AbilityName=" "), \\
(AbilityName="Untouchable"), \\
(AbilityName=" "), \\
  ), \\
aStatProgression=((StatType=eStat_Offense,StatAmount=2), (StatType=eStat_HP,StatAmount=0), (StatType=eStat_Hacking,StatAmount=0)),\\
 )
; master sergeant
+SoldierRanks=(  aAbilityTree=( (AbilityName="CoupDeGrace", ApplyToWeaponSlot=eInvSlot_SecondaryWeapon), \\
(AbilityName=" "), \\
(AbilityName="ShadowOps_Butcher"), \\
  ), \\
aStatProgression=((StatType=eStat_Offense,StatAmount=2), (StatType=eStat_HP,StatAmount=1), (StatType=eStat_Hacking,StatAmount=0)),\\
 )
[LWD_Sharpshooter X2SoldierClassTemplate]
+bMultiplayerOnly=0
+ClassPoints=4
+IconImage="img:///UILibrary_Common.class_sharpshooter"
+NumInForcedDeck=1
+NumInDeck=4
+KillAssistsPerKill=5
+SquaddieLoadout=SquaddieLWD_Sharpshooter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(AbilityName="Holotargeting", ApplyToWeaponSlot=eInvSlot_PrimaryWeapon), \\
(AbilityName="Squadsight"), \\
\\
\\
\\
\\
  ), \\
aStatProgression=((StatType=eStat_Offense,StatAmount=4), (StatType=eStat_HP,StatAmount=0), (StatType=eStat_Hacking,StatAmount=0), (StatType=eStat_CombatSims,StatAmount=1), (StatType=eStat_Will,StatAmount=3)),\\
 )
; lance corporal
+SoldierRanks=(  aAbilityTree=( (AbilityName="LongWatch", ApplyToWeaponSlot=eInvSlot_PrimaryWeapon), \\
(AbilityName=" "), \\
(AbilityName="DeathFromAbove", ApplyToWeaponSlot=eInvSlot_PrimaryWeapon), \\
  ), \\
aStatProgression=((StatType=eStat_Offense,StatAmount=3), (StatType=eStat_HP,StatAmount=0), (StatType=eStat_Hacking,StatAmount=0), (StatType=eStat_Will,StatAmount=3)),\\
 )
; corporal
+SoldierRanks=(  aAbilityTree=( (AbilityName=" "), \\
(AbilityName="ShadowOps_ThisOnesMine", ApplyToWeaponSlot=eInvSlot_PrimaryWeapon), \\
(AbilityName=" "), \\
  ), \\
aStatProgression=((StatType=eStat_Offense,StatAmount=4), (StatType=eStat_HP,StatAmount=1), (StatType=eStat_Hacking,StatAmount=0)),\\
 )
; sergeant
+SoldierRanks=(  aAbilityTree=( (AbilityName="DamnGoodGround", ApplyToWeaponSlot=eInvSlot_PrimaryWeapon), \\
(AbilityName=" "), \\
(AbilityName="HDHolo", ApplyToWeaponSlot=eInvSlot_SecondaryWeapon), \\
  ), \\
aStatProgression=((StatType=eStat_Offense,StatAmount=3), (StatType=eStat_HP,StatAmount=0), (StatType=eStat_Hacking,StatAmount=0)),\\
 )
; staff sergeant
+SoldierRanks=(  aAbilityTree=( (AbilityName="Phantom"), \\
(AbilityName=" "), \\
(AbilityName="ShadowOps_WatchfulEye", ApplyToWeaponSlot=eInvSlot_PrimaryWeapon), \\
  ), \\
aStatProgression=((StatType=eStat_Offense,StatAmount=4), (StatType=eStat_HP,StatAmount=0), (StatType=eStat_Hacking,StatAmount=0)),\\
 )
; tech sergeant
+SoldierRanks=(  aAbilityTree=( (AbilityName="ShadowOps_Bullseye", ApplyToWeaponSlot=eInvSlot_PrimaryWeapon), \\
(AbilityName=" "), \\
(AbilityName="Stealth"), \\
  ), \\
aStatProgression=((StatType=eStat_Offense,StatAmount=3), (StatType=eStat_HP,StatAmount=0), (StatType=eStat_Hacking,StatAmount=0)),\\
 )
;  gunnery sergeant
+SoldierRanks=(  aAbilityTree=( (AbilityName=" "), \\
(AbilityName="Kubikuri", ApplyToWeaponSlot=eInvSlot_PrimaryWeapon), \\
(AbilityName=" "), \\
  ), \\
aStatProgression=((StatType=eStat_Offense,StatAmount=4), (StatType=eStat_HP,StatAmount=1), (StatType=eStat_Hacking,StatAmount=0)),\\
 )
; master sergeant
+SoldierRanks=(  aAbilityTree=( (AbilityName="KillZone", ApplyToWeaponSlot=eInvSlot_PrimaryWeapon), \\
(AbilityName=" "), \\
(AbilityName="AlphaMikeFoxtrot", ApplyToWeaponSlot=eInvSlot_PrimaryWeapon), \\
  ), \\
aStatProgression=((StatType=eStat_Offense,StatAmount=3), (StatType=eStat_HP,StatAmount=0), (StatType=eStat_Hacking,StatAmount=0)),\\
 )
[LWD_Shinobi X2SoldierClassTemplate]
+bMultiplayerOnly=0
+ClassPoints=4
+IconImage="img:///UILibrary_LW_PerkPack.Class_Shinobi"
+NumInForcedDeck=1
+NumInDeck=4
+KillAssistsPerKill=4
+SquaddieLoadout=SquaddieLWD_Shinobi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(AbilityName="Slash_LW", ApplyToWeaponSlot=eInvSlot_SecondaryWeapon), \\
(AbilityName="SwordSlice_LW", ApplyToWeaponSlot=eInvSlot_SecondaryWeapon), \\
(AbilityName="Phantom"), \\
\\
\\
\\
  ), \\
aStatProgression=((StatType=eStat_Offense,StatAmount=2), (StatType=eStat_HP,StatAmount=0), (StatType=eStat_Hacking,StatAmount=5), (StatType=eStat_CombatSims,StatAmount=1), (StatType=eStat_Will,StatAmount=4), (StatType=eStat_Dodge,StatAmount=2)),\\
 )
; lance corporal
+SoldierRanks=(  aAbilityTree=( (AbilityName="Ghostwalker"), \\
(AbilityName=" "), \\
(AbilityName="Cutthroat", ApplyToWeaponSlot=eInvSlot_SecondaryWeapon), \\
  ), \\
aStatProgression=((StatType=eStat_Offense,StatAmount=2), (StatType=eStat_HP,StatAmount=0), (StatType=eStat_Hacking,StatAmount=5), (StatType=eStat_Will,StatAmount=4), (StatType=eStat_Dodge,StatAmount=2)),\\
 )
; corporal
+SoldierRanks=(  aAbilityTree=( (AbilityName=" "), \\
(AbilityName="Infighter"), \\
(AbilityName=" "), \\
  ), \\
aStatProgression=((StatType=eStat_Offense,StatAmount=2), (StatType=eStat_HP,StatAmount=1), (StatType=eStat_Hacking,StatAmount=5), (StatType=eStat_Dodge,StatAmount=1)),\\
 )
; sergeant
+SoldierRanks=(  aAbilityTree=( (AbilityName="Covert"), \\
(AbilityName=" "), \\
(AbilityName="Blademaster", ApplyToWeaponSlot=eInvSlot_SecondaryWeapon), \\
  ), \\
aStatProgression=((StatType=eStat_Offense,StatAmount=2), (StatType=eStat_HP,StatAmount=0), (StatType=eStat_Hacking,StatAmount=5), (StatType=eStat_Dodge,StatAmount=1)),\\
 )
; staff sergeant
+SoldierRanks=(  aAbilityTree=( (AbilityName="Shadowstrike_LW", ApplyToWeaponSlot=eInvSlot_PrimaryWeapon ), \\
(AbilityName=" "), \\
(AbilityName="Bladestorm", ApplyToWeaponSlot=eInvSlot_SecondaryWeapon), \\
  ), \\
aStatProgression=((StatType=eStat_Offense,StatAmount=2), (StatType=eStat_HP,StatAmount=0), (StatType=eStat_Hacking,StatAmount=5), (StatType=eStat_Dodge,StatAmount=1)),\\
 )
; tech sergeant
+SoldierRanks=(  aAbilityTree=( (AbilityName="HardTarget"), \\
(AbilityName=" "), \\
(AbilityName="Whirlwind2", ApplyToWeaponSlot=eInvSlot_SecondaryWeapon), \\
  ), \\
aStatProgression=((StatType=eStat_Offense,StatAmount=2), (StatType=eStat_HP,StatAmount=0), (StatType=eStat_Hacking,StatAmount=5), (StatType=eStat_Dodge,StatAmount=1)),\\
 )
;  gunnery sergeant
+SoldierRanks=(  aAbilityTree=( (AbilityName=" "), \\
(AbilityName="Tradecraft"), \\
(AbilityName=" "), \\
  ), \\
aStatProgression=((StatType=eStat_Offense,StatAmount=2), (StatType=eStat_HP,StatAmount=1), (StatType=eStat_Hacking,StatAmount=5), (StatType=eStat_Dodge,StatAmount=1)),\\
 )
; master sergeant
+SoldierRanks=(  aAbilityTree=( (AbilityName="ShadowOps_Assassin", ApplyToWeaponSlot=eInvSlot_PrimaryWeapon), \\
(AbilityName=" "), \\
(AbilityName="Reaper", ApplyToWeaponSlot=eInvSlot_SecondaryWeapon), \\
  ), \\
aStatProgression=((StatType=eStat_Offense,StatAmount=2), (StatType=eStat_HP,StatAmount=0), (StatType=eStat_Hacking,StatAmount=5), (StatType=eStat_Dodge,StatAmount=1)),\\
 )</v>
      </c>
      <c r="C8" t="s">
        <v>340</v>
      </c>
      <c r="H8" s="33" t="str">
        <f ca="1">Dirty!W7</f>
        <v/>
      </c>
      <c r="I8" t="s">
        <v>340</v>
      </c>
    </row>
    <row r="9" spans="1:14" ht="15.75" thickBot="1" x14ac:dyDescent="0.3">
      <c r="B9" s="30" t="str">
        <f ca="1">Dirty!U8</f>
        <v/>
      </c>
      <c r="C9" t="s">
        <v>340</v>
      </c>
      <c r="H9" s="34" t="str">
        <f ca="1">Dirty!W8</f>
        <v/>
      </c>
      <c r="I9" t="s">
        <v>340</v>
      </c>
    </row>
    <row r="10" spans="1:14" x14ac:dyDescent="0.25">
      <c r="B10" s="30" t="str">
        <f ca="1">Dirty!U9</f>
        <v/>
      </c>
      <c r="C10" t="s">
        <v>340</v>
      </c>
    </row>
    <row r="11" spans="1:14" ht="15.75" thickBot="1" x14ac:dyDescent="0.3">
      <c r="B11" s="31" t="str">
        <f ca="1">Dirty!U10</f>
        <v/>
      </c>
      <c r="C11" t="s">
        <v>340</v>
      </c>
    </row>
    <row r="14" spans="1:14" ht="15.75" thickBot="1" x14ac:dyDescent="0.3"/>
    <row r="15" spans="1:14" ht="15" customHeight="1" x14ac:dyDescent="0.25">
      <c r="A15" s="261" t="s">
        <v>1203</v>
      </c>
      <c r="B15" s="262"/>
      <c r="C15" s="262"/>
      <c r="D15" s="258" t="s">
        <v>1204</v>
      </c>
      <c r="E15" s="256"/>
      <c r="F15" s="256"/>
      <c r="G15" s="256"/>
      <c r="H15" s="256"/>
      <c r="I15" s="256"/>
      <c r="J15" s="256"/>
      <c r="K15" s="256"/>
      <c r="L15" s="257"/>
    </row>
    <row r="16" spans="1:14" ht="15" customHeight="1" x14ac:dyDescent="0.25">
      <c r="A16" s="263"/>
      <c r="B16" s="264"/>
      <c r="C16" s="264"/>
      <c r="D16" s="259"/>
      <c r="E16" s="51"/>
      <c r="F16" s="51"/>
      <c r="G16" s="51"/>
      <c r="H16" s="51"/>
      <c r="I16" s="51"/>
      <c r="J16" s="51"/>
      <c r="K16" s="51"/>
      <c r="L16" s="52"/>
    </row>
    <row r="17" spans="1:12" x14ac:dyDescent="0.25">
      <c r="A17" s="263"/>
      <c r="B17" s="264"/>
      <c r="C17" s="264"/>
      <c r="D17" s="259"/>
      <c r="E17" s="51"/>
      <c r="F17" s="51"/>
      <c r="G17" s="51"/>
      <c r="H17" s="51"/>
      <c r="I17" s="51"/>
      <c r="J17" s="51"/>
      <c r="K17" s="51"/>
      <c r="L17" s="52"/>
    </row>
    <row r="18" spans="1:12" x14ac:dyDescent="0.25">
      <c r="A18" s="263"/>
      <c r="B18" s="264"/>
      <c r="C18" s="264"/>
      <c r="D18" s="259"/>
      <c r="E18" s="51"/>
      <c r="F18" s="51"/>
      <c r="G18" s="51"/>
      <c r="H18" s="51"/>
      <c r="I18" s="51"/>
      <c r="J18" s="51"/>
      <c r="K18" s="51"/>
      <c r="L18" s="52"/>
    </row>
    <row r="19" spans="1:12" ht="15.75" thickBot="1" x14ac:dyDescent="0.3">
      <c r="A19" s="265"/>
      <c r="B19" s="266"/>
      <c r="C19" s="266"/>
      <c r="D19" s="260"/>
      <c r="E19" s="54"/>
      <c r="F19" s="54"/>
      <c r="G19" s="54"/>
      <c r="H19" s="54"/>
      <c r="I19" s="54"/>
      <c r="J19" s="54"/>
      <c r="K19" s="54"/>
      <c r="L19" s="55"/>
    </row>
    <row r="20" spans="1:12" x14ac:dyDescent="0.25">
      <c r="D20" s="255"/>
      <c r="E20" s="255"/>
      <c r="F20" s="255"/>
      <c r="G20" s="255"/>
      <c r="H20" s="255"/>
      <c r="I20" s="255"/>
      <c r="J20" s="255"/>
      <c r="K20" s="255"/>
      <c r="L20" s="255"/>
    </row>
  </sheetData>
  <mergeCells count="7">
    <mergeCell ref="D15:L19"/>
    <mergeCell ref="A15:C19"/>
    <mergeCell ref="L1:N2"/>
    <mergeCell ref="A1:C2"/>
    <mergeCell ref="D1:F2"/>
    <mergeCell ref="G1:I2"/>
    <mergeCell ref="J1:K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335"/>
  <sheetViews>
    <sheetView zoomScaleNormal="100" workbookViewId="0">
      <pane ySplit="1" topLeftCell="A243" activePane="bottomLeft" state="frozen"/>
      <selection pane="bottomLeft" activeCell="G309" sqref="G309"/>
    </sheetView>
  </sheetViews>
  <sheetFormatPr defaultRowHeight="15" x14ac:dyDescent="0.25"/>
  <cols>
    <col min="1" max="1" width="18.7109375" bestFit="1" customWidth="1"/>
    <col min="2" max="2" width="26.42578125" bestFit="1" customWidth="1"/>
    <col min="3" max="3" width="17.140625" bestFit="1" customWidth="1"/>
    <col min="4" max="4" width="6.7109375" bestFit="1" customWidth="1"/>
    <col min="5" max="5" width="16.28515625" bestFit="1" customWidth="1"/>
    <col min="6" max="6" width="17.85546875" customWidth="1"/>
  </cols>
  <sheetData>
    <row r="1" spans="1:7" x14ac:dyDescent="0.25">
      <c r="A1" s="1" t="s">
        <v>1</v>
      </c>
      <c r="B1" s="1" t="s">
        <v>2</v>
      </c>
      <c r="C1" s="1" t="s">
        <v>3</v>
      </c>
      <c r="D1" s="1" t="s">
        <v>0</v>
      </c>
      <c r="E1" s="1" t="s">
        <v>4</v>
      </c>
      <c r="F1" s="1" t="s">
        <v>5</v>
      </c>
      <c r="G1" s="1" t="s">
        <v>6</v>
      </c>
    </row>
    <row r="2" spans="1:7" x14ac:dyDescent="0.25">
      <c r="A2" s="2" t="s">
        <v>962</v>
      </c>
      <c r="B2" s="1" t="s">
        <v>340</v>
      </c>
      <c r="C2" s="1"/>
      <c r="D2" s="2" t="s">
        <v>1119</v>
      </c>
      <c r="E2" s="1"/>
      <c r="F2" s="1"/>
      <c r="G2" s="1" t="s">
        <v>340</v>
      </c>
    </row>
    <row r="3" spans="1:7" x14ac:dyDescent="0.25">
      <c r="A3" t="s">
        <v>455</v>
      </c>
      <c r="B3" t="s">
        <v>205</v>
      </c>
      <c r="D3" t="s">
        <v>7</v>
      </c>
      <c r="E3" t="s">
        <v>206</v>
      </c>
      <c r="F3" t="s">
        <v>206</v>
      </c>
      <c r="G3" t="s">
        <v>207</v>
      </c>
    </row>
    <row r="4" spans="1:7" x14ac:dyDescent="0.25">
      <c r="A4" t="s">
        <v>88</v>
      </c>
      <c r="B4" t="s">
        <v>89</v>
      </c>
      <c r="C4" t="s">
        <v>10</v>
      </c>
      <c r="D4" t="s">
        <v>7</v>
      </c>
      <c r="E4" t="s">
        <v>90</v>
      </c>
      <c r="F4" t="s">
        <v>12</v>
      </c>
      <c r="G4" t="s">
        <v>91</v>
      </c>
    </row>
    <row r="5" spans="1:7" x14ac:dyDescent="0.25">
      <c r="A5" t="s">
        <v>92</v>
      </c>
      <c r="B5" t="s">
        <v>93</v>
      </c>
      <c r="C5" t="s">
        <v>20</v>
      </c>
      <c r="D5" t="s">
        <v>7</v>
      </c>
      <c r="E5" t="s">
        <v>90</v>
      </c>
      <c r="F5" t="s">
        <v>15</v>
      </c>
      <c r="G5" t="s">
        <v>94</v>
      </c>
    </row>
    <row r="6" spans="1:7" x14ac:dyDescent="0.25">
      <c r="A6" t="s">
        <v>95</v>
      </c>
      <c r="B6" t="s">
        <v>95</v>
      </c>
      <c r="C6" t="s">
        <v>45</v>
      </c>
      <c r="D6" t="s">
        <v>7</v>
      </c>
      <c r="E6" t="s">
        <v>90</v>
      </c>
      <c r="F6" t="s">
        <v>15</v>
      </c>
      <c r="G6" t="s">
        <v>96</v>
      </c>
    </row>
    <row r="7" spans="1:7" x14ac:dyDescent="0.25">
      <c r="A7" t="s">
        <v>97</v>
      </c>
      <c r="B7" t="s">
        <v>97</v>
      </c>
      <c r="C7" t="s">
        <v>45</v>
      </c>
      <c r="D7" t="s">
        <v>7</v>
      </c>
      <c r="E7" t="s">
        <v>90</v>
      </c>
      <c r="F7" t="s">
        <v>21</v>
      </c>
      <c r="G7" t="s">
        <v>98</v>
      </c>
    </row>
    <row r="8" spans="1:7" x14ac:dyDescent="0.25">
      <c r="A8" t="s">
        <v>451</v>
      </c>
      <c r="B8" t="s">
        <v>99</v>
      </c>
      <c r="C8" t="s">
        <v>45</v>
      </c>
      <c r="D8" t="s">
        <v>7</v>
      </c>
      <c r="E8" t="s">
        <v>90</v>
      </c>
      <c r="F8" t="s">
        <v>21</v>
      </c>
      <c r="G8" t="s">
        <v>100</v>
      </c>
    </row>
    <row r="9" spans="1:7" x14ac:dyDescent="0.25">
      <c r="A9" t="s">
        <v>452</v>
      </c>
      <c r="B9" t="s">
        <v>102</v>
      </c>
      <c r="C9" t="s">
        <v>20</v>
      </c>
      <c r="D9" t="s">
        <v>7</v>
      </c>
      <c r="E9" t="s">
        <v>90</v>
      </c>
      <c r="F9" t="s">
        <v>27</v>
      </c>
      <c r="G9" t="s">
        <v>103</v>
      </c>
    </row>
    <row r="10" spans="1:7" x14ac:dyDescent="0.25">
      <c r="A10" t="s">
        <v>453</v>
      </c>
      <c r="B10" t="s">
        <v>105</v>
      </c>
      <c r="C10" t="s">
        <v>45</v>
      </c>
      <c r="D10" t="s">
        <v>7</v>
      </c>
      <c r="E10" t="s">
        <v>90</v>
      </c>
      <c r="F10" t="s">
        <v>27</v>
      </c>
      <c r="G10" t="s">
        <v>106</v>
      </c>
    </row>
    <row r="11" spans="1:7" x14ac:dyDescent="0.25">
      <c r="A11" t="s">
        <v>110</v>
      </c>
      <c r="B11" t="s">
        <v>111</v>
      </c>
      <c r="C11" t="s">
        <v>45</v>
      </c>
      <c r="D11" t="s">
        <v>7</v>
      </c>
      <c r="E11" t="s">
        <v>90</v>
      </c>
      <c r="F11" t="s">
        <v>33</v>
      </c>
      <c r="G11" t="s">
        <v>112</v>
      </c>
    </row>
    <row r="12" spans="1:7" x14ac:dyDescent="0.25">
      <c r="A12" t="s">
        <v>107</v>
      </c>
      <c r="B12" t="s">
        <v>108</v>
      </c>
      <c r="C12" t="s">
        <v>20</v>
      </c>
      <c r="D12" t="s">
        <v>7</v>
      </c>
      <c r="E12" t="s">
        <v>90</v>
      </c>
      <c r="F12" t="s">
        <v>33</v>
      </c>
      <c r="G12" t="s">
        <v>109</v>
      </c>
    </row>
    <row r="13" spans="1:7" x14ac:dyDescent="0.25">
      <c r="A13" t="s">
        <v>454</v>
      </c>
      <c r="B13" t="s">
        <v>116</v>
      </c>
      <c r="C13" t="s">
        <v>45</v>
      </c>
      <c r="D13" t="s">
        <v>7</v>
      </c>
      <c r="E13" t="s">
        <v>90</v>
      </c>
      <c r="F13" t="s">
        <v>39</v>
      </c>
      <c r="G13" t="s">
        <v>117</v>
      </c>
    </row>
    <row r="14" spans="1:7" x14ac:dyDescent="0.25">
      <c r="A14" t="s">
        <v>113</v>
      </c>
      <c r="B14" t="s">
        <v>113</v>
      </c>
      <c r="C14" t="s">
        <v>20</v>
      </c>
      <c r="D14" t="s">
        <v>7</v>
      </c>
      <c r="E14" t="s">
        <v>90</v>
      </c>
      <c r="F14" t="s">
        <v>39</v>
      </c>
      <c r="G14" t="s">
        <v>114</v>
      </c>
    </row>
    <row r="15" spans="1:7" x14ac:dyDescent="0.25">
      <c r="A15" t="s">
        <v>121</v>
      </c>
      <c r="B15" t="s">
        <v>122</v>
      </c>
      <c r="C15" t="s">
        <v>45</v>
      </c>
      <c r="D15" t="s">
        <v>7</v>
      </c>
      <c r="E15" t="s">
        <v>90</v>
      </c>
      <c r="F15" t="s">
        <v>46</v>
      </c>
      <c r="G15" t="s">
        <v>123</v>
      </c>
    </row>
    <row r="16" spans="1:7" x14ac:dyDescent="0.25">
      <c r="A16" t="s">
        <v>118</v>
      </c>
      <c r="B16" t="s">
        <v>119</v>
      </c>
      <c r="C16" t="s">
        <v>45</v>
      </c>
      <c r="D16" t="s">
        <v>7</v>
      </c>
      <c r="E16" t="s">
        <v>90</v>
      </c>
      <c r="F16" t="s">
        <v>46</v>
      </c>
      <c r="G16" t="s">
        <v>120</v>
      </c>
    </row>
    <row r="17" spans="1:7" x14ac:dyDescent="0.25">
      <c r="A17" t="s">
        <v>164</v>
      </c>
      <c r="B17" t="s">
        <v>164</v>
      </c>
      <c r="C17" t="s">
        <v>10</v>
      </c>
      <c r="D17" t="s">
        <v>7</v>
      </c>
      <c r="E17" t="s">
        <v>165</v>
      </c>
      <c r="F17" t="s">
        <v>166</v>
      </c>
      <c r="G17" t="s">
        <v>167</v>
      </c>
    </row>
    <row r="18" spans="1:7" x14ac:dyDescent="0.25">
      <c r="A18" t="s">
        <v>168</v>
      </c>
      <c r="B18" t="s">
        <v>168</v>
      </c>
      <c r="C18" t="s">
        <v>10</v>
      </c>
      <c r="D18" t="s">
        <v>7</v>
      </c>
      <c r="E18" t="s">
        <v>165</v>
      </c>
      <c r="F18" t="s">
        <v>166</v>
      </c>
      <c r="G18" t="s">
        <v>169</v>
      </c>
    </row>
    <row r="19" spans="1:7" x14ac:dyDescent="0.25">
      <c r="A19" t="s">
        <v>170</v>
      </c>
      <c r="B19" t="s">
        <v>170</v>
      </c>
      <c r="C19" t="s">
        <v>10</v>
      </c>
      <c r="D19" t="s">
        <v>7</v>
      </c>
      <c r="E19" t="s">
        <v>165</v>
      </c>
      <c r="F19" t="s">
        <v>171</v>
      </c>
      <c r="G19" t="s">
        <v>172</v>
      </c>
    </row>
    <row r="20" spans="1:7" x14ac:dyDescent="0.25">
      <c r="A20" t="s">
        <v>173</v>
      </c>
      <c r="B20" t="s">
        <v>173</v>
      </c>
      <c r="C20" t="s">
        <v>10</v>
      </c>
      <c r="D20" t="s">
        <v>7</v>
      </c>
      <c r="E20" t="s">
        <v>165</v>
      </c>
      <c r="F20" t="s">
        <v>171</v>
      </c>
      <c r="G20" t="s">
        <v>174</v>
      </c>
    </row>
    <row r="21" spans="1:7" x14ac:dyDescent="0.25">
      <c r="A21" t="s">
        <v>175</v>
      </c>
      <c r="B21" t="s">
        <v>176</v>
      </c>
      <c r="C21" t="s">
        <v>10</v>
      </c>
      <c r="D21" t="s">
        <v>7</v>
      </c>
      <c r="E21" t="s">
        <v>165</v>
      </c>
      <c r="F21" t="s">
        <v>177</v>
      </c>
      <c r="G21" t="s">
        <v>178</v>
      </c>
    </row>
    <row r="22" spans="1:7" x14ac:dyDescent="0.25">
      <c r="A22" t="s">
        <v>179</v>
      </c>
      <c r="B22" t="s">
        <v>180</v>
      </c>
      <c r="C22" t="s">
        <v>10</v>
      </c>
      <c r="D22" t="s">
        <v>7</v>
      </c>
      <c r="E22" t="s">
        <v>165</v>
      </c>
      <c r="F22" t="s">
        <v>177</v>
      </c>
      <c r="G22" t="s">
        <v>181</v>
      </c>
    </row>
    <row r="23" spans="1:7" x14ac:dyDescent="0.25">
      <c r="A23" t="s">
        <v>182</v>
      </c>
      <c r="B23" t="s">
        <v>182</v>
      </c>
      <c r="C23" t="s">
        <v>10</v>
      </c>
      <c r="D23" t="s">
        <v>7</v>
      </c>
      <c r="E23" t="s">
        <v>165</v>
      </c>
      <c r="F23" t="s">
        <v>183</v>
      </c>
      <c r="G23" t="s">
        <v>184</v>
      </c>
    </row>
    <row r="24" spans="1:7" x14ac:dyDescent="0.25">
      <c r="A24" t="s">
        <v>185</v>
      </c>
      <c r="B24" t="s">
        <v>185</v>
      </c>
      <c r="C24" t="s">
        <v>10</v>
      </c>
      <c r="D24" t="s">
        <v>7</v>
      </c>
      <c r="E24" t="s">
        <v>165</v>
      </c>
      <c r="F24" t="s">
        <v>183</v>
      </c>
      <c r="G24" t="s">
        <v>186</v>
      </c>
    </row>
    <row r="25" spans="1:7" x14ac:dyDescent="0.25">
      <c r="A25" t="s">
        <v>190</v>
      </c>
      <c r="B25" t="s">
        <v>190</v>
      </c>
      <c r="C25" t="s">
        <v>10</v>
      </c>
      <c r="D25" t="s">
        <v>7</v>
      </c>
      <c r="E25" t="s">
        <v>165</v>
      </c>
      <c r="F25" t="s">
        <v>188</v>
      </c>
      <c r="G25" t="s">
        <v>191</v>
      </c>
    </row>
    <row r="26" spans="1:7" x14ac:dyDescent="0.25">
      <c r="A26" t="s">
        <v>187</v>
      </c>
      <c r="B26" t="s">
        <v>187</v>
      </c>
      <c r="C26" t="s">
        <v>10</v>
      </c>
      <c r="D26" t="s">
        <v>7</v>
      </c>
      <c r="E26" t="s">
        <v>165</v>
      </c>
      <c r="F26" t="s">
        <v>188</v>
      </c>
      <c r="G26" t="s">
        <v>189</v>
      </c>
    </row>
    <row r="27" spans="1:7" x14ac:dyDescent="0.25">
      <c r="A27" t="s">
        <v>195</v>
      </c>
      <c r="B27" t="s">
        <v>195</v>
      </c>
      <c r="C27" t="s">
        <v>10</v>
      </c>
      <c r="D27" t="s">
        <v>7</v>
      </c>
      <c r="E27" t="s">
        <v>165</v>
      </c>
      <c r="F27" t="s">
        <v>193</v>
      </c>
      <c r="G27" t="s">
        <v>196</v>
      </c>
    </row>
    <row r="28" spans="1:7" x14ac:dyDescent="0.25">
      <c r="A28" t="s">
        <v>192</v>
      </c>
      <c r="B28" t="s">
        <v>192</v>
      </c>
      <c r="C28" t="s">
        <v>10</v>
      </c>
      <c r="D28" t="s">
        <v>7</v>
      </c>
      <c r="E28" t="s">
        <v>165</v>
      </c>
      <c r="F28" t="s">
        <v>193</v>
      </c>
      <c r="G28" t="s">
        <v>194</v>
      </c>
    </row>
    <row r="29" spans="1:7" x14ac:dyDescent="0.25">
      <c r="A29" t="s">
        <v>197</v>
      </c>
      <c r="B29" t="s">
        <v>198</v>
      </c>
      <c r="C29" t="s">
        <v>10</v>
      </c>
      <c r="D29" t="s">
        <v>7</v>
      </c>
      <c r="E29" t="s">
        <v>165</v>
      </c>
      <c r="F29" t="s">
        <v>199</v>
      </c>
      <c r="G29" t="s">
        <v>200</v>
      </c>
    </row>
    <row r="30" spans="1:7" x14ac:dyDescent="0.25">
      <c r="A30" t="s">
        <v>201</v>
      </c>
      <c r="B30" t="s">
        <v>202</v>
      </c>
      <c r="C30" t="s">
        <v>10</v>
      </c>
      <c r="D30" t="s">
        <v>7</v>
      </c>
      <c r="E30" t="s">
        <v>165</v>
      </c>
      <c r="F30" t="s">
        <v>199</v>
      </c>
      <c r="G30" t="s">
        <v>203</v>
      </c>
    </row>
    <row r="31" spans="1:7" x14ac:dyDescent="0.25">
      <c r="A31" t="s">
        <v>448</v>
      </c>
      <c r="B31" t="s">
        <v>9</v>
      </c>
      <c r="C31" t="s">
        <v>10</v>
      </c>
      <c r="D31" t="s">
        <v>7</v>
      </c>
      <c r="E31" t="s">
        <v>11</v>
      </c>
      <c r="F31" t="s">
        <v>12</v>
      </c>
      <c r="G31" t="s">
        <v>13</v>
      </c>
    </row>
    <row r="32" spans="1:7" x14ac:dyDescent="0.25">
      <c r="A32" t="s">
        <v>17</v>
      </c>
      <c r="B32" t="s">
        <v>17</v>
      </c>
      <c r="C32" t="s">
        <v>10</v>
      </c>
      <c r="D32" t="s">
        <v>7</v>
      </c>
      <c r="E32" t="s">
        <v>11</v>
      </c>
      <c r="F32" t="s">
        <v>15</v>
      </c>
      <c r="G32" t="s">
        <v>18</v>
      </c>
    </row>
    <row r="33" spans="1:7" x14ac:dyDescent="0.25">
      <c r="A33" t="s">
        <v>14</v>
      </c>
      <c r="B33" t="s">
        <v>14</v>
      </c>
      <c r="D33" t="s">
        <v>7</v>
      </c>
      <c r="E33" t="s">
        <v>11</v>
      </c>
      <c r="F33" t="s">
        <v>15</v>
      </c>
      <c r="G33" t="s">
        <v>16</v>
      </c>
    </row>
    <row r="34" spans="1:7" x14ac:dyDescent="0.25">
      <c r="A34" t="s">
        <v>23</v>
      </c>
      <c r="B34" t="s">
        <v>23</v>
      </c>
      <c r="C34" t="s">
        <v>20</v>
      </c>
      <c r="D34" t="s">
        <v>7</v>
      </c>
      <c r="E34" t="s">
        <v>11</v>
      </c>
      <c r="F34" t="s">
        <v>21</v>
      </c>
      <c r="G34" t="s">
        <v>24</v>
      </c>
    </row>
    <row r="35" spans="1:7" x14ac:dyDescent="0.25">
      <c r="A35" t="s">
        <v>449</v>
      </c>
      <c r="B35" t="s">
        <v>19</v>
      </c>
      <c r="C35" t="s">
        <v>20</v>
      </c>
      <c r="D35" t="s">
        <v>7</v>
      </c>
      <c r="E35" t="s">
        <v>11</v>
      </c>
      <c r="F35" t="s">
        <v>21</v>
      </c>
      <c r="G35" t="s">
        <v>22</v>
      </c>
    </row>
    <row r="36" spans="1:7" x14ac:dyDescent="0.25">
      <c r="A36" t="s">
        <v>25</v>
      </c>
      <c r="B36" t="s">
        <v>26</v>
      </c>
      <c r="D36" t="s">
        <v>7</v>
      </c>
      <c r="E36" t="s">
        <v>11</v>
      </c>
      <c r="F36" t="s">
        <v>27</v>
      </c>
      <c r="G36" t="s">
        <v>28</v>
      </c>
    </row>
    <row r="37" spans="1:7" x14ac:dyDescent="0.25">
      <c r="A37" t="s">
        <v>450</v>
      </c>
      <c r="B37" t="s">
        <v>30</v>
      </c>
      <c r="D37" t="s">
        <v>7</v>
      </c>
      <c r="E37" t="s">
        <v>11</v>
      </c>
      <c r="F37" t="s">
        <v>27</v>
      </c>
      <c r="G37" t="s">
        <v>31</v>
      </c>
    </row>
    <row r="38" spans="1:7" x14ac:dyDescent="0.25">
      <c r="A38" t="s">
        <v>35</v>
      </c>
      <c r="B38" t="s">
        <v>35</v>
      </c>
      <c r="C38" t="s">
        <v>10</v>
      </c>
      <c r="D38" t="s">
        <v>7</v>
      </c>
      <c r="E38" t="s">
        <v>11</v>
      </c>
      <c r="F38" t="s">
        <v>33</v>
      </c>
      <c r="G38" t="s">
        <v>36</v>
      </c>
    </row>
    <row r="39" spans="1:7" x14ac:dyDescent="0.25">
      <c r="A39" t="s">
        <v>32</v>
      </c>
      <c r="B39" t="s">
        <v>32</v>
      </c>
      <c r="D39" t="s">
        <v>7</v>
      </c>
      <c r="E39" t="s">
        <v>11</v>
      </c>
      <c r="F39" t="s">
        <v>33</v>
      </c>
      <c r="G39" t="s">
        <v>34</v>
      </c>
    </row>
    <row r="40" spans="1:7" x14ac:dyDescent="0.25">
      <c r="A40" t="s">
        <v>37</v>
      </c>
      <c r="B40" t="s">
        <v>38</v>
      </c>
      <c r="D40" t="s">
        <v>7</v>
      </c>
      <c r="E40" t="s">
        <v>11</v>
      </c>
      <c r="F40" t="s">
        <v>39</v>
      </c>
      <c r="G40" t="s">
        <v>40</v>
      </c>
    </row>
    <row r="41" spans="1:7" x14ac:dyDescent="0.25">
      <c r="A41" t="s">
        <v>41</v>
      </c>
      <c r="B41" t="s">
        <v>41</v>
      </c>
      <c r="D41" t="s">
        <v>7</v>
      </c>
      <c r="E41" t="s">
        <v>11</v>
      </c>
      <c r="F41" t="s">
        <v>39</v>
      </c>
      <c r="G41" t="s">
        <v>42</v>
      </c>
    </row>
    <row r="42" spans="1:7" x14ac:dyDescent="0.25">
      <c r="A42" t="s">
        <v>43</v>
      </c>
      <c r="B42" t="s">
        <v>44</v>
      </c>
      <c r="C42" t="s">
        <v>45</v>
      </c>
      <c r="D42" t="s">
        <v>7</v>
      </c>
      <c r="E42" t="s">
        <v>11</v>
      </c>
      <c r="F42" t="s">
        <v>46</v>
      </c>
      <c r="G42" t="s">
        <v>47</v>
      </c>
    </row>
    <row r="43" spans="1:7" x14ac:dyDescent="0.25">
      <c r="A43" t="s">
        <v>48</v>
      </c>
      <c r="B43" t="s">
        <v>48</v>
      </c>
      <c r="C43" t="s">
        <v>10</v>
      </c>
      <c r="D43" t="s">
        <v>7</v>
      </c>
      <c r="E43" t="s">
        <v>11</v>
      </c>
      <c r="F43" t="s">
        <v>46</v>
      </c>
      <c r="G43" t="s">
        <v>49</v>
      </c>
    </row>
    <row r="44" spans="1:7" x14ac:dyDescent="0.25">
      <c r="A44" t="s">
        <v>50</v>
      </c>
      <c r="B44" t="s">
        <v>51</v>
      </c>
      <c r="C44" t="s">
        <v>10</v>
      </c>
      <c r="D44" t="s">
        <v>7</v>
      </c>
      <c r="E44" t="s">
        <v>52</v>
      </c>
      <c r="F44" t="s">
        <v>12</v>
      </c>
      <c r="G44" t="s">
        <v>313</v>
      </c>
    </row>
    <row r="45" spans="1:7" x14ac:dyDescent="0.25">
      <c r="A45" t="s">
        <v>53</v>
      </c>
      <c r="B45" t="s">
        <v>53</v>
      </c>
      <c r="D45" t="s">
        <v>7</v>
      </c>
      <c r="E45" t="s">
        <v>52</v>
      </c>
      <c r="F45" t="s">
        <v>12</v>
      </c>
      <c r="G45" t="s">
        <v>54</v>
      </c>
    </row>
    <row r="46" spans="1:7" x14ac:dyDescent="0.25">
      <c r="A46" t="s">
        <v>55</v>
      </c>
      <c r="B46" t="s">
        <v>56</v>
      </c>
      <c r="C46" t="s">
        <v>45</v>
      </c>
      <c r="D46" t="s">
        <v>7</v>
      </c>
      <c r="E46" t="s">
        <v>52</v>
      </c>
      <c r="F46" t="s">
        <v>15</v>
      </c>
      <c r="G46" t="s">
        <v>57</v>
      </c>
    </row>
    <row r="47" spans="1:7" x14ac:dyDescent="0.25">
      <c r="A47" t="s">
        <v>58</v>
      </c>
      <c r="B47" t="s">
        <v>59</v>
      </c>
      <c r="C47" t="s">
        <v>10</v>
      </c>
      <c r="D47" t="s">
        <v>7</v>
      </c>
      <c r="E47" t="s">
        <v>52</v>
      </c>
      <c r="F47" t="s">
        <v>15</v>
      </c>
      <c r="G47" t="s">
        <v>60</v>
      </c>
    </row>
    <row r="48" spans="1:7" x14ac:dyDescent="0.25">
      <c r="A48" t="s">
        <v>61</v>
      </c>
      <c r="B48" t="s">
        <v>61</v>
      </c>
      <c r="C48" t="s">
        <v>45</v>
      </c>
      <c r="D48" t="s">
        <v>7</v>
      </c>
      <c r="E48" t="s">
        <v>52</v>
      </c>
      <c r="F48" t="s">
        <v>21</v>
      </c>
      <c r="G48" t="s">
        <v>62</v>
      </c>
    </row>
    <row r="49" spans="1:7" x14ac:dyDescent="0.25">
      <c r="A49" t="s">
        <v>63</v>
      </c>
      <c r="B49" t="s">
        <v>64</v>
      </c>
      <c r="C49" t="s">
        <v>10</v>
      </c>
      <c r="D49" t="s">
        <v>7</v>
      </c>
      <c r="E49" t="s">
        <v>52</v>
      </c>
      <c r="F49" t="s">
        <v>21</v>
      </c>
      <c r="G49" t="s">
        <v>65</v>
      </c>
    </row>
    <row r="50" spans="1:7" x14ac:dyDescent="0.25">
      <c r="A50" t="s">
        <v>66</v>
      </c>
      <c r="B50" t="s">
        <v>67</v>
      </c>
      <c r="C50" t="s">
        <v>45</v>
      </c>
      <c r="D50" t="s">
        <v>7</v>
      </c>
      <c r="E50" t="s">
        <v>52</v>
      </c>
      <c r="F50" t="s">
        <v>27</v>
      </c>
      <c r="G50" t="s">
        <v>68</v>
      </c>
    </row>
    <row r="51" spans="1:7" x14ac:dyDescent="0.25">
      <c r="A51" t="s">
        <v>69</v>
      </c>
      <c r="B51" t="s">
        <v>69</v>
      </c>
      <c r="D51" t="s">
        <v>7</v>
      </c>
      <c r="E51" t="s">
        <v>52</v>
      </c>
      <c r="F51" t="s">
        <v>27</v>
      </c>
      <c r="G51" t="s">
        <v>70</v>
      </c>
    </row>
    <row r="52" spans="1:7" x14ac:dyDescent="0.25">
      <c r="A52" t="s">
        <v>74</v>
      </c>
      <c r="B52" t="s">
        <v>74</v>
      </c>
      <c r="C52" t="s">
        <v>10</v>
      </c>
      <c r="D52" t="s">
        <v>7</v>
      </c>
      <c r="E52" t="s">
        <v>52</v>
      </c>
      <c r="F52" t="s">
        <v>33</v>
      </c>
      <c r="G52" t="s">
        <v>75</v>
      </c>
    </row>
    <row r="53" spans="1:7" x14ac:dyDescent="0.25">
      <c r="A53" t="s">
        <v>71</v>
      </c>
      <c r="B53" t="s">
        <v>72</v>
      </c>
      <c r="C53" t="s">
        <v>45</v>
      </c>
      <c r="D53" t="s">
        <v>7</v>
      </c>
      <c r="E53" t="s">
        <v>52</v>
      </c>
      <c r="F53" t="s">
        <v>33</v>
      </c>
      <c r="G53" t="s">
        <v>73</v>
      </c>
    </row>
    <row r="54" spans="1:7" x14ac:dyDescent="0.25">
      <c r="A54" t="s">
        <v>79</v>
      </c>
      <c r="B54" t="s">
        <v>80</v>
      </c>
      <c r="C54" t="s">
        <v>45</v>
      </c>
      <c r="D54" t="s">
        <v>7</v>
      </c>
      <c r="E54" t="s">
        <v>52</v>
      </c>
      <c r="F54" t="s">
        <v>39</v>
      </c>
      <c r="G54" t="s">
        <v>81</v>
      </c>
    </row>
    <row r="55" spans="1:7" x14ac:dyDescent="0.25">
      <c r="A55" t="s">
        <v>76</v>
      </c>
      <c r="B55" t="s">
        <v>77</v>
      </c>
      <c r="D55" t="s">
        <v>7</v>
      </c>
      <c r="E55" t="s">
        <v>52</v>
      </c>
      <c r="F55" t="s">
        <v>39</v>
      </c>
      <c r="G55" t="s">
        <v>78</v>
      </c>
    </row>
    <row r="56" spans="1:7" x14ac:dyDescent="0.25">
      <c r="A56" t="s">
        <v>85</v>
      </c>
      <c r="B56" t="s">
        <v>86</v>
      </c>
      <c r="C56" t="s">
        <v>10</v>
      </c>
      <c r="D56" t="s">
        <v>7</v>
      </c>
      <c r="E56" t="s">
        <v>52</v>
      </c>
      <c r="F56" t="s">
        <v>46</v>
      </c>
      <c r="G56" t="s">
        <v>87</v>
      </c>
    </row>
    <row r="57" spans="1:7" x14ac:dyDescent="0.25">
      <c r="A57" t="s">
        <v>82</v>
      </c>
      <c r="B57" t="s">
        <v>83</v>
      </c>
      <c r="C57" t="s">
        <v>45</v>
      </c>
      <c r="D57" t="s">
        <v>7</v>
      </c>
      <c r="E57" t="s">
        <v>52</v>
      </c>
      <c r="F57" t="s">
        <v>46</v>
      </c>
      <c r="G57" t="s">
        <v>84</v>
      </c>
    </row>
    <row r="58" spans="1:7" x14ac:dyDescent="0.25">
      <c r="A58" t="s">
        <v>124</v>
      </c>
      <c r="B58" t="s">
        <v>125</v>
      </c>
      <c r="C58" t="s">
        <v>10</v>
      </c>
      <c r="D58" t="s">
        <v>7</v>
      </c>
      <c r="E58" t="s">
        <v>126</v>
      </c>
      <c r="F58" t="s">
        <v>12</v>
      </c>
      <c r="G58" t="s">
        <v>127</v>
      </c>
    </row>
    <row r="59" spans="1:7" x14ac:dyDescent="0.25">
      <c r="A59" t="s">
        <v>131</v>
      </c>
      <c r="B59" t="s">
        <v>132</v>
      </c>
      <c r="C59" t="s">
        <v>10</v>
      </c>
      <c r="D59" t="s">
        <v>7</v>
      </c>
      <c r="E59" t="s">
        <v>126</v>
      </c>
      <c r="F59" t="s">
        <v>15</v>
      </c>
      <c r="G59" t="s">
        <v>133</v>
      </c>
    </row>
    <row r="60" spans="1:7" x14ac:dyDescent="0.25">
      <c r="A60" t="s">
        <v>128</v>
      </c>
      <c r="B60" t="s">
        <v>129</v>
      </c>
      <c r="C60" t="s">
        <v>10</v>
      </c>
      <c r="D60" t="s">
        <v>7</v>
      </c>
      <c r="E60" t="s">
        <v>126</v>
      </c>
      <c r="F60" t="s">
        <v>15</v>
      </c>
      <c r="G60" t="s">
        <v>130</v>
      </c>
    </row>
    <row r="61" spans="1:7" x14ac:dyDescent="0.25">
      <c r="A61" t="s">
        <v>137</v>
      </c>
      <c r="B61" t="s">
        <v>138</v>
      </c>
      <c r="C61" t="s">
        <v>10</v>
      </c>
      <c r="D61" t="s">
        <v>7</v>
      </c>
      <c r="E61" t="s">
        <v>126</v>
      </c>
      <c r="F61" t="s">
        <v>21</v>
      </c>
      <c r="G61" t="s">
        <v>139</v>
      </c>
    </row>
    <row r="62" spans="1:7" x14ac:dyDescent="0.25">
      <c r="A62" t="s">
        <v>134</v>
      </c>
      <c r="B62" t="s">
        <v>135</v>
      </c>
      <c r="C62" t="s">
        <v>10</v>
      </c>
      <c r="D62" t="s">
        <v>7</v>
      </c>
      <c r="E62" t="s">
        <v>126</v>
      </c>
      <c r="F62" t="s">
        <v>21</v>
      </c>
      <c r="G62" t="s">
        <v>136</v>
      </c>
    </row>
    <row r="63" spans="1:7" x14ac:dyDescent="0.25">
      <c r="A63" t="s">
        <v>140</v>
      </c>
      <c r="B63" t="s">
        <v>141</v>
      </c>
      <c r="C63" t="s">
        <v>20</v>
      </c>
      <c r="D63" t="s">
        <v>7</v>
      </c>
      <c r="E63" t="s">
        <v>126</v>
      </c>
      <c r="F63" t="s">
        <v>27</v>
      </c>
      <c r="G63" t="s">
        <v>142</v>
      </c>
    </row>
    <row r="64" spans="1:7" x14ac:dyDescent="0.25">
      <c r="A64" t="s">
        <v>143</v>
      </c>
      <c r="B64" t="s">
        <v>144</v>
      </c>
      <c r="C64" t="s">
        <v>10</v>
      </c>
      <c r="D64" t="s">
        <v>7</v>
      </c>
      <c r="E64" t="s">
        <v>126</v>
      </c>
      <c r="F64" t="s">
        <v>27</v>
      </c>
      <c r="G64" t="s">
        <v>145</v>
      </c>
    </row>
    <row r="65" spans="1:7" x14ac:dyDescent="0.25">
      <c r="A65" t="s">
        <v>146</v>
      </c>
      <c r="B65" t="s">
        <v>147</v>
      </c>
      <c r="C65" t="s">
        <v>45</v>
      </c>
      <c r="D65" t="s">
        <v>7</v>
      </c>
      <c r="E65" t="s">
        <v>126</v>
      </c>
      <c r="F65" t="s">
        <v>33</v>
      </c>
      <c r="G65" t="s">
        <v>148</v>
      </c>
    </row>
    <row r="66" spans="1:7" x14ac:dyDescent="0.25">
      <c r="A66" t="s">
        <v>149</v>
      </c>
      <c r="B66" t="s">
        <v>150</v>
      </c>
      <c r="C66" t="s">
        <v>20</v>
      </c>
      <c r="D66" t="s">
        <v>7</v>
      </c>
      <c r="E66" t="s">
        <v>126</v>
      </c>
      <c r="F66" t="s">
        <v>33</v>
      </c>
      <c r="G66" t="s">
        <v>151</v>
      </c>
    </row>
    <row r="67" spans="1:7" x14ac:dyDescent="0.25">
      <c r="A67" t="s">
        <v>152</v>
      </c>
      <c r="B67" t="s">
        <v>153</v>
      </c>
      <c r="C67" t="s">
        <v>20</v>
      </c>
      <c r="D67" t="s">
        <v>7</v>
      </c>
      <c r="E67" t="s">
        <v>126</v>
      </c>
      <c r="F67" t="s">
        <v>39</v>
      </c>
      <c r="G67" t="s">
        <v>154</v>
      </c>
    </row>
    <row r="68" spans="1:7" x14ac:dyDescent="0.25">
      <c r="A68" t="s">
        <v>155</v>
      </c>
      <c r="B68" t="s">
        <v>156</v>
      </c>
      <c r="C68" t="s">
        <v>20</v>
      </c>
      <c r="D68" t="s">
        <v>7</v>
      </c>
      <c r="E68" t="s">
        <v>126</v>
      </c>
      <c r="F68" t="s">
        <v>39</v>
      </c>
      <c r="G68" t="s">
        <v>157</v>
      </c>
    </row>
    <row r="69" spans="1:7" x14ac:dyDescent="0.25">
      <c r="A69" t="s">
        <v>161</v>
      </c>
      <c r="B69" t="s">
        <v>162</v>
      </c>
      <c r="C69" t="s">
        <v>10</v>
      </c>
      <c r="D69" t="s">
        <v>7</v>
      </c>
      <c r="E69" t="s">
        <v>126</v>
      </c>
      <c r="F69" t="s">
        <v>46</v>
      </c>
      <c r="G69" t="s">
        <v>163</v>
      </c>
    </row>
    <row r="70" spans="1:7" x14ac:dyDescent="0.25">
      <c r="A70" t="s">
        <v>158</v>
      </c>
      <c r="B70" t="s">
        <v>159</v>
      </c>
      <c r="C70" t="s">
        <v>10</v>
      </c>
      <c r="D70" t="s">
        <v>7</v>
      </c>
      <c r="E70" t="s">
        <v>126</v>
      </c>
      <c r="F70" t="s">
        <v>46</v>
      </c>
      <c r="G70" t="s">
        <v>160</v>
      </c>
    </row>
    <row r="71" spans="1:7" x14ac:dyDescent="0.25">
      <c r="A71" t="s">
        <v>504</v>
      </c>
      <c r="B71" t="s">
        <v>497</v>
      </c>
      <c r="D71" t="s">
        <v>509</v>
      </c>
      <c r="E71" t="s">
        <v>509</v>
      </c>
    </row>
    <row r="72" spans="1:7" x14ac:dyDescent="0.25">
      <c r="A72" t="s">
        <v>503</v>
      </c>
      <c r="B72" t="s">
        <v>486</v>
      </c>
      <c r="C72" t="s">
        <v>10</v>
      </c>
      <c r="D72" t="s">
        <v>509</v>
      </c>
      <c r="E72" t="s">
        <v>509</v>
      </c>
    </row>
    <row r="73" spans="1:7" x14ac:dyDescent="0.25">
      <c r="A73" t="s">
        <v>483</v>
      </c>
      <c r="B73" t="s">
        <v>483</v>
      </c>
      <c r="C73" t="s">
        <v>20</v>
      </c>
      <c r="D73" t="s">
        <v>509</v>
      </c>
      <c r="E73" t="s">
        <v>509</v>
      </c>
    </row>
    <row r="74" spans="1:7" x14ac:dyDescent="0.25">
      <c r="A74" t="s">
        <v>428</v>
      </c>
      <c r="B74" t="s">
        <v>428</v>
      </c>
      <c r="C74" t="s">
        <v>10</v>
      </c>
      <c r="D74" t="s">
        <v>509</v>
      </c>
      <c r="E74" t="s">
        <v>509</v>
      </c>
    </row>
    <row r="75" spans="1:7" x14ac:dyDescent="0.25">
      <c r="A75" t="s">
        <v>495</v>
      </c>
      <c r="B75" t="s">
        <v>495</v>
      </c>
      <c r="D75" t="s">
        <v>509</v>
      </c>
      <c r="E75" t="s">
        <v>509</v>
      </c>
    </row>
    <row r="76" spans="1:7" x14ac:dyDescent="0.25">
      <c r="A76" t="s">
        <v>481</v>
      </c>
      <c r="B76" t="s">
        <v>494</v>
      </c>
      <c r="D76" t="s">
        <v>509</v>
      </c>
      <c r="E76" t="s">
        <v>509</v>
      </c>
    </row>
    <row r="77" spans="1:7" x14ac:dyDescent="0.25">
      <c r="A77" t="s">
        <v>506</v>
      </c>
      <c r="B77" t="s">
        <v>499</v>
      </c>
      <c r="D77" t="s">
        <v>509</v>
      </c>
      <c r="E77" t="s">
        <v>509</v>
      </c>
    </row>
    <row r="78" spans="1:7" x14ac:dyDescent="0.25">
      <c r="A78" t="s">
        <v>104</v>
      </c>
      <c r="B78" t="s">
        <v>489</v>
      </c>
      <c r="C78" t="s">
        <v>45</v>
      </c>
      <c r="D78" t="s">
        <v>509</v>
      </c>
      <c r="E78" t="s">
        <v>509</v>
      </c>
    </row>
    <row r="79" spans="1:7" x14ac:dyDescent="0.25">
      <c r="A79" t="s">
        <v>507</v>
      </c>
      <c r="B79" t="s">
        <v>490</v>
      </c>
      <c r="C79" t="s">
        <v>45</v>
      </c>
      <c r="D79" t="s">
        <v>509</v>
      </c>
      <c r="E79" t="s">
        <v>509</v>
      </c>
    </row>
    <row r="80" spans="1:7" x14ac:dyDescent="0.25">
      <c r="A80" t="s">
        <v>508</v>
      </c>
      <c r="B80" t="s">
        <v>500</v>
      </c>
      <c r="D80" t="s">
        <v>509</v>
      </c>
      <c r="E80" t="s">
        <v>509</v>
      </c>
    </row>
    <row r="81" spans="1:6" x14ac:dyDescent="0.25">
      <c r="A81" t="s">
        <v>496</v>
      </c>
      <c r="B81" t="s">
        <v>496</v>
      </c>
      <c r="D81" t="s">
        <v>509</v>
      </c>
      <c r="E81" t="s">
        <v>509</v>
      </c>
    </row>
    <row r="82" spans="1:6" x14ac:dyDescent="0.25">
      <c r="A82" t="s">
        <v>502</v>
      </c>
      <c r="B82" t="s">
        <v>493</v>
      </c>
      <c r="D82" t="s">
        <v>509</v>
      </c>
      <c r="E82" t="s">
        <v>509</v>
      </c>
    </row>
    <row r="83" spans="1:6" x14ac:dyDescent="0.25">
      <c r="A83" t="s">
        <v>501</v>
      </c>
      <c r="B83" t="s">
        <v>484</v>
      </c>
      <c r="C83" t="s">
        <v>20</v>
      </c>
      <c r="D83" t="s">
        <v>509</v>
      </c>
      <c r="E83" t="s">
        <v>509</v>
      </c>
    </row>
    <row r="84" spans="1:6" x14ac:dyDescent="0.25">
      <c r="A84" t="s">
        <v>492</v>
      </c>
      <c r="B84" t="s">
        <v>492</v>
      </c>
      <c r="C84" t="s">
        <v>20</v>
      </c>
      <c r="D84" t="s">
        <v>509</v>
      </c>
      <c r="E84" t="s">
        <v>509</v>
      </c>
    </row>
    <row r="85" spans="1:6" x14ac:dyDescent="0.25">
      <c r="A85" t="s">
        <v>482</v>
      </c>
      <c r="B85" t="s">
        <v>482</v>
      </c>
      <c r="C85" t="s">
        <v>45</v>
      </c>
      <c r="D85" t="s">
        <v>509</v>
      </c>
      <c r="E85" t="s">
        <v>509</v>
      </c>
    </row>
    <row r="86" spans="1:6" x14ac:dyDescent="0.25">
      <c r="A86" t="s">
        <v>485</v>
      </c>
      <c r="B86" t="s">
        <v>485</v>
      </c>
      <c r="C86" t="s">
        <v>20</v>
      </c>
      <c r="D86" t="s">
        <v>509</v>
      </c>
      <c r="E86" t="s">
        <v>509</v>
      </c>
    </row>
    <row r="87" spans="1:6" x14ac:dyDescent="0.25">
      <c r="A87" t="s">
        <v>488</v>
      </c>
      <c r="B87" t="s">
        <v>488</v>
      </c>
      <c r="C87" t="s">
        <v>10</v>
      </c>
      <c r="D87" t="s">
        <v>509</v>
      </c>
      <c r="E87" t="s">
        <v>509</v>
      </c>
    </row>
    <row r="88" spans="1:6" x14ac:dyDescent="0.25">
      <c r="A88" t="s">
        <v>491</v>
      </c>
      <c r="B88" t="s">
        <v>491</v>
      </c>
      <c r="C88" t="s">
        <v>20</v>
      </c>
      <c r="D88" t="s">
        <v>509</v>
      </c>
      <c r="E88" t="s">
        <v>509</v>
      </c>
    </row>
    <row r="89" spans="1:6" x14ac:dyDescent="0.25">
      <c r="A89" t="s">
        <v>487</v>
      </c>
      <c r="B89" t="s">
        <v>487</v>
      </c>
      <c r="C89" t="s">
        <v>20</v>
      </c>
      <c r="D89" t="s">
        <v>509</v>
      </c>
      <c r="E89" t="s">
        <v>509</v>
      </c>
    </row>
    <row r="90" spans="1:6" x14ac:dyDescent="0.25">
      <c r="A90" t="s">
        <v>505</v>
      </c>
      <c r="B90" t="s">
        <v>498</v>
      </c>
      <c r="D90" t="s">
        <v>509</v>
      </c>
      <c r="E90" t="s">
        <v>509</v>
      </c>
    </row>
    <row r="91" spans="1:6" x14ac:dyDescent="0.25">
      <c r="A91" t="s">
        <v>29</v>
      </c>
      <c r="B91" t="s">
        <v>211</v>
      </c>
      <c r="D91" t="s">
        <v>356</v>
      </c>
      <c r="E91" t="s">
        <v>210</v>
      </c>
      <c r="F91" t="s">
        <v>12</v>
      </c>
    </row>
    <row r="92" spans="1:6" x14ac:dyDescent="0.25">
      <c r="A92" t="s">
        <v>410</v>
      </c>
      <c r="B92" t="s">
        <v>395</v>
      </c>
      <c r="C92" t="s">
        <v>10</v>
      </c>
      <c r="D92" t="s">
        <v>356</v>
      </c>
      <c r="E92" t="s">
        <v>210</v>
      </c>
      <c r="F92" t="s">
        <v>12</v>
      </c>
    </row>
    <row r="93" spans="1:6" x14ac:dyDescent="0.25">
      <c r="A93" t="s">
        <v>396</v>
      </c>
      <c r="B93" t="s">
        <v>396</v>
      </c>
      <c r="C93" t="s">
        <v>10</v>
      </c>
      <c r="D93" t="s">
        <v>356</v>
      </c>
      <c r="E93" t="s">
        <v>210</v>
      </c>
      <c r="F93" t="s">
        <v>443</v>
      </c>
    </row>
    <row r="94" spans="1:6" x14ac:dyDescent="0.25">
      <c r="A94" t="s">
        <v>204</v>
      </c>
      <c r="B94" t="s">
        <v>225</v>
      </c>
      <c r="C94" t="s">
        <v>20</v>
      </c>
      <c r="D94" t="s">
        <v>356</v>
      </c>
      <c r="E94" t="s">
        <v>210</v>
      </c>
      <c r="F94" t="s">
        <v>443</v>
      </c>
    </row>
    <row r="95" spans="1:6" x14ac:dyDescent="0.25">
      <c r="A95" t="s">
        <v>221</v>
      </c>
      <c r="B95" t="s">
        <v>222</v>
      </c>
      <c r="C95" t="s">
        <v>45</v>
      </c>
      <c r="D95" t="s">
        <v>356</v>
      </c>
      <c r="E95" t="s">
        <v>210</v>
      </c>
      <c r="F95" t="s">
        <v>443</v>
      </c>
    </row>
    <row r="96" spans="1:6" x14ac:dyDescent="0.25">
      <c r="A96" t="s">
        <v>411</v>
      </c>
      <c r="B96" t="s">
        <v>397</v>
      </c>
      <c r="C96" t="s">
        <v>10</v>
      </c>
      <c r="D96" t="s">
        <v>356</v>
      </c>
      <c r="E96" t="s">
        <v>210</v>
      </c>
      <c r="F96" t="s">
        <v>15</v>
      </c>
    </row>
    <row r="97" spans="1:7" x14ac:dyDescent="0.25">
      <c r="A97" t="s">
        <v>217</v>
      </c>
      <c r="B97" t="s">
        <v>218</v>
      </c>
      <c r="C97" s="46" t="s">
        <v>45</v>
      </c>
      <c r="D97" t="s">
        <v>356</v>
      </c>
      <c r="E97" t="s">
        <v>210</v>
      </c>
      <c r="F97" t="s">
        <v>15</v>
      </c>
    </row>
    <row r="98" spans="1:7" x14ac:dyDescent="0.25">
      <c r="A98" t="s">
        <v>223</v>
      </c>
      <c r="B98" t="s">
        <v>224</v>
      </c>
      <c r="C98" s="46" t="s">
        <v>20</v>
      </c>
      <c r="D98" t="s">
        <v>356</v>
      </c>
      <c r="E98" t="s">
        <v>210</v>
      </c>
      <c r="F98" t="s">
        <v>21</v>
      </c>
    </row>
    <row r="99" spans="1:7" x14ac:dyDescent="0.25">
      <c r="A99" t="s">
        <v>412</v>
      </c>
      <c r="B99" t="s">
        <v>398</v>
      </c>
      <c r="C99" t="s">
        <v>10</v>
      </c>
      <c r="D99" t="s">
        <v>356</v>
      </c>
      <c r="E99" t="s">
        <v>210</v>
      </c>
      <c r="F99" t="s">
        <v>21</v>
      </c>
    </row>
    <row r="100" spans="1:7" x14ac:dyDescent="0.25">
      <c r="A100" t="s">
        <v>226</v>
      </c>
      <c r="B100" t="s">
        <v>227</v>
      </c>
      <c r="C100" t="s">
        <v>20</v>
      </c>
      <c r="D100" t="s">
        <v>356</v>
      </c>
      <c r="E100" t="s">
        <v>210</v>
      </c>
      <c r="F100" t="s">
        <v>444</v>
      </c>
    </row>
    <row r="101" spans="1:7" x14ac:dyDescent="0.25">
      <c r="A101" t="s">
        <v>231</v>
      </c>
      <c r="B101" t="s">
        <v>232</v>
      </c>
      <c r="C101" t="s">
        <v>45</v>
      </c>
      <c r="D101" t="s">
        <v>356</v>
      </c>
      <c r="E101" t="s">
        <v>210</v>
      </c>
      <c r="F101" t="s">
        <v>445</v>
      </c>
    </row>
    <row r="102" spans="1:7" x14ac:dyDescent="0.25">
      <c r="A102" t="s">
        <v>229</v>
      </c>
      <c r="B102" t="s">
        <v>230</v>
      </c>
      <c r="C102" t="s">
        <v>45</v>
      </c>
      <c r="D102" t="s">
        <v>356</v>
      </c>
      <c r="E102" t="s">
        <v>210</v>
      </c>
      <c r="F102" t="s">
        <v>445</v>
      </c>
    </row>
    <row r="103" spans="1:7" x14ac:dyDescent="0.25">
      <c r="A103" t="s">
        <v>212</v>
      </c>
      <c r="B103" t="s">
        <v>213</v>
      </c>
      <c r="C103" t="s">
        <v>45</v>
      </c>
      <c r="D103" t="s">
        <v>356</v>
      </c>
      <c r="E103" t="s">
        <v>210</v>
      </c>
      <c r="F103" t="s">
        <v>446</v>
      </c>
    </row>
    <row r="104" spans="1:7" x14ac:dyDescent="0.25">
      <c r="A104" t="s">
        <v>415</v>
      </c>
      <c r="B104" t="s">
        <v>400</v>
      </c>
      <c r="C104" t="s">
        <v>10</v>
      </c>
      <c r="D104" t="s">
        <v>356</v>
      </c>
      <c r="E104" t="s">
        <v>210</v>
      </c>
      <c r="F104" t="s">
        <v>447</v>
      </c>
    </row>
    <row r="105" spans="1:7" x14ac:dyDescent="0.25">
      <c r="A105" t="s">
        <v>236</v>
      </c>
      <c r="B105" s="46" t="s">
        <v>236</v>
      </c>
      <c r="C105" t="s">
        <v>45</v>
      </c>
      <c r="D105" t="s">
        <v>356</v>
      </c>
      <c r="E105" t="s">
        <v>210</v>
      </c>
      <c r="F105" t="s">
        <v>447</v>
      </c>
    </row>
    <row r="106" spans="1:7" x14ac:dyDescent="0.25">
      <c r="A106" t="s">
        <v>414</v>
      </c>
      <c r="B106" t="s">
        <v>399</v>
      </c>
      <c r="C106" t="s">
        <v>45</v>
      </c>
      <c r="D106" t="s">
        <v>356</v>
      </c>
      <c r="E106" t="s">
        <v>210</v>
      </c>
      <c r="F106" t="s">
        <v>447</v>
      </c>
    </row>
    <row r="107" spans="1:7" x14ac:dyDescent="0.25">
      <c r="A107" t="s">
        <v>726</v>
      </c>
      <c r="B107" t="s">
        <v>726</v>
      </c>
      <c r="D107" t="s">
        <v>356</v>
      </c>
      <c r="E107" t="s">
        <v>206</v>
      </c>
      <c r="G107" t="s">
        <v>727</v>
      </c>
    </row>
    <row r="108" spans="1:7" x14ac:dyDescent="0.25">
      <c r="A108" t="s">
        <v>744</v>
      </c>
      <c r="B108" t="s">
        <v>744</v>
      </c>
      <c r="D108" t="s">
        <v>356</v>
      </c>
      <c r="E108" t="s">
        <v>206</v>
      </c>
      <c r="G108" t="s">
        <v>745</v>
      </c>
    </row>
    <row r="109" spans="1:7" x14ac:dyDescent="0.25">
      <c r="A109" t="s">
        <v>416</v>
      </c>
      <c r="B109" s="46" t="s">
        <v>376</v>
      </c>
      <c r="C109" s="46"/>
      <c r="D109" t="s">
        <v>356</v>
      </c>
      <c r="E109" t="s">
        <v>90</v>
      </c>
      <c r="F109" t="s">
        <v>443</v>
      </c>
    </row>
    <row r="110" spans="1:7" x14ac:dyDescent="0.25">
      <c r="A110" t="s">
        <v>300</v>
      </c>
      <c r="B110" s="46" t="s">
        <v>301</v>
      </c>
      <c r="C110" s="46"/>
      <c r="D110" t="s">
        <v>356</v>
      </c>
      <c r="E110" t="s">
        <v>90</v>
      </c>
      <c r="F110" t="s">
        <v>443</v>
      </c>
    </row>
    <row r="111" spans="1:7" x14ac:dyDescent="0.25">
      <c r="A111" t="s">
        <v>403</v>
      </c>
      <c r="B111" s="46" t="s">
        <v>403</v>
      </c>
      <c r="C111" s="46"/>
      <c r="D111" t="s">
        <v>356</v>
      </c>
      <c r="E111" t="s">
        <v>90</v>
      </c>
      <c r="F111" t="s">
        <v>443</v>
      </c>
    </row>
    <row r="112" spans="1:7" x14ac:dyDescent="0.25">
      <c r="A112" t="s">
        <v>101</v>
      </c>
      <c r="B112" s="46" t="s">
        <v>404</v>
      </c>
      <c r="C112" s="46"/>
      <c r="D112" t="s">
        <v>356</v>
      </c>
      <c r="E112" t="s">
        <v>90</v>
      </c>
      <c r="F112" t="s">
        <v>15</v>
      </c>
    </row>
    <row r="113" spans="1:7" x14ac:dyDescent="0.25">
      <c r="A113" t="s">
        <v>405</v>
      </c>
      <c r="B113" s="46" t="s">
        <v>405</v>
      </c>
      <c r="C113" s="46"/>
      <c r="D113" t="s">
        <v>356</v>
      </c>
      <c r="E113" t="s">
        <v>90</v>
      </c>
      <c r="F113" t="s">
        <v>15</v>
      </c>
    </row>
    <row r="114" spans="1:7" x14ac:dyDescent="0.25">
      <c r="A114" t="s">
        <v>417</v>
      </c>
      <c r="B114" s="46" t="s">
        <v>377</v>
      </c>
      <c r="C114" s="46" t="s">
        <v>20</v>
      </c>
      <c r="D114" t="s">
        <v>356</v>
      </c>
      <c r="E114" t="s">
        <v>90</v>
      </c>
      <c r="F114" t="s">
        <v>21</v>
      </c>
    </row>
    <row r="115" spans="1:7" x14ac:dyDescent="0.25">
      <c r="A115" t="s">
        <v>295</v>
      </c>
      <c r="B115" s="46" t="s">
        <v>296</v>
      </c>
      <c r="C115" s="46"/>
      <c r="D115" t="s">
        <v>356</v>
      </c>
      <c r="E115" t="s">
        <v>90</v>
      </c>
      <c r="F115" t="s">
        <v>21</v>
      </c>
    </row>
    <row r="116" spans="1:7" x14ac:dyDescent="0.25">
      <c r="A116" t="s">
        <v>265</v>
      </c>
      <c r="B116" s="46" t="s">
        <v>266</v>
      </c>
      <c r="C116" s="46" t="s">
        <v>45</v>
      </c>
      <c r="D116" t="s">
        <v>356</v>
      </c>
      <c r="E116" t="s">
        <v>90</v>
      </c>
      <c r="F116" t="s">
        <v>21</v>
      </c>
    </row>
    <row r="117" spans="1:7" x14ac:dyDescent="0.25">
      <c r="A117" t="s">
        <v>427</v>
      </c>
      <c r="B117" s="46" t="s">
        <v>378</v>
      </c>
      <c r="C117" s="46" t="s">
        <v>10</v>
      </c>
      <c r="D117" t="s">
        <v>356</v>
      </c>
      <c r="E117" t="s">
        <v>90</v>
      </c>
      <c r="F117" t="s">
        <v>444</v>
      </c>
    </row>
    <row r="118" spans="1:7" x14ac:dyDescent="0.25">
      <c r="A118" t="s">
        <v>298</v>
      </c>
      <c r="B118" s="46" t="s">
        <v>299</v>
      </c>
      <c r="C118" s="46" t="s">
        <v>10</v>
      </c>
      <c r="D118" t="s">
        <v>356</v>
      </c>
      <c r="E118" t="s">
        <v>90</v>
      </c>
      <c r="F118" t="s">
        <v>444</v>
      </c>
    </row>
    <row r="119" spans="1:7" x14ac:dyDescent="0.25">
      <c r="A119" t="s">
        <v>305</v>
      </c>
      <c r="B119" s="46" t="s">
        <v>406</v>
      </c>
      <c r="C119" s="46"/>
      <c r="D119" t="s">
        <v>356</v>
      </c>
      <c r="E119" t="s">
        <v>90</v>
      </c>
      <c r="F119" t="s">
        <v>445</v>
      </c>
    </row>
    <row r="120" spans="1:7" x14ac:dyDescent="0.25">
      <c r="A120" t="s">
        <v>474</v>
      </c>
      <c r="B120" s="46" t="s">
        <v>379</v>
      </c>
      <c r="C120" s="46" t="s">
        <v>20</v>
      </c>
      <c r="D120" t="s">
        <v>356</v>
      </c>
      <c r="E120" t="s">
        <v>90</v>
      </c>
      <c r="F120" t="s">
        <v>446</v>
      </c>
    </row>
    <row r="121" spans="1:7" x14ac:dyDescent="0.25">
      <c r="A121" t="s">
        <v>419</v>
      </c>
      <c r="B121" s="46" t="s">
        <v>380</v>
      </c>
      <c r="C121" s="46" t="s">
        <v>10</v>
      </c>
      <c r="D121" t="s">
        <v>356</v>
      </c>
      <c r="E121" t="s">
        <v>90</v>
      </c>
      <c r="F121" t="s">
        <v>446</v>
      </c>
    </row>
    <row r="122" spans="1:7" x14ac:dyDescent="0.25">
      <c r="A122" t="s">
        <v>304</v>
      </c>
      <c r="B122" s="46" t="s">
        <v>381</v>
      </c>
      <c r="C122" s="46"/>
      <c r="D122" t="s">
        <v>356</v>
      </c>
      <c r="E122" t="s">
        <v>90</v>
      </c>
      <c r="F122" t="s">
        <v>447</v>
      </c>
    </row>
    <row r="123" spans="1:7" x14ac:dyDescent="0.25">
      <c r="A123" t="s">
        <v>302</v>
      </c>
      <c r="B123" s="46" t="s">
        <v>303</v>
      </c>
      <c r="C123" s="46"/>
      <c r="D123" t="s">
        <v>356</v>
      </c>
      <c r="E123" t="s">
        <v>90</v>
      </c>
      <c r="F123" t="s">
        <v>447</v>
      </c>
    </row>
    <row r="124" spans="1:7" x14ac:dyDescent="0.25">
      <c r="A124" t="s">
        <v>280</v>
      </c>
      <c r="B124" t="s">
        <v>281</v>
      </c>
      <c r="C124" t="s">
        <v>45</v>
      </c>
      <c r="D124" t="s">
        <v>356</v>
      </c>
      <c r="E124" t="s">
        <v>282</v>
      </c>
      <c r="F124" t="s">
        <v>12</v>
      </c>
    </row>
    <row r="125" spans="1:7" x14ac:dyDescent="0.25">
      <c r="A125" t="s">
        <v>420</v>
      </c>
      <c r="B125" t="s">
        <v>382</v>
      </c>
      <c r="C125" t="s">
        <v>10</v>
      </c>
      <c r="D125" t="s">
        <v>356</v>
      </c>
      <c r="E125" t="s">
        <v>282</v>
      </c>
      <c r="F125" t="s">
        <v>12</v>
      </c>
    </row>
    <row r="126" spans="1:7" x14ac:dyDescent="0.25">
      <c r="A126" t="s">
        <v>383</v>
      </c>
      <c r="B126" t="s">
        <v>383</v>
      </c>
      <c r="C126" t="s">
        <v>10</v>
      </c>
      <c r="D126" t="s">
        <v>356</v>
      </c>
      <c r="E126" t="s">
        <v>282</v>
      </c>
      <c r="F126" t="s">
        <v>443</v>
      </c>
    </row>
    <row r="127" spans="1:7" x14ac:dyDescent="0.25">
      <c r="A127" t="s">
        <v>267</v>
      </c>
      <c r="B127" t="s">
        <v>268</v>
      </c>
      <c r="C127" t="s">
        <v>45</v>
      </c>
      <c r="D127" t="s">
        <v>356</v>
      </c>
      <c r="E127" t="s">
        <v>282</v>
      </c>
      <c r="F127" t="s">
        <v>443</v>
      </c>
    </row>
    <row r="128" spans="1:7" x14ac:dyDescent="0.25">
      <c r="A128" t="s">
        <v>115</v>
      </c>
      <c r="B128" t="s">
        <v>285</v>
      </c>
      <c r="C128" t="s">
        <v>45</v>
      </c>
      <c r="D128" t="s">
        <v>356</v>
      </c>
      <c r="E128" t="s">
        <v>282</v>
      </c>
      <c r="F128" t="s">
        <v>15</v>
      </c>
      <c r="G128" s="2"/>
    </row>
    <row r="129" spans="1:7" x14ac:dyDescent="0.25">
      <c r="A129" t="s">
        <v>290</v>
      </c>
      <c r="B129" t="s">
        <v>290</v>
      </c>
      <c r="C129" t="s">
        <v>45</v>
      </c>
      <c r="D129" t="s">
        <v>356</v>
      </c>
      <c r="E129" t="s">
        <v>282</v>
      </c>
      <c r="F129" t="s">
        <v>15</v>
      </c>
      <c r="G129" s="2"/>
    </row>
    <row r="130" spans="1:7" x14ac:dyDescent="0.25">
      <c r="A130" t="s">
        <v>307</v>
      </c>
      <c r="B130" t="s">
        <v>307</v>
      </c>
      <c r="C130" t="s">
        <v>45</v>
      </c>
      <c r="D130" t="s">
        <v>356</v>
      </c>
      <c r="E130" t="s">
        <v>282</v>
      </c>
      <c r="F130" t="s">
        <v>21</v>
      </c>
      <c r="G130" s="2"/>
    </row>
    <row r="131" spans="1:7" x14ac:dyDescent="0.25">
      <c r="A131" t="s">
        <v>291</v>
      </c>
      <c r="B131" t="s">
        <v>292</v>
      </c>
      <c r="C131" t="s">
        <v>45</v>
      </c>
      <c r="D131" t="s">
        <v>356</v>
      </c>
      <c r="E131" t="s">
        <v>282</v>
      </c>
      <c r="F131" t="s">
        <v>21</v>
      </c>
      <c r="G131" s="2"/>
    </row>
    <row r="132" spans="1:7" x14ac:dyDescent="0.25">
      <c r="A132" t="s">
        <v>384</v>
      </c>
      <c r="B132" t="s">
        <v>384</v>
      </c>
      <c r="C132" t="s">
        <v>45</v>
      </c>
      <c r="D132" t="s">
        <v>356</v>
      </c>
      <c r="E132" t="s">
        <v>282</v>
      </c>
      <c r="F132" t="s">
        <v>444</v>
      </c>
      <c r="G132" s="2"/>
    </row>
    <row r="133" spans="1:7" x14ac:dyDescent="0.25">
      <c r="A133" t="s">
        <v>293</v>
      </c>
      <c r="B133" t="s">
        <v>294</v>
      </c>
      <c r="C133" t="s">
        <v>45</v>
      </c>
      <c r="D133" t="s">
        <v>356</v>
      </c>
      <c r="E133" t="s">
        <v>282</v>
      </c>
      <c r="F133" t="s">
        <v>445</v>
      </c>
      <c r="G133" s="2"/>
    </row>
    <row r="134" spans="1:7" x14ac:dyDescent="0.25">
      <c r="A134" t="s">
        <v>286</v>
      </c>
      <c r="B134" t="s">
        <v>287</v>
      </c>
      <c r="D134" t="s">
        <v>356</v>
      </c>
      <c r="E134" t="s">
        <v>282</v>
      </c>
      <c r="F134" t="s">
        <v>445</v>
      </c>
      <c r="G134" s="2"/>
    </row>
    <row r="135" spans="1:7" x14ac:dyDescent="0.25">
      <c r="A135" t="s">
        <v>288</v>
      </c>
      <c r="B135" t="s">
        <v>289</v>
      </c>
      <c r="C135" t="s">
        <v>45</v>
      </c>
      <c r="D135" t="s">
        <v>356</v>
      </c>
      <c r="E135" t="s">
        <v>282</v>
      </c>
      <c r="F135" t="s">
        <v>446</v>
      </c>
      <c r="G135" s="2"/>
    </row>
    <row r="136" spans="1:7" x14ac:dyDescent="0.25">
      <c r="A136" t="s">
        <v>421</v>
      </c>
      <c r="B136" t="s">
        <v>407</v>
      </c>
      <c r="D136" t="s">
        <v>356</v>
      </c>
      <c r="E136" t="s">
        <v>282</v>
      </c>
      <c r="F136" t="s">
        <v>447</v>
      </c>
      <c r="G136" s="2"/>
    </row>
    <row r="137" spans="1:7" x14ac:dyDescent="0.25">
      <c r="A137" t="s">
        <v>1100</v>
      </c>
      <c r="B137" t="s">
        <v>1101</v>
      </c>
      <c r="D137" t="s">
        <v>356</v>
      </c>
      <c r="E137" t="s">
        <v>165</v>
      </c>
      <c r="F137" t="s">
        <v>166</v>
      </c>
      <c r="G137" t="s">
        <v>1102</v>
      </c>
    </row>
    <row r="138" spans="1:7" x14ac:dyDescent="0.25">
      <c r="A138" t="s">
        <v>423</v>
      </c>
      <c r="B138" s="46" t="s">
        <v>386</v>
      </c>
      <c r="C138" s="46" t="s">
        <v>10</v>
      </c>
      <c r="D138" t="s">
        <v>356</v>
      </c>
      <c r="E138" t="s">
        <v>11</v>
      </c>
      <c r="F138" t="s">
        <v>12</v>
      </c>
      <c r="G138" s="2"/>
    </row>
    <row r="139" spans="1:7" x14ac:dyDescent="0.25">
      <c r="A139" t="s">
        <v>259</v>
      </c>
      <c r="B139" s="46" t="s">
        <v>260</v>
      </c>
      <c r="C139" s="46" t="s">
        <v>45</v>
      </c>
      <c r="D139" t="s">
        <v>356</v>
      </c>
      <c r="E139" t="s">
        <v>11</v>
      </c>
      <c r="F139" t="s">
        <v>12</v>
      </c>
      <c r="G139" s="2"/>
    </row>
    <row r="140" spans="1:7" x14ac:dyDescent="0.25">
      <c r="A140" t="s">
        <v>422</v>
      </c>
      <c r="B140" t="s">
        <v>385</v>
      </c>
      <c r="C140" t="s">
        <v>10</v>
      </c>
      <c r="D140" t="s">
        <v>356</v>
      </c>
      <c r="E140" t="s">
        <v>11</v>
      </c>
      <c r="F140" t="s">
        <v>12</v>
      </c>
      <c r="G140" s="2"/>
    </row>
    <row r="141" spans="1:7" x14ac:dyDescent="0.25">
      <c r="A141" t="s">
        <v>214</v>
      </c>
      <c r="B141" s="46" t="s">
        <v>215</v>
      </c>
      <c r="C141" t="s">
        <v>20</v>
      </c>
      <c r="D141" t="s">
        <v>356</v>
      </c>
      <c r="E141" t="s">
        <v>11</v>
      </c>
      <c r="F141" t="s">
        <v>443</v>
      </c>
      <c r="G141" s="2"/>
    </row>
    <row r="142" spans="1:7" x14ac:dyDescent="0.25">
      <c r="A142" t="s">
        <v>261</v>
      </c>
      <c r="B142" s="46" t="s">
        <v>262</v>
      </c>
      <c r="C142" t="s">
        <v>45</v>
      </c>
      <c r="D142" t="s">
        <v>356</v>
      </c>
      <c r="E142" t="s">
        <v>11</v>
      </c>
      <c r="F142" t="s">
        <v>443</v>
      </c>
      <c r="G142" s="2"/>
    </row>
    <row r="143" spans="1:7" x14ac:dyDescent="0.25">
      <c r="A143" t="s">
        <v>283</v>
      </c>
      <c r="B143" s="46" t="s">
        <v>284</v>
      </c>
      <c r="C143" s="46" t="s">
        <v>45</v>
      </c>
      <c r="D143" t="s">
        <v>356</v>
      </c>
      <c r="E143" t="s">
        <v>11</v>
      </c>
      <c r="F143" t="s">
        <v>15</v>
      </c>
      <c r="G143" s="2"/>
    </row>
    <row r="144" spans="1:7" x14ac:dyDescent="0.25">
      <c r="A144" t="s">
        <v>424</v>
      </c>
      <c r="B144" s="46" t="s">
        <v>387</v>
      </c>
      <c r="C144" s="46" t="s">
        <v>10</v>
      </c>
      <c r="D144" t="s">
        <v>356</v>
      </c>
      <c r="E144" t="s">
        <v>11</v>
      </c>
      <c r="F144" t="s">
        <v>15</v>
      </c>
      <c r="G144" s="2"/>
    </row>
    <row r="145" spans="1:7" x14ac:dyDescent="0.25">
      <c r="A145" t="s">
        <v>228</v>
      </c>
      <c r="B145" t="s">
        <v>228</v>
      </c>
      <c r="C145" s="46" t="s">
        <v>45</v>
      </c>
      <c r="D145" t="s">
        <v>356</v>
      </c>
      <c r="E145" t="s">
        <v>11</v>
      </c>
      <c r="F145" t="s">
        <v>21</v>
      </c>
      <c r="G145" s="2"/>
    </row>
    <row r="146" spans="1:7" x14ac:dyDescent="0.25">
      <c r="A146" t="s">
        <v>256</v>
      </c>
      <c r="B146" t="s">
        <v>256</v>
      </c>
      <c r="C146" s="46" t="s">
        <v>45</v>
      </c>
      <c r="D146" t="s">
        <v>356</v>
      </c>
      <c r="E146" t="s">
        <v>11</v>
      </c>
      <c r="F146" t="s">
        <v>444</v>
      </c>
      <c r="G146" s="2"/>
    </row>
    <row r="147" spans="1:7" x14ac:dyDescent="0.25">
      <c r="A147" t="s">
        <v>413</v>
      </c>
      <c r="B147" t="s">
        <v>233</v>
      </c>
      <c r="C147" t="s">
        <v>20</v>
      </c>
      <c r="D147" t="s">
        <v>356</v>
      </c>
      <c r="E147" t="s">
        <v>11</v>
      </c>
      <c r="F147" t="s">
        <v>445</v>
      </c>
    </row>
    <row r="148" spans="1:7" x14ac:dyDescent="0.25">
      <c r="A148" t="s">
        <v>271</v>
      </c>
      <c r="B148" t="s">
        <v>272</v>
      </c>
      <c r="C148" t="s">
        <v>45</v>
      </c>
      <c r="D148" t="s">
        <v>356</v>
      </c>
      <c r="E148" t="s">
        <v>11</v>
      </c>
      <c r="F148" t="s">
        <v>446</v>
      </c>
    </row>
    <row r="149" spans="1:7" x14ac:dyDescent="0.25">
      <c r="A149" t="s">
        <v>104</v>
      </c>
      <c r="B149" t="s">
        <v>388</v>
      </c>
      <c r="C149" t="s">
        <v>10</v>
      </c>
      <c r="D149" t="s">
        <v>356</v>
      </c>
      <c r="E149" t="s">
        <v>52</v>
      </c>
      <c r="F149" t="s">
        <v>12</v>
      </c>
    </row>
    <row r="150" spans="1:7" x14ac:dyDescent="0.25">
      <c r="A150" t="s">
        <v>425</v>
      </c>
      <c r="B150" s="46" t="s">
        <v>389</v>
      </c>
      <c r="C150" t="s">
        <v>10</v>
      </c>
      <c r="D150" t="s">
        <v>356</v>
      </c>
      <c r="E150" t="s">
        <v>52</v>
      </c>
      <c r="F150" t="s">
        <v>443</v>
      </c>
    </row>
    <row r="151" spans="1:7" x14ac:dyDescent="0.25">
      <c r="A151" t="s">
        <v>252</v>
      </c>
      <c r="B151" t="s">
        <v>253</v>
      </c>
      <c r="C151" t="s">
        <v>45</v>
      </c>
      <c r="D151" t="s">
        <v>356</v>
      </c>
      <c r="E151" t="s">
        <v>52</v>
      </c>
      <c r="F151" t="s">
        <v>443</v>
      </c>
    </row>
    <row r="152" spans="1:7" x14ac:dyDescent="0.25">
      <c r="A152" t="s">
        <v>254</v>
      </c>
      <c r="B152" t="s">
        <v>255</v>
      </c>
      <c r="C152" t="s">
        <v>45</v>
      </c>
      <c r="D152" t="s">
        <v>356</v>
      </c>
      <c r="E152" t="s">
        <v>52</v>
      </c>
      <c r="F152" t="s">
        <v>15</v>
      </c>
    </row>
    <row r="153" spans="1:7" x14ac:dyDescent="0.25">
      <c r="A153" t="s">
        <v>429</v>
      </c>
      <c r="B153" s="46" t="s">
        <v>390</v>
      </c>
      <c r="C153" t="s">
        <v>10</v>
      </c>
      <c r="D153" t="s">
        <v>356</v>
      </c>
      <c r="E153" t="s">
        <v>52</v>
      </c>
      <c r="F153" t="s">
        <v>15</v>
      </c>
    </row>
    <row r="154" spans="1:7" x14ac:dyDescent="0.25">
      <c r="A154" t="s">
        <v>250</v>
      </c>
      <c r="B154" t="s">
        <v>251</v>
      </c>
      <c r="C154" t="s">
        <v>45</v>
      </c>
      <c r="D154" t="s">
        <v>356</v>
      </c>
      <c r="E154" t="s">
        <v>52</v>
      </c>
      <c r="F154" t="s">
        <v>15</v>
      </c>
    </row>
    <row r="155" spans="1:7" x14ac:dyDescent="0.25">
      <c r="A155" t="s">
        <v>219</v>
      </c>
      <c r="B155" t="s">
        <v>220</v>
      </c>
      <c r="C155" t="s">
        <v>45</v>
      </c>
      <c r="D155" t="s">
        <v>356</v>
      </c>
      <c r="E155" t="s">
        <v>52</v>
      </c>
      <c r="F155" t="s">
        <v>21</v>
      </c>
    </row>
    <row r="156" spans="1:7" x14ac:dyDescent="0.25">
      <c r="A156" t="s">
        <v>426</v>
      </c>
      <c r="B156" s="46" t="s">
        <v>391</v>
      </c>
      <c r="C156" t="s">
        <v>10</v>
      </c>
      <c r="D156" t="s">
        <v>356</v>
      </c>
      <c r="E156" t="s">
        <v>52</v>
      </c>
      <c r="F156" t="s">
        <v>444</v>
      </c>
    </row>
    <row r="157" spans="1:7" x14ac:dyDescent="0.25">
      <c r="A157" t="s">
        <v>238</v>
      </c>
      <c r="B157" t="s">
        <v>239</v>
      </c>
      <c r="D157" t="s">
        <v>356</v>
      </c>
      <c r="E157" t="s">
        <v>52</v>
      </c>
      <c r="F157" t="s">
        <v>444</v>
      </c>
    </row>
    <row r="158" spans="1:7" x14ac:dyDescent="0.25">
      <c r="A158" t="s">
        <v>430</v>
      </c>
      <c r="B158" t="s">
        <v>392</v>
      </c>
      <c r="C158" t="s">
        <v>10</v>
      </c>
      <c r="D158" t="s">
        <v>356</v>
      </c>
      <c r="E158" t="s">
        <v>52</v>
      </c>
      <c r="F158" t="s">
        <v>445</v>
      </c>
    </row>
    <row r="159" spans="1:7" x14ac:dyDescent="0.25">
      <c r="A159" t="s">
        <v>240</v>
      </c>
      <c r="B159" t="s">
        <v>241</v>
      </c>
      <c r="C159" t="s">
        <v>45</v>
      </c>
      <c r="D159" t="s">
        <v>356</v>
      </c>
      <c r="E159" t="s">
        <v>52</v>
      </c>
      <c r="F159" t="s">
        <v>446</v>
      </c>
    </row>
    <row r="160" spans="1:7" x14ac:dyDescent="0.25">
      <c r="A160" t="s">
        <v>350</v>
      </c>
      <c r="B160" t="s">
        <v>350</v>
      </c>
      <c r="C160" t="s">
        <v>45</v>
      </c>
      <c r="D160" t="s">
        <v>356</v>
      </c>
      <c r="E160" t="s">
        <v>52</v>
      </c>
      <c r="F160" t="s">
        <v>446</v>
      </c>
    </row>
    <row r="161" spans="1:7" x14ac:dyDescent="0.25">
      <c r="A161" t="s">
        <v>393</v>
      </c>
      <c r="B161" t="s">
        <v>393</v>
      </c>
      <c r="C161" t="s">
        <v>10</v>
      </c>
      <c r="D161" t="s">
        <v>356</v>
      </c>
      <c r="E161" t="s">
        <v>52</v>
      </c>
      <c r="F161" t="s">
        <v>446</v>
      </c>
    </row>
    <row r="162" spans="1:7" x14ac:dyDescent="0.25">
      <c r="A162" t="s">
        <v>431</v>
      </c>
      <c r="B162" t="s">
        <v>394</v>
      </c>
      <c r="C162" t="s">
        <v>45</v>
      </c>
      <c r="D162" t="s">
        <v>356</v>
      </c>
      <c r="E162" t="s">
        <v>52</v>
      </c>
      <c r="F162" t="s">
        <v>447</v>
      </c>
    </row>
    <row r="163" spans="1:7" x14ac:dyDescent="0.25">
      <c r="A163" t="s">
        <v>257</v>
      </c>
      <c r="B163" t="s">
        <v>258</v>
      </c>
      <c r="C163" t="s">
        <v>45</v>
      </c>
      <c r="D163" t="s">
        <v>356</v>
      </c>
      <c r="E163" t="s">
        <v>52</v>
      </c>
      <c r="F163" t="s">
        <v>447</v>
      </c>
    </row>
    <row r="164" spans="1:7" x14ac:dyDescent="0.25">
      <c r="A164" t="s">
        <v>208</v>
      </c>
      <c r="B164" s="46" t="s">
        <v>401</v>
      </c>
      <c r="C164" t="s">
        <v>10</v>
      </c>
      <c r="D164" t="s">
        <v>356</v>
      </c>
      <c r="E164" t="s">
        <v>235</v>
      </c>
      <c r="F164" t="s">
        <v>12</v>
      </c>
    </row>
    <row r="165" spans="1:7" x14ac:dyDescent="0.25">
      <c r="A165" t="s">
        <v>8</v>
      </c>
      <c r="B165" t="s">
        <v>209</v>
      </c>
      <c r="C165" t="s">
        <v>10</v>
      </c>
      <c r="D165" t="s">
        <v>356</v>
      </c>
      <c r="E165" t="s">
        <v>235</v>
      </c>
      <c r="F165" t="s">
        <v>12</v>
      </c>
    </row>
    <row r="166" spans="1:7" x14ac:dyDescent="0.25">
      <c r="A166" t="s">
        <v>234</v>
      </c>
      <c r="B166" t="s">
        <v>234</v>
      </c>
      <c r="C166" t="s">
        <v>10</v>
      </c>
      <c r="D166" t="s">
        <v>356</v>
      </c>
      <c r="E166" t="s">
        <v>235</v>
      </c>
      <c r="F166" t="s">
        <v>443</v>
      </c>
    </row>
    <row r="167" spans="1:7" x14ac:dyDescent="0.25">
      <c r="A167" t="s">
        <v>249</v>
      </c>
      <c r="B167" t="s">
        <v>249</v>
      </c>
      <c r="D167" t="s">
        <v>356</v>
      </c>
      <c r="E167" t="s">
        <v>235</v>
      </c>
      <c r="F167" t="s">
        <v>443</v>
      </c>
    </row>
    <row r="168" spans="1:7" x14ac:dyDescent="0.25">
      <c r="A168" t="s">
        <v>248</v>
      </c>
      <c r="B168" t="s">
        <v>248</v>
      </c>
      <c r="D168" t="s">
        <v>356</v>
      </c>
      <c r="E168" t="s">
        <v>235</v>
      </c>
      <c r="F168" t="s">
        <v>15</v>
      </c>
    </row>
    <row r="169" spans="1:7" x14ac:dyDescent="0.25">
      <c r="A169" t="s">
        <v>242</v>
      </c>
      <c r="B169" s="46" t="s">
        <v>243</v>
      </c>
      <c r="C169" t="s">
        <v>20</v>
      </c>
      <c r="D169" t="s">
        <v>356</v>
      </c>
      <c r="E169" t="s">
        <v>235</v>
      </c>
      <c r="F169" t="s">
        <v>15</v>
      </c>
    </row>
    <row r="170" spans="1:7" x14ac:dyDescent="0.25">
      <c r="A170" t="s">
        <v>237</v>
      </c>
      <c r="B170" t="s">
        <v>237</v>
      </c>
      <c r="D170" t="s">
        <v>356</v>
      </c>
      <c r="E170" t="s">
        <v>235</v>
      </c>
      <c r="F170" t="s">
        <v>21</v>
      </c>
    </row>
    <row r="171" spans="1:7" x14ac:dyDescent="0.25">
      <c r="A171" t="s">
        <v>245</v>
      </c>
      <c r="B171" t="s">
        <v>245</v>
      </c>
      <c r="D171" t="s">
        <v>356</v>
      </c>
      <c r="E171" t="s">
        <v>235</v>
      </c>
      <c r="F171" t="s">
        <v>444</v>
      </c>
    </row>
    <row r="172" spans="1:7" x14ac:dyDescent="0.25">
      <c r="A172" t="s">
        <v>19</v>
      </c>
      <c r="B172" t="s">
        <v>244</v>
      </c>
      <c r="C172" t="s">
        <v>409</v>
      </c>
      <c r="D172" t="s">
        <v>356</v>
      </c>
      <c r="E172" t="s">
        <v>235</v>
      </c>
      <c r="F172" t="s">
        <v>444</v>
      </c>
    </row>
    <row r="173" spans="1:7" x14ac:dyDescent="0.25">
      <c r="A173" t="s">
        <v>432</v>
      </c>
      <c r="B173" t="s">
        <v>402</v>
      </c>
      <c r="C173" t="s">
        <v>10</v>
      </c>
      <c r="D173" t="s">
        <v>356</v>
      </c>
      <c r="E173" t="s">
        <v>235</v>
      </c>
      <c r="F173" t="s">
        <v>445</v>
      </c>
    </row>
    <row r="174" spans="1:7" x14ac:dyDescent="0.25">
      <c r="A174" t="s">
        <v>246</v>
      </c>
      <c r="B174" t="s">
        <v>247</v>
      </c>
      <c r="D174" t="s">
        <v>356</v>
      </c>
      <c r="E174" t="s">
        <v>235</v>
      </c>
      <c r="F174" t="s">
        <v>445</v>
      </c>
    </row>
    <row r="175" spans="1:7" x14ac:dyDescent="0.25">
      <c r="A175" t="s">
        <v>408</v>
      </c>
      <c r="B175" t="s">
        <v>408</v>
      </c>
      <c r="D175" t="s">
        <v>356</v>
      </c>
      <c r="E175" t="s">
        <v>235</v>
      </c>
      <c r="F175" t="s">
        <v>446</v>
      </c>
    </row>
    <row r="176" spans="1:7" x14ac:dyDescent="0.25">
      <c r="A176" t="s">
        <v>979</v>
      </c>
      <c r="B176" t="s">
        <v>981</v>
      </c>
      <c r="C176" t="s">
        <v>10</v>
      </c>
      <c r="D176" t="s">
        <v>356</v>
      </c>
      <c r="E176" t="s">
        <v>235</v>
      </c>
      <c r="F176" t="s">
        <v>446</v>
      </c>
      <c r="G176" t="s">
        <v>980</v>
      </c>
    </row>
    <row r="177" spans="1:7" x14ac:dyDescent="0.25">
      <c r="A177" t="s">
        <v>440</v>
      </c>
      <c r="B177" s="46" t="s">
        <v>373</v>
      </c>
      <c r="C177" s="46" t="s">
        <v>10</v>
      </c>
      <c r="D177" t="s">
        <v>356</v>
      </c>
      <c r="E177" t="s">
        <v>126</v>
      </c>
      <c r="F177" t="s">
        <v>12</v>
      </c>
    </row>
    <row r="178" spans="1:7" x14ac:dyDescent="0.25">
      <c r="A178" t="s">
        <v>263</v>
      </c>
      <c r="B178" s="46" t="s">
        <v>264</v>
      </c>
      <c r="C178" s="46" t="s">
        <v>45</v>
      </c>
      <c r="D178" t="s">
        <v>356</v>
      </c>
      <c r="E178" t="s">
        <v>126</v>
      </c>
      <c r="F178" t="s">
        <v>443</v>
      </c>
    </row>
    <row r="179" spans="1:7" x14ac:dyDescent="0.25">
      <c r="A179" t="s">
        <v>273</v>
      </c>
      <c r="B179" s="46" t="s">
        <v>273</v>
      </c>
      <c r="C179" s="46" t="s">
        <v>10</v>
      </c>
      <c r="D179" t="s">
        <v>356</v>
      </c>
      <c r="E179" t="s">
        <v>126</v>
      </c>
      <c r="F179" t="s">
        <v>15</v>
      </c>
    </row>
    <row r="180" spans="1:7" x14ac:dyDescent="0.25">
      <c r="A180" t="s">
        <v>274</v>
      </c>
      <c r="B180" s="46" t="s">
        <v>274</v>
      </c>
      <c r="C180" s="46" t="s">
        <v>10</v>
      </c>
      <c r="D180" t="s">
        <v>356</v>
      </c>
      <c r="E180" t="s">
        <v>126</v>
      </c>
      <c r="F180" t="s">
        <v>21</v>
      </c>
    </row>
    <row r="181" spans="1:7" x14ac:dyDescent="0.25">
      <c r="A181" t="s">
        <v>374</v>
      </c>
      <c r="B181" s="46" t="s">
        <v>374</v>
      </c>
      <c r="C181" s="46" t="s">
        <v>10</v>
      </c>
      <c r="D181" t="s">
        <v>356</v>
      </c>
      <c r="E181" t="s">
        <v>126</v>
      </c>
      <c r="F181" t="s">
        <v>444</v>
      </c>
    </row>
    <row r="182" spans="1:7" x14ac:dyDescent="0.25">
      <c r="A182" t="s">
        <v>275</v>
      </c>
      <c r="B182" s="46" t="s">
        <v>276</v>
      </c>
      <c r="C182" s="46" t="s">
        <v>20</v>
      </c>
      <c r="D182" t="s">
        <v>356</v>
      </c>
      <c r="E182" t="s">
        <v>126</v>
      </c>
      <c r="F182" t="s">
        <v>444</v>
      </c>
    </row>
    <row r="183" spans="1:7" x14ac:dyDescent="0.25">
      <c r="A183" t="s">
        <v>278</v>
      </c>
      <c r="B183" s="46" t="s">
        <v>278</v>
      </c>
      <c r="C183" s="46" t="s">
        <v>20</v>
      </c>
      <c r="D183" t="s">
        <v>356</v>
      </c>
      <c r="E183" t="s">
        <v>126</v>
      </c>
      <c r="F183" t="s">
        <v>445</v>
      </c>
    </row>
    <row r="184" spans="1:7" x14ac:dyDescent="0.25">
      <c r="A184" t="s">
        <v>156</v>
      </c>
      <c r="B184" s="46" t="s">
        <v>279</v>
      </c>
      <c r="C184" s="46" t="s">
        <v>45</v>
      </c>
      <c r="D184" t="s">
        <v>356</v>
      </c>
      <c r="E184" t="s">
        <v>126</v>
      </c>
      <c r="F184" t="s">
        <v>445</v>
      </c>
    </row>
    <row r="185" spans="1:7" x14ac:dyDescent="0.25">
      <c r="A185" t="s">
        <v>277</v>
      </c>
      <c r="B185" s="46" t="s">
        <v>277</v>
      </c>
      <c r="C185" s="46" t="s">
        <v>10</v>
      </c>
      <c r="D185" t="s">
        <v>356</v>
      </c>
      <c r="E185" t="s">
        <v>126</v>
      </c>
      <c r="F185" t="s">
        <v>445</v>
      </c>
    </row>
    <row r="186" spans="1:7" x14ac:dyDescent="0.25">
      <c r="A186" t="s">
        <v>442</v>
      </c>
      <c r="B186" s="46" t="s">
        <v>375</v>
      </c>
      <c r="C186" s="46" t="s">
        <v>10</v>
      </c>
      <c r="D186" t="s">
        <v>356</v>
      </c>
      <c r="E186" t="s">
        <v>126</v>
      </c>
      <c r="F186" t="s">
        <v>447</v>
      </c>
    </row>
    <row r="187" spans="1:7" x14ac:dyDescent="0.25">
      <c r="A187" t="s">
        <v>433</v>
      </c>
      <c r="B187" s="46" t="s">
        <v>355</v>
      </c>
      <c r="C187" s="46" t="s">
        <v>20</v>
      </c>
      <c r="D187" t="s">
        <v>356</v>
      </c>
      <c r="E187" t="s">
        <v>357</v>
      </c>
      <c r="F187" t="s">
        <v>12</v>
      </c>
      <c r="G187" s="2" t="s">
        <v>640</v>
      </c>
    </row>
    <row r="188" spans="1:7" x14ac:dyDescent="0.25">
      <c r="A188" t="s">
        <v>441</v>
      </c>
      <c r="B188" s="46" t="s">
        <v>358</v>
      </c>
      <c r="C188" s="46" t="s">
        <v>10</v>
      </c>
      <c r="D188" t="s">
        <v>356</v>
      </c>
      <c r="E188" t="s">
        <v>357</v>
      </c>
      <c r="F188" t="s">
        <v>443</v>
      </c>
      <c r="G188" s="2" t="s">
        <v>641</v>
      </c>
    </row>
    <row r="189" spans="1:7" x14ac:dyDescent="0.25">
      <c r="A189" t="s">
        <v>360</v>
      </c>
      <c r="B189" s="46" t="s">
        <v>360</v>
      </c>
      <c r="C189" s="46" t="s">
        <v>10</v>
      </c>
      <c r="D189" t="s">
        <v>356</v>
      </c>
      <c r="E189" t="s">
        <v>357</v>
      </c>
      <c r="F189" t="s">
        <v>443</v>
      </c>
      <c r="G189" s="2" t="s">
        <v>643</v>
      </c>
    </row>
    <row r="190" spans="1:7" x14ac:dyDescent="0.25">
      <c r="A190" t="s">
        <v>99</v>
      </c>
      <c r="B190" s="46" t="s">
        <v>359</v>
      </c>
      <c r="C190" s="46" t="s">
        <v>45</v>
      </c>
      <c r="D190" t="s">
        <v>356</v>
      </c>
      <c r="E190" t="s">
        <v>357</v>
      </c>
      <c r="F190" t="s">
        <v>443</v>
      </c>
      <c r="G190" s="2" t="s">
        <v>642</v>
      </c>
    </row>
    <row r="191" spans="1:7" x14ac:dyDescent="0.25">
      <c r="A191" t="s">
        <v>297</v>
      </c>
      <c r="B191" s="46" t="s">
        <v>371</v>
      </c>
      <c r="D191" t="s">
        <v>356</v>
      </c>
      <c r="E191" t="s">
        <v>357</v>
      </c>
      <c r="F191" t="s">
        <v>15</v>
      </c>
      <c r="G191" s="2" t="s">
        <v>644</v>
      </c>
    </row>
    <row r="192" spans="1:7" x14ac:dyDescent="0.25">
      <c r="A192" t="s">
        <v>306</v>
      </c>
      <c r="B192" s="46" t="s">
        <v>306</v>
      </c>
      <c r="D192" t="s">
        <v>356</v>
      </c>
      <c r="E192" t="s">
        <v>357</v>
      </c>
      <c r="F192" t="s">
        <v>15</v>
      </c>
      <c r="G192" s="2" t="s">
        <v>645</v>
      </c>
    </row>
    <row r="193" spans="1:7" x14ac:dyDescent="0.25">
      <c r="A193" t="s">
        <v>434</v>
      </c>
      <c r="B193" s="46" t="s">
        <v>361</v>
      </c>
      <c r="C193" s="46" t="s">
        <v>10</v>
      </c>
      <c r="D193" t="s">
        <v>356</v>
      </c>
      <c r="E193" t="s">
        <v>357</v>
      </c>
      <c r="F193" t="s">
        <v>15</v>
      </c>
      <c r="G193" s="2" t="s">
        <v>646</v>
      </c>
    </row>
    <row r="194" spans="1:7" x14ac:dyDescent="0.25">
      <c r="A194" t="s">
        <v>363</v>
      </c>
      <c r="B194" s="46" t="s">
        <v>363</v>
      </c>
      <c r="C194" s="46" t="s">
        <v>10</v>
      </c>
      <c r="D194" t="s">
        <v>356</v>
      </c>
      <c r="E194" t="s">
        <v>357</v>
      </c>
      <c r="F194" t="s">
        <v>21</v>
      </c>
    </row>
    <row r="195" spans="1:7" x14ac:dyDescent="0.25">
      <c r="A195" t="s">
        <v>435</v>
      </c>
      <c r="B195" s="46" t="s">
        <v>362</v>
      </c>
      <c r="C195" s="46" t="s">
        <v>10</v>
      </c>
      <c r="D195" t="s">
        <v>356</v>
      </c>
      <c r="E195" t="s">
        <v>357</v>
      </c>
      <c r="F195" t="s">
        <v>21</v>
      </c>
    </row>
    <row r="196" spans="1:7" x14ac:dyDescent="0.25">
      <c r="A196" t="s">
        <v>216</v>
      </c>
      <c r="B196" s="46" t="s">
        <v>216</v>
      </c>
      <c r="D196" t="s">
        <v>356</v>
      </c>
      <c r="E196" t="s">
        <v>357</v>
      </c>
      <c r="F196" t="s">
        <v>444</v>
      </c>
      <c r="G196" s="2"/>
    </row>
    <row r="197" spans="1:7" x14ac:dyDescent="0.25">
      <c r="A197" t="s">
        <v>438</v>
      </c>
      <c r="B197" s="46" t="s">
        <v>364</v>
      </c>
      <c r="C197" s="46" t="s">
        <v>10</v>
      </c>
      <c r="D197" t="s">
        <v>356</v>
      </c>
      <c r="E197" t="s">
        <v>357</v>
      </c>
      <c r="F197" t="s">
        <v>444</v>
      </c>
      <c r="G197" s="2"/>
    </row>
    <row r="198" spans="1:7" x14ac:dyDescent="0.25">
      <c r="A198" t="s">
        <v>418</v>
      </c>
      <c r="B198" s="46" t="s">
        <v>372</v>
      </c>
      <c r="D198" t="s">
        <v>356</v>
      </c>
      <c r="E198" t="s">
        <v>357</v>
      </c>
      <c r="F198" t="s">
        <v>444</v>
      </c>
      <c r="G198" s="2"/>
    </row>
    <row r="199" spans="1:7" x14ac:dyDescent="0.25">
      <c r="A199" t="s">
        <v>439</v>
      </c>
      <c r="B199" s="46" t="s">
        <v>366</v>
      </c>
      <c r="C199" s="46" t="s">
        <v>10</v>
      </c>
      <c r="D199" t="s">
        <v>356</v>
      </c>
      <c r="E199" t="s">
        <v>357</v>
      </c>
      <c r="F199" t="s">
        <v>445</v>
      </c>
    </row>
    <row r="200" spans="1:7" x14ac:dyDescent="0.25">
      <c r="A200" t="s">
        <v>367</v>
      </c>
      <c r="B200" s="46" t="s">
        <v>367</v>
      </c>
      <c r="C200" s="46" t="s">
        <v>10</v>
      </c>
      <c r="D200" t="s">
        <v>356</v>
      </c>
      <c r="E200" t="s">
        <v>357</v>
      </c>
      <c r="F200" t="s">
        <v>445</v>
      </c>
    </row>
    <row r="201" spans="1:7" x14ac:dyDescent="0.25">
      <c r="A201" t="s">
        <v>437</v>
      </c>
      <c r="B201" s="46" t="s">
        <v>365</v>
      </c>
      <c r="C201" s="46" t="s">
        <v>10</v>
      </c>
      <c r="D201" t="s">
        <v>356</v>
      </c>
      <c r="E201" t="s">
        <v>357</v>
      </c>
      <c r="F201" t="s">
        <v>445</v>
      </c>
    </row>
    <row r="202" spans="1:7" x14ac:dyDescent="0.25">
      <c r="A202" t="s">
        <v>368</v>
      </c>
      <c r="B202" s="46" t="s">
        <v>368</v>
      </c>
      <c r="C202" s="46" t="s">
        <v>10</v>
      </c>
      <c r="D202" t="s">
        <v>356</v>
      </c>
      <c r="E202" t="s">
        <v>357</v>
      </c>
      <c r="F202" t="s">
        <v>446</v>
      </c>
      <c r="G202" s="2"/>
    </row>
    <row r="203" spans="1:7" x14ac:dyDescent="0.25">
      <c r="A203" t="s">
        <v>269</v>
      </c>
      <c r="B203" s="46" t="s">
        <v>270</v>
      </c>
      <c r="C203" s="46"/>
      <c r="D203" t="s">
        <v>356</v>
      </c>
      <c r="E203" t="s">
        <v>357</v>
      </c>
      <c r="F203" t="s">
        <v>446</v>
      </c>
      <c r="G203" s="2"/>
    </row>
    <row r="204" spans="1:7" x14ac:dyDescent="0.25">
      <c r="A204" t="s">
        <v>436</v>
      </c>
      <c r="B204" s="46" t="s">
        <v>369</v>
      </c>
      <c r="C204" s="46" t="s">
        <v>10</v>
      </c>
      <c r="D204" t="s">
        <v>356</v>
      </c>
      <c r="E204" t="s">
        <v>357</v>
      </c>
      <c r="F204" t="s">
        <v>447</v>
      </c>
    </row>
    <row r="205" spans="1:7" x14ac:dyDescent="0.25">
      <c r="A205" t="s">
        <v>370</v>
      </c>
      <c r="B205" s="46" t="s">
        <v>370</v>
      </c>
      <c r="C205" s="46" t="s">
        <v>10</v>
      </c>
      <c r="D205" t="s">
        <v>356</v>
      </c>
      <c r="E205" t="s">
        <v>357</v>
      </c>
      <c r="F205" t="s">
        <v>447</v>
      </c>
    </row>
    <row r="206" spans="1:7" x14ac:dyDescent="0.25">
      <c r="A206" t="s">
        <v>648</v>
      </c>
      <c r="B206" t="s">
        <v>921</v>
      </c>
      <c r="D206" t="s">
        <v>577</v>
      </c>
      <c r="E206" t="s">
        <v>206</v>
      </c>
      <c r="G206" t="s">
        <v>719</v>
      </c>
    </row>
    <row r="207" spans="1:7" x14ac:dyDescent="0.25">
      <c r="A207" t="s">
        <v>647</v>
      </c>
      <c r="B207" t="s">
        <v>922</v>
      </c>
      <c r="D207" t="s">
        <v>577</v>
      </c>
      <c r="E207" t="s">
        <v>206</v>
      </c>
      <c r="G207" t="s">
        <v>720</v>
      </c>
    </row>
    <row r="208" spans="1:7" x14ac:dyDescent="0.25">
      <c r="A208" t="s">
        <v>469</v>
      </c>
      <c r="B208" t="s">
        <v>511</v>
      </c>
      <c r="C208" t="s">
        <v>45</v>
      </c>
      <c r="D208" t="s">
        <v>577</v>
      </c>
      <c r="E208" t="s">
        <v>304</v>
      </c>
      <c r="F208" t="s">
        <v>12</v>
      </c>
      <c r="G208" t="s">
        <v>651</v>
      </c>
    </row>
    <row r="209" spans="1:7" x14ac:dyDescent="0.25">
      <c r="A209" t="s">
        <v>591</v>
      </c>
      <c r="B209" t="s">
        <v>512</v>
      </c>
      <c r="C209" t="s">
        <v>10</v>
      </c>
      <c r="D209" t="s">
        <v>577</v>
      </c>
      <c r="E209" t="s">
        <v>304</v>
      </c>
      <c r="F209" t="s">
        <v>12</v>
      </c>
      <c r="G209" t="s">
        <v>649</v>
      </c>
    </row>
    <row r="210" spans="1:7" x14ac:dyDescent="0.25">
      <c r="A210" t="s">
        <v>582</v>
      </c>
      <c r="B210" t="s">
        <v>513</v>
      </c>
      <c r="C210" t="s">
        <v>45</v>
      </c>
      <c r="D210" t="s">
        <v>577</v>
      </c>
      <c r="E210" t="s">
        <v>304</v>
      </c>
      <c r="F210" t="s">
        <v>443</v>
      </c>
      <c r="G210" t="s">
        <v>650</v>
      </c>
    </row>
    <row r="211" spans="1:7" x14ac:dyDescent="0.25">
      <c r="A211" t="s">
        <v>589</v>
      </c>
      <c r="B211" t="s">
        <v>544</v>
      </c>
      <c r="C211" s="47"/>
      <c r="D211" t="s">
        <v>577</v>
      </c>
      <c r="E211" t="s">
        <v>304</v>
      </c>
      <c r="F211" t="s">
        <v>443</v>
      </c>
      <c r="G211" t="s">
        <v>652</v>
      </c>
    </row>
    <row r="212" spans="1:7" x14ac:dyDescent="0.25">
      <c r="A212" t="s">
        <v>583</v>
      </c>
      <c r="B212" t="s">
        <v>543</v>
      </c>
      <c r="C212" s="47"/>
      <c r="D212" t="s">
        <v>577</v>
      </c>
      <c r="E212" t="s">
        <v>304</v>
      </c>
      <c r="F212" t="s">
        <v>443</v>
      </c>
      <c r="G212" t="s">
        <v>712</v>
      </c>
    </row>
    <row r="213" spans="1:7" x14ac:dyDescent="0.25">
      <c r="A213" t="s">
        <v>584</v>
      </c>
      <c r="B213" t="s">
        <v>514</v>
      </c>
      <c r="C213" t="s">
        <v>10</v>
      </c>
      <c r="D213" t="s">
        <v>577</v>
      </c>
      <c r="E213" t="s">
        <v>304</v>
      </c>
      <c r="F213" t="s">
        <v>21</v>
      </c>
      <c r="G213" t="s">
        <v>653</v>
      </c>
    </row>
    <row r="214" spans="1:7" x14ac:dyDescent="0.25">
      <c r="A214" t="s">
        <v>590</v>
      </c>
      <c r="B214" t="s">
        <v>545</v>
      </c>
      <c r="C214" s="47"/>
      <c r="D214" t="s">
        <v>577</v>
      </c>
      <c r="E214" t="s">
        <v>304</v>
      </c>
      <c r="F214" t="s">
        <v>445</v>
      </c>
      <c r="G214" t="s">
        <v>654</v>
      </c>
    </row>
    <row r="215" spans="1:7" x14ac:dyDescent="0.25">
      <c r="A215" t="s">
        <v>585</v>
      </c>
      <c r="B215" t="s">
        <v>546</v>
      </c>
      <c r="C215" s="47"/>
      <c r="D215" t="s">
        <v>577</v>
      </c>
      <c r="E215" t="s">
        <v>304</v>
      </c>
      <c r="F215" t="s">
        <v>446</v>
      </c>
      <c r="G215" t="s">
        <v>657</v>
      </c>
    </row>
    <row r="216" spans="1:7" x14ac:dyDescent="0.25">
      <c r="A216" t="s">
        <v>286</v>
      </c>
      <c r="B216" t="s">
        <v>548</v>
      </c>
      <c r="C216" s="47"/>
      <c r="D216" t="s">
        <v>577</v>
      </c>
      <c r="E216" t="s">
        <v>304</v>
      </c>
      <c r="F216" t="s">
        <v>447</v>
      </c>
      <c r="G216" t="s">
        <v>656</v>
      </c>
    </row>
    <row r="217" spans="1:7" x14ac:dyDescent="0.25">
      <c r="A217" t="s">
        <v>384</v>
      </c>
      <c r="B217" t="s">
        <v>547</v>
      </c>
      <c r="C217" s="47"/>
      <c r="D217" t="s">
        <v>577</v>
      </c>
      <c r="E217" t="s">
        <v>304</v>
      </c>
      <c r="F217" t="s">
        <v>447</v>
      </c>
      <c r="G217" t="s">
        <v>658</v>
      </c>
    </row>
    <row r="218" spans="1:7" x14ac:dyDescent="0.25">
      <c r="A218" t="s">
        <v>592</v>
      </c>
      <c r="B218" t="s">
        <v>515</v>
      </c>
      <c r="C218" t="s">
        <v>45</v>
      </c>
      <c r="D218" t="s">
        <v>577</v>
      </c>
      <c r="E218" t="s">
        <v>304</v>
      </c>
      <c r="F218" t="s">
        <v>447</v>
      </c>
      <c r="G218" t="s">
        <v>655</v>
      </c>
    </row>
    <row r="219" spans="1:7" x14ac:dyDescent="0.25">
      <c r="A219" t="s">
        <v>593</v>
      </c>
      <c r="B219" t="s">
        <v>516</v>
      </c>
      <c r="C219" t="s">
        <v>10</v>
      </c>
      <c r="D219" t="s">
        <v>577</v>
      </c>
      <c r="E219" t="s">
        <v>578</v>
      </c>
      <c r="F219" t="s">
        <v>12</v>
      </c>
      <c r="G219" t="s">
        <v>659</v>
      </c>
    </row>
    <row r="220" spans="1:7" x14ac:dyDescent="0.25">
      <c r="A220" t="s">
        <v>586</v>
      </c>
      <c r="B220" t="s">
        <v>550</v>
      </c>
      <c r="C220" s="47"/>
      <c r="D220" t="s">
        <v>577</v>
      </c>
      <c r="E220" t="s">
        <v>578</v>
      </c>
      <c r="F220" t="s">
        <v>443</v>
      </c>
      <c r="G220" t="s">
        <v>676</v>
      </c>
    </row>
    <row r="221" spans="1:7" x14ac:dyDescent="0.25">
      <c r="A221" t="s">
        <v>476</v>
      </c>
      <c r="B221" t="s">
        <v>549</v>
      </c>
      <c r="C221" s="47"/>
      <c r="D221" t="s">
        <v>577</v>
      </c>
      <c r="E221" t="s">
        <v>578</v>
      </c>
      <c r="F221" t="s">
        <v>443</v>
      </c>
      <c r="G221" t="s">
        <v>660</v>
      </c>
    </row>
    <row r="222" spans="1:7" x14ac:dyDescent="0.25">
      <c r="A222" t="s">
        <v>628</v>
      </c>
      <c r="B222" t="s">
        <v>518</v>
      </c>
      <c r="C222" t="s">
        <v>10</v>
      </c>
      <c r="D222" t="s">
        <v>577</v>
      </c>
      <c r="E222" t="s">
        <v>578</v>
      </c>
      <c r="F222" t="s">
        <v>15</v>
      </c>
      <c r="G222" t="s">
        <v>661</v>
      </c>
    </row>
    <row r="223" spans="1:7" x14ac:dyDescent="0.25">
      <c r="A223" t="s">
        <v>668</v>
      </c>
      <c r="B223" t="s">
        <v>517</v>
      </c>
      <c r="C223" t="s">
        <v>10</v>
      </c>
      <c r="D223" t="s">
        <v>577</v>
      </c>
      <c r="E223" t="s">
        <v>578</v>
      </c>
      <c r="F223" t="s">
        <v>15</v>
      </c>
      <c r="G223" t="s">
        <v>669</v>
      </c>
    </row>
    <row r="224" spans="1:7" x14ac:dyDescent="0.25">
      <c r="A224" t="s">
        <v>594</v>
      </c>
      <c r="B224" t="s">
        <v>519</v>
      </c>
      <c r="C224" t="s">
        <v>10</v>
      </c>
      <c r="D224" t="s">
        <v>577</v>
      </c>
      <c r="E224" t="s">
        <v>578</v>
      </c>
      <c r="F224" t="s">
        <v>15</v>
      </c>
      <c r="G224" t="s">
        <v>662</v>
      </c>
    </row>
    <row r="225" spans="1:7" x14ac:dyDescent="0.25">
      <c r="A225" t="s">
        <v>595</v>
      </c>
      <c r="B225" t="s">
        <v>520</v>
      </c>
      <c r="C225" t="s">
        <v>45</v>
      </c>
      <c r="D225" t="s">
        <v>577</v>
      </c>
      <c r="E225" t="s">
        <v>578</v>
      </c>
      <c r="F225" t="s">
        <v>21</v>
      </c>
      <c r="G225" t="s">
        <v>663</v>
      </c>
    </row>
    <row r="226" spans="1:7" x14ac:dyDescent="0.25">
      <c r="A226" t="s">
        <v>596</v>
      </c>
      <c r="B226" t="s">
        <v>551</v>
      </c>
      <c r="C226" s="47"/>
      <c r="D226" t="s">
        <v>577</v>
      </c>
      <c r="E226" t="s">
        <v>578</v>
      </c>
      <c r="F226" t="s">
        <v>21</v>
      </c>
      <c r="G226" t="s">
        <v>672</v>
      </c>
    </row>
    <row r="227" spans="1:7" x14ac:dyDescent="0.25">
      <c r="A227" t="s">
        <v>597</v>
      </c>
      <c r="B227" t="s">
        <v>552</v>
      </c>
      <c r="C227" s="47"/>
      <c r="D227" t="s">
        <v>577</v>
      </c>
      <c r="E227" t="s">
        <v>578</v>
      </c>
      <c r="F227" t="s">
        <v>21</v>
      </c>
      <c r="G227" t="s">
        <v>675</v>
      </c>
    </row>
    <row r="228" spans="1:7" x14ac:dyDescent="0.25">
      <c r="A228" t="s">
        <v>587</v>
      </c>
      <c r="B228" t="s">
        <v>554</v>
      </c>
      <c r="C228" s="47"/>
      <c r="D228" t="s">
        <v>577</v>
      </c>
      <c r="E228" t="s">
        <v>578</v>
      </c>
      <c r="F228" t="s">
        <v>444</v>
      </c>
      <c r="G228" t="s">
        <v>665</v>
      </c>
    </row>
    <row r="229" spans="1:7" x14ac:dyDescent="0.25">
      <c r="A229" t="s">
        <v>598</v>
      </c>
      <c r="B229" t="s">
        <v>553</v>
      </c>
      <c r="C229" s="47"/>
      <c r="D229" t="s">
        <v>577</v>
      </c>
      <c r="E229" t="s">
        <v>578</v>
      </c>
      <c r="F229" t="s">
        <v>444</v>
      </c>
      <c r="G229" t="s">
        <v>674</v>
      </c>
    </row>
    <row r="230" spans="1:7" x14ac:dyDescent="0.25">
      <c r="A230" t="s">
        <v>599</v>
      </c>
      <c r="B230" t="s">
        <v>521</v>
      </c>
      <c r="C230" t="s">
        <v>10</v>
      </c>
      <c r="D230" t="s">
        <v>577</v>
      </c>
      <c r="E230" t="s">
        <v>578</v>
      </c>
      <c r="F230" t="s">
        <v>444</v>
      </c>
      <c r="G230" t="s">
        <v>664</v>
      </c>
    </row>
    <row r="231" spans="1:7" x14ac:dyDescent="0.25">
      <c r="A231" t="s">
        <v>588</v>
      </c>
      <c r="B231" t="s">
        <v>522</v>
      </c>
      <c r="C231" t="s">
        <v>10</v>
      </c>
      <c r="D231" t="s">
        <v>577</v>
      </c>
      <c r="E231" t="s">
        <v>578</v>
      </c>
      <c r="F231" t="s">
        <v>445</v>
      </c>
      <c r="G231" t="s">
        <v>671</v>
      </c>
    </row>
    <row r="232" spans="1:7" x14ac:dyDescent="0.25">
      <c r="A232" t="s">
        <v>677</v>
      </c>
      <c r="B232" t="s">
        <v>523</v>
      </c>
      <c r="C232" t="s">
        <v>10</v>
      </c>
      <c r="D232" t="s">
        <v>577</v>
      </c>
      <c r="E232" t="s">
        <v>578</v>
      </c>
      <c r="F232" t="s">
        <v>445</v>
      </c>
      <c r="G232" t="s">
        <v>678</v>
      </c>
    </row>
    <row r="233" spans="1:7" x14ac:dyDescent="0.25">
      <c r="A233" t="s">
        <v>472</v>
      </c>
      <c r="B233" t="s">
        <v>555</v>
      </c>
      <c r="C233" s="47"/>
      <c r="D233" t="s">
        <v>577</v>
      </c>
      <c r="E233" t="s">
        <v>578</v>
      </c>
      <c r="F233" t="s">
        <v>446</v>
      </c>
      <c r="G233" t="s">
        <v>666</v>
      </c>
    </row>
    <row r="234" spans="1:7" x14ac:dyDescent="0.25">
      <c r="A234" t="s">
        <v>600</v>
      </c>
      <c r="B234" t="s">
        <v>556</v>
      </c>
      <c r="C234" s="47"/>
      <c r="D234" t="s">
        <v>577</v>
      </c>
      <c r="E234" t="s">
        <v>578</v>
      </c>
      <c r="F234" t="s">
        <v>446</v>
      </c>
      <c r="G234" t="s">
        <v>667</v>
      </c>
    </row>
    <row r="235" spans="1:7" x14ac:dyDescent="0.25">
      <c r="A235" t="s">
        <v>601</v>
      </c>
      <c r="B235" t="s">
        <v>557</v>
      </c>
      <c r="C235" s="47"/>
      <c r="D235" t="s">
        <v>577</v>
      </c>
      <c r="E235" t="s">
        <v>578</v>
      </c>
      <c r="F235" t="s">
        <v>447</v>
      </c>
      <c r="G235" t="s">
        <v>670</v>
      </c>
    </row>
    <row r="236" spans="1:7" x14ac:dyDescent="0.25">
      <c r="A236" t="s">
        <v>602</v>
      </c>
      <c r="B236" t="s">
        <v>524</v>
      </c>
      <c r="C236" t="s">
        <v>10</v>
      </c>
      <c r="D236" t="s">
        <v>577</v>
      </c>
      <c r="E236" t="s">
        <v>578</v>
      </c>
      <c r="F236" t="s">
        <v>447</v>
      </c>
      <c r="G236" t="s">
        <v>673</v>
      </c>
    </row>
    <row r="237" spans="1:7" x14ac:dyDescent="0.25">
      <c r="A237" t="s">
        <v>603</v>
      </c>
      <c r="B237" t="s">
        <v>525</v>
      </c>
      <c r="C237" t="s">
        <v>45</v>
      </c>
      <c r="D237" t="s">
        <v>577</v>
      </c>
      <c r="E237" t="s">
        <v>479</v>
      </c>
      <c r="F237" t="s">
        <v>443</v>
      </c>
      <c r="G237" t="s">
        <v>689</v>
      </c>
    </row>
    <row r="238" spans="1:7" x14ac:dyDescent="0.25">
      <c r="A238" t="s">
        <v>604</v>
      </c>
      <c r="B238" t="s">
        <v>526</v>
      </c>
      <c r="C238" t="s">
        <v>45</v>
      </c>
      <c r="D238" t="s">
        <v>577</v>
      </c>
      <c r="E238" t="s">
        <v>479</v>
      </c>
      <c r="F238" t="s">
        <v>443</v>
      </c>
      <c r="G238" t="s">
        <v>691</v>
      </c>
    </row>
    <row r="239" spans="1:7" x14ac:dyDescent="0.25">
      <c r="A239" t="s">
        <v>605</v>
      </c>
      <c r="B239" t="s">
        <v>558</v>
      </c>
      <c r="C239" s="47"/>
      <c r="D239" t="s">
        <v>577</v>
      </c>
      <c r="E239" t="s">
        <v>479</v>
      </c>
      <c r="F239" t="s">
        <v>15</v>
      </c>
      <c r="G239" t="s">
        <v>685</v>
      </c>
    </row>
    <row r="240" spans="1:7" x14ac:dyDescent="0.25">
      <c r="A240" t="s">
        <v>679</v>
      </c>
      <c r="B240" t="s">
        <v>527</v>
      </c>
      <c r="C240" t="s">
        <v>10</v>
      </c>
      <c r="D240" t="s">
        <v>577</v>
      </c>
      <c r="E240" t="s">
        <v>479</v>
      </c>
      <c r="F240" t="s">
        <v>15</v>
      </c>
      <c r="G240" t="s">
        <v>680</v>
      </c>
    </row>
    <row r="241" spans="1:7" x14ac:dyDescent="0.25">
      <c r="A241" t="s">
        <v>683</v>
      </c>
      <c r="B241" t="s">
        <v>560</v>
      </c>
      <c r="C241" s="47"/>
      <c r="D241" t="s">
        <v>577</v>
      </c>
      <c r="E241" t="s">
        <v>479</v>
      </c>
      <c r="F241" t="s">
        <v>21</v>
      </c>
      <c r="G241" t="s">
        <v>682</v>
      </c>
    </row>
    <row r="242" spans="1:7" x14ac:dyDescent="0.25">
      <c r="A242" t="s">
        <v>477</v>
      </c>
      <c r="B242" t="s">
        <v>559</v>
      </c>
      <c r="C242" s="47"/>
      <c r="D242" t="s">
        <v>577</v>
      </c>
      <c r="E242" t="s">
        <v>479</v>
      </c>
      <c r="F242" t="s">
        <v>21</v>
      </c>
      <c r="G242" t="s">
        <v>694</v>
      </c>
    </row>
    <row r="243" spans="1:7" x14ac:dyDescent="0.25">
      <c r="A243" t="s">
        <v>606</v>
      </c>
      <c r="B243" t="s">
        <v>528</v>
      </c>
      <c r="C243" t="s">
        <v>45</v>
      </c>
      <c r="D243" t="s">
        <v>577</v>
      </c>
      <c r="E243" t="s">
        <v>479</v>
      </c>
      <c r="F243" t="s">
        <v>444</v>
      </c>
      <c r="G243" t="s">
        <v>688</v>
      </c>
    </row>
    <row r="244" spans="1:7" x14ac:dyDescent="0.25">
      <c r="A244" t="s">
        <v>607</v>
      </c>
      <c r="B244" t="s">
        <v>561</v>
      </c>
      <c r="C244" s="47"/>
      <c r="D244" t="s">
        <v>577</v>
      </c>
      <c r="E244" t="s">
        <v>479</v>
      </c>
      <c r="F244" t="s">
        <v>444</v>
      </c>
      <c r="G244" t="s">
        <v>687</v>
      </c>
    </row>
    <row r="245" spans="1:7" x14ac:dyDescent="0.25">
      <c r="A245" t="s">
        <v>608</v>
      </c>
      <c r="B245" t="s">
        <v>562</v>
      </c>
      <c r="C245" s="47"/>
      <c r="D245" t="s">
        <v>577</v>
      </c>
      <c r="E245" t="s">
        <v>479</v>
      </c>
      <c r="F245" t="s">
        <v>445</v>
      </c>
      <c r="G245" t="s">
        <v>681</v>
      </c>
    </row>
    <row r="246" spans="1:7" x14ac:dyDescent="0.25">
      <c r="A246" t="s">
        <v>510</v>
      </c>
      <c r="B246" t="s">
        <v>529</v>
      </c>
      <c r="C246" t="s">
        <v>45</v>
      </c>
      <c r="D246" t="s">
        <v>577</v>
      </c>
      <c r="E246" t="s">
        <v>479</v>
      </c>
      <c r="F246" t="s">
        <v>446</v>
      </c>
      <c r="G246" t="s">
        <v>684</v>
      </c>
    </row>
    <row r="247" spans="1:7" x14ac:dyDescent="0.25">
      <c r="A247" t="s">
        <v>693</v>
      </c>
      <c r="B247" t="s">
        <v>563</v>
      </c>
      <c r="C247" s="47"/>
      <c r="D247" t="s">
        <v>577</v>
      </c>
      <c r="E247" t="s">
        <v>479</v>
      </c>
      <c r="F247" t="s">
        <v>446</v>
      </c>
      <c r="G247" t="s">
        <v>692</v>
      </c>
    </row>
    <row r="248" spans="1:7" x14ac:dyDescent="0.25">
      <c r="A248" t="s">
        <v>609</v>
      </c>
      <c r="B248" t="s">
        <v>564</v>
      </c>
      <c r="C248" s="47"/>
      <c r="D248" t="s">
        <v>577</v>
      </c>
      <c r="E248" t="s">
        <v>479</v>
      </c>
      <c r="F248" t="s">
        <v>447</v>
      </c>
      <c r="G248" t="s">
        <v>690</v>
      </c>
    </row>
    <row r="249" spans="1:7" x14ac:dyDescent="0.25">
      <c r="A249" t="s">
        <v>629</v>
      </c>
      <c r="B249" t="s">
        <v>530</v>
      </c>
      <c r="C249" t="s">
        <v>10</v>
      </c>
      <c r="D249" t="s">
        <v>577</v>
      </c>
      <c r="E249" t="s">
        <v>479</v>
      </c>
      <c r="F249" t="s">
        <v>447</v>
      </c>
      <c r="G249" t="s">
        <v>686</v>
      </c>
    </row>
    <row r="250" spans="1:7" x14ac:dyDescent="0.25">
      <c r="A250" t="s">
        <v>610</v>
      </c>
      <c r="B250" t="s">
        <v>565</v>
      </c>
      <c r="C250" s="47"/>
      <c r="D250" t="s">
        <v>577</v>
      </c>
      <c r="E250" t="s">
        <v>464</v>
      </c>
      <c r="F250" t="s">
        <v>12</v>
      </c>
      <c r="G250" t="s">
        <v>702</v>
      </c>
    </row>
    <row r="251" spans="1:7" x14ac:dyDescent="0.25">
      <c r="A251" t="s">
        <v>630</v>
      </c>
      <c r="B251" t="s">
        <v>532</v>
      </c>
      <c r="C251" t="s">
        <v>45</v>
      </c>
      <c r="D251" t="s">
        <v>577</v>
      </c>
      <c r="E251" t="s">
        <v>464</v>
      </c>
      <c r="F251" t="s">
        <v>443</v>
      </c>
      <c r="G251" t="s">
        <v>709</v>
      </c>
    </row>
    <row r="252" spans="1:7" x14ac:dyDescent="0.25">
      <c r="A252" t="s">
        <v>475</v>
      </c>
      <c r="B252" t="s">
        <v>531</v>
      </c>
      <c r="C252" t="s">
        <v>45</v>
      </c>
      <c r="D252" t="s">
        <v>577</v>
      </c>
      <c r="E252" t="s">
        <v>464</v>
      </c>
      <c r="F252" t="s">
        <v>443</v>
      </c>
      <c r="G252" t="s">
        <v>708</v>
      </c>
    </row>
    <row r="253" spans="1:7" x14ac:dyDescent="0.25">
      <c r="A253" t="s">
        <v>611</v>
      </c>
      <c r="B253" t="s">
        <v>566</v>
      </c>
      <c r="C253" s="47"/>
      <c r="D253" t="s">
        <v>577</v>
      </c>
      <c r="E253" t="s">
        <v>464</v>
      </c>
      <c r="F253" t="s">
        <v>21</v>
      </c>
      <c r="G253" t="s">
        <v>706</v>
      </c>
    </row>
    <row r="254" spans="1:7" x14ac:dyDescent="0.25">
      <c r="A254" t="s">
        <v>612</v>
      </c>
      <c r="B254" t="s">
        <v>567</v>
      </c>
      <c r="C254" s="47"/>
      <c r="D254" t="s">
        <v>577</v>
      </c>
      <c r="E254" t="s">
        <v>464</v>
      </c>
      <c r="F254" t="s">
        <v>444</v>
      </c>
      <c r="G254" t="s">
        <v>710</v>
      </c>
    </row>
    <row r="255" spans="1:7" x14ac:dyDescent="0.25">
      <c r="A255" t="s">
        <v>613</v>
      </c>
      <c r="B255" t="s">
        <v>534</v>
      </c>
      <c r="C255" t="s">
        <v>45</v>
      </c>
      <c r="D255" t="s">
        <v>577</v>
      </c>
      <c r="E255" t="s">
        <v>464</v>
      </c>
      <c r="F255" t="s">
        <v>445</v>
      </c>
      <c r="G255" t="s">
        <v>707</v>
      </c>
    </row>
    <row r="256" spans="1:7" x14ac:dyDescent="0.25">
      <c r="A256" t="s">
        <v>614</v>
      </c>
      <c r="B256" t="s">
        <v>533</v>
      </c>
      <c r="C256" t="s">
        <v>45</v>
      </c>
      <c r="D256" t="s">
        <v>577</v>
      </c>
      <c r="E256" t="s">
        <v>464</v>
      </c>
      <c r="F256" t="s">
        <v>445</v>
      </c>
      <c r="G256" t="s">
        <v>703</v>
      </c>
    </row>
    <row r="257" spans="1:7" x14ac:dyDescent="0.25">
      <c r="A257" t="s">
        <v>615</v>
      </c>
      <c r="B257" t="s">
        <v>535</v>
      </c>
      <c r="C257" t="s">
        <v>45</v>
      </c>
      <c r="D257" t="s">
        <v>577</v>
      </c>
      <c r="E257" t="s">
        <v>464</v>
      </c>
      <c r="F257" t="s">
        <v>447</v>
      </c>
      <c r="G257" t="s">
        <v>704</v>
      </c>
    </row>
    <row r="258" spans="1:7" x14ac:dyDescent="0.25">
      <c r="A258" t="s">
        <v>631</v>
      </c>
      <c r="B258" t="s">
        <v>536</v>
      </c>
      <c r="C258" t="s">
        <v>45</v>
      </c>
      <c r="D258" t="s">
        <v>577</v>
      </c>
      <c r="E258" t="s">
        <v>464</v>
      </c>
      <c r="F258" t="s">
        <v>447</v>
      </c>
      <c r="G258" t="s">
        <v>705</v>
      </c>
    </row>
    <row r="259" spans="1:7" x14ac:dyDescent="0.25">
      <c r="A259" t="s">
        <v>616</v>
      </c>
      <c r="B259" t="s">
        <v>568</v>
      </c>
      <c r="C259" s="47"/>
      <c r="D259" t="s">
        <v>577</v>
      </c>
      <c r="E259" t="s">
        <v>579</v>
      </c>
      <c r="F259" t="s">
        <v>15</v>
      </c>
      <c r="G259" t="s">
        <v>718</v>
      </c>
    </row>
    <row r="260" spans="1:7" x14ac:dyDescent="0.25">
      <c r="A260" t="s">
        <v>633</v>
      </c>
      <c r="B260" t="s">
        <v>537</v>
      </c>
      <c r="C260" t="s">
        <v>45</v>
      </c>
      <c r="D260" t="s">
        <v>577</v>
      </c>
      <c r="E260" t="s">
        <v>579</v>
      </c>
      <c r="F260" t="s">
        <v>15</v>
      </c>
      <c r="G260" t="s">
        <v>717</v>
      </c>
    </row>
    <row r="261" spans="1:7" x14ac:dyDescent="0.25">
      <c r="A261" t="s">
        <v>617</v>
      </c>
      <c r="B261" t="s">
        <v>538</v>
      </c>
      <c r="C261" t="s">
        <v>10</v>
      </c>
      <c r="D261" t="s">
        <v>577</v>
      </c>
      <c r="E261" t="s">
        <v>580</v>
      </c>
      <c r="F261" t="s">
        <v>447</v>
      </c>
      <c r="G261" t="s">
        <v>711</v>
      </c>
    </row>
    <row r="262" spans="1:7" x14ac:dyDescent="0.25">
      <c r="A262" t="s">
        <v>618</v>
      </c>
      <c r="B262" t="s">
        <v>569</v>
      </c>
      <c r="C262" s="47"/>
      <c r="D262" t="s">
        <v>577</v>
      </c>
      <c r="E262" t="s">
        <v>581</v>
      </c>
      <c r="F262" t="s">
        <v>12</v>
      </c>
      <c r="G262" t="s">
        <v>715</v>
      </c>
    </row>
    <row r="263" spans="1:7" x14ac:dyDescent="0.25">
      <c r="A263" t="s">
        <v>619</v>
      </c>
      <c r="B263" t="s">
        <v>570</v>
      </c>
      <c r="C263" s="47"/>
      <c r="D263" t="s">
        <v>577</v>
      </c>
      <c r="E263" t="s">
        <v>581</v>
      </c>
      <c r="F263" t="s">
        <v>443</v>
      </c>
      <c r="G263" t="s">
        <v>716</v>
      </c>
    </row>
    <row r="264" spans="1:7" x14ac:dyDescent="0.25">
      <c r="A264" t="s">
        <v>620</v>
      </c>
      <c r="B264" t="s">
        <v>571</v>
      </c>
      <c r="C264" s="47"/>
      <c r="D264" t="s">
        <v>577</v>
      </c>
      <c r="E264" t="s">
        <v>581</v>
      </c>
      <c r="F264" t="s">
        <v>21</v>
      </c>
      <c r="G264" t="s">
        <v>713</v>
      </c>
    </row>
    <row r="265" spans="1:7" x14ac:dyDescent="0.25">
      <c r="A265" t="s">
        <v>950</v>
      </c>
      <c r="B265" t="s">
        <v>539</v>
      </c>
      <c r="C265" t="s">
        <v>45</v>
      </c>
      <c r="D265" t="s">
        <v>577</v>
      </c>
      <c r="E265" t="s">
        <v>354</v>
      </c>
      <c r="F265" t="s">
        <v>12</v>
      </c>
      <c r="G265" t="s">
        <v>695</v>
      </c>
    </row>
    <row r="266" spans="1:7" x14ac:dyDescent="0.25">
      <c r="A266" t="s">
        <v>621</v>
      </c>
      <c r="B266" t="s">
        <v>572</v>
      </c>
      <c r="C266" s="47"/>
      <c r="D266" t="s">
        <v>577</v>
      </c>
      <c r="E266" t="s">
        <v>354</v>
      </c>
      <c r="F266" t="s">
        <v>443</v>
      </c>
      <c r="G266" t="s">
        <v>699</v>
      </c>
    </row>
    <row r="267" spans="1:7" x14ac:dyDescent="0.25">
      <c r="A267" t="s">
        <v>622</v>
      </c>
      <c r="B267" t="s">
        <v>540</v>
      </c>
      <c r="C267" t="s">
        <v>45</v>
      </c>
      <c r="D267" t="s">
        <v>577</v>
      </c>
      <c r="E267" t="s">
        <v>354</v>
      </c>
      <c r="F267" t="s">
        <v>443</v>
      </c>
      <c r="G267" t="s">
        <v>696</v>
      </c>
    </row>
    <row r="268" spans="1:7" x14ac:dyDescent="0.25">
      <c r="A268" t="s">
        <v>623</v>
      </c>
      <c r="B268" t="s">
        <v>573</v>
      </c>
      <c r="C268" s="47"/>
      <c r="D268" t="s">
        <v>577</v>
      </c>
      <c r="E268" t="s">
        <v>354</v>
      </c>
      <c r="F268" t="s">
        <v>444</v>
      </c>
      <c r="G268" t="s">
        <v>700</v>
      </c>
    </row>
    <row r="269" spans="1:7" x14ac:dyDescent="0.25">
      <c r="A269" t="s">
        <v>624</v>
      </c>
      <c r="B269" t="s">
        <v>541</v>
      </c>
      <c r="C269" t="s">
        <v>45</v>
      </c>
      <c r="D269" t="s">
        <v>577</v>
      </c>
      <c r="E269" t="s">
        <v>354</v>
      </c>
      <c r="F269" t="s">
        <v>444</v>
      </c>
      <c r="G269" t="s">
        <v>701</v>
      </c>
    </row>
    <row r="270" spans="1:7" x14ac:dyDescent="0.25">
      <c r="A270" t="s">
        <v>625</v>
      </c>
      <c r="B270" t="s">
        <v>574</v>
      </c>
      <c r="C270" s="47"/>
      <c r="D270" t="s">
        <v>577</v>
      </c>
      <c r="E270" t="s">
        <v>354</v>
      </c>
      <c r="F270" t="s">
        <v>445</v>
      </c>
      <c r="G270" t="s">
        <v>714</v>
      </c>
    </row>
    <row r="271" spans="1:7" x14ac:dyDescent="0.25">
      <c r="A271" t="s">
        <v>632</v>
      </c>
      <c r="B271" t="s">
        <v>575</v>
      </c>
      <c r="C271" s="47"/>
      <c r="D271" t="s">
        <v>577</v>
      </c>
      <c r="E271" t="s">
        <v>354</v>
      </c>
      <c r="F271" t="s">
        <v>446</v>
      </c>
      <c r="G271" t="s">
        <v>721</v>
      </c>
    </row>
    <row r="272" spans="1:7" x14ac:dyDescent="0.25">
      <c r="A272" t="s">
        <v>627</v>
      </c>
      <c r="B272" t="s">
        <v>542</v>
      </c>
      <c r="C272" t="s">
        <v>10</v>
      </c>
      <c r="D272" t="s">
        <v>577</v>
      </c>
      <c r="E272" t="s">
        <v>354</v>
      </c>
      <c r="F272" t="s">
        <v>446</v>
      </c>
      <c r="G272" t="s">
        <v>698</v>
      </c>
    </row>
    <row r="273" spans="1:7" x14ac:dyDescent="0.25">
      <c r="A273" t="s">
        <v>626</v>
      </c>
      <c r="B273" t="s">
        <v>576</v>
      </c>
      <c r="C273" s="47"/>
      <c r="D273" t="s">
        <v>577</v>
      </c>
      <c r="E273" t="s">
        <v>354</v>
      </c>
      <c r="F273" t="s">
        <v>447</v>
      </c>
      <c r="G273" t="s">
        <v>697</v>
      </c>
    </row>
    <row r="274" spans="1:7" x14ac:dyDescent="0.25">
      <c r="A274" t="s">
        <v>985</v>
      </c>
      <c r="B274" t="s">
        <v>986</v>
      </c>
      <c r="C274" t="s">
        <v>45</v>
      </c>
      <c r="D274" t="s">
        <v>1147</v>
      </c>
      <c r="E274" t="s">
        <v>899</v>
      </c>
      <c r="F274" t="s">
        <v>443</v>
      </c>
      <c r="G274" t="s">
        <v>987</v>
      </c>
    </row>
    <row r="275" spans="1:7" x14ac:dyDescent="0.25">
      <c r="A275" t="s">
        <v>988</v>
      </c>
      <c r="B275" t="s">
        <v>989</v>
      </c>
      <c r="D275" t="s">
        <v>1147</v>
      </c>
      <c r="E275" t="s">
        <v>899</v>
      </c>
      <c r="F275" t="s">
        <v>444</v>
      </c>
      <c r="G275" t="s">
        <v>990</v>
      </c>
    </row>
    <row r="276" spans="1:7" x14ac:dyDescent="0.25">
      <c r="A276" t="s">
        <v>1110</v>
      </c>
      <c r="B276" t="s">
        <v>1111</v>
      </c>
      <c r="C276" s="47"/>
      <c r="D276" t="s">
        <v>1147</v>
      </c>
      <c r="E276" t="s">
        <v>899</v>
      </c>
      <c r="G276" t="s">
        <v>1108</v>
      </c>
    </row>
    <row r="277" spans="1:7" x14ac:dyDescent="0.25">
      <c r="A277" t="s">
        <v>941</v>
      </c>
      <c r="B277" t="s">
        <v>942</v>
      </c>
      <c r="C277" t="s">
        <v>10</v>
      </c>
      <c r="D277" t="s">
        <v>1147</v>
      </c>
      <c r="E277" t="s">
        <v>210</v>
      </c>
      <c r="G277" t="s">
        <v>943</v>
      </c>
    </row>
    <row r="278" spans="1:7" x14ac:dyDescent="0.25">
      <c r="A278" t="s">
        <v>938</v>
      </c>
      <c r="B278" t="s">
        <v>939</v>
      </c>
      <c r="C278" s="47"/>
      <c r="D278" t="s">
        <v>1147</v>
      </c>
      <c r="E278" t="s">
        <v>210</v>
      </c>
      <c r="G278" t="s">
        <v>940</v>
      </c>
    </row>
    <row r="279" spans="1:7" x14ac:dyDescent="0.25">
      <c r="A279" t="s">
        <v>991</v>
      </c>
      <c r="B279" t="s">
        <v>992</v>
      </c>
      <c r="D279" t="s">
        <v>1147</v>
      </c>
      <c r="E279" t="s">
        <v>993</v>
      </c>
      <c r="F279" t="s">
        <v>12</v>
      </c>
      <c r="G279" t="s">
        <v>994</v>
      </c>
    </row>
    <row r="280" spans="1:7" x14ac:dyDescent="0.25">
      <c r="A280" t="s">
        <v>998</v>
      </c>
      <c r="B280" t="s">
        <v>999</v>
      </c>
      <c r="C280" t="s">
        <v>10</v>
      </c>
      <c r="D280" t="s">
        <v>1147</v>
      </c>
      <c r="E280" t="s">
        <v>993</v>
      </c>
      <c r="F280" t="s">
        <v>443</v>
      </c>
      <c r="G280" t="s">
        <v>1000</v>
      </c>
    </row>
    <row r="281" spans="1:7" x14ac:dyDescent="0.25">
      <c r="A281" t="s">
        <v>995</v>
      </c>
      <c r="B281" t="s">
        <v>996</v>
      </c>
      <c r="D281" t="s">
        <v>1147</v>
      </c>
      <c r="E281" t="s">
        <v>993</v>
      </c>
      <c r="F281" t="s">
        <v>443</v>
      </c>
      <c r="G281" t="s">
        <v>997</v>
      </c>
    </row>
    <row r="282" spans="1:7" x14ac:dyDescent="0.25">
      <c r="A282" t="s">
        <v>1001</v>
      </c>
      <c r="B282" t="s">
        <v>1002</v>
      </c>
      <c r="C282" t="s">
        <v>10</v>
      </c>
      <c r="D282" t="s">
        <v>1147</v>
      </c>
      <c r="E282" t="s">
        <v>993</v>
      </c>
      <c r="F282" t="s">
        <v>21</v>
      </c>
      <c r="G282" t="s">
        <v>1003</v>
      </c>
    </row>
    <row r="283" spans="1:7" x14ac:dyDescent="0.25">
      <c r="A283" t="s">
        <v>1004</v>
      </c>
      <c r="B283" t="s">
        <v>1005</v>
      </c>
      <c r="C283" t="s">
        <v>10</v>
      </c>
      <c r="D283" t="s">
        <v>1147</v>
      </c>
      <c r="E283" t="s">
        <v>993</v>
      </c>
      <c r="F283" t="s">
        <v>21</v>
      </c>
      <c r="G283" t="s">
        <v>1006</v>
      </c>
    </row>
    <row r="284" spans="1:7" x14ac:dyDescent="0.25">
      <c r="A284" t="s">
        <v>1007</v>
      </c>
      <c r="B284" t="s">
        <v>1008</v>
      </c>
      <c r="D284" t="s">
        <v>1147</v>
      </c>
      <c r="E284" t="s">
        <v>993</v>
      </c>
      <c r="F284" t="s">
        <v>444</v>
      </c>
      <c r="G284" t="s">
        <v>1009</v>
      </c>
    </row>
    <row r="285" spans="1:7" x14ac:dyDescent="0.25">
      <c r="A285" t="s">
        <v>1010</v>
      </c>
      <c r="B285" t="s">
        <v>1011</v>
      </c>
      <c r="C285" t="s">
        <v>10</v>
      </c>
      <c r="D285" t="s">
        <v>1147</v>
      </c>
      <c r="E285" t="s">
        <v>993</v>
      </c>
      <c r="F285" t="s">
        <v>445</v>
      </c>
      <c r="G285" t="s">
        <v>1012</v>
      </c>
    </row>
    <row r="286" spans="1:7" x14ac:dyDescent="0.25">
      <c r="A286" t="s">
        <v>1013</v>
      </c>
      <c r="B286" t="s">
        <v>1014</v>
      </c>
      <c r="D286" t="s">
        <v>1147</v>
      </c>
      <c r="E286" t="s">
        <v>993</v>
      </c>
      <c r="F286" t="s">
        <v>445</v>
      </c>
      <c r="G286" t="s">
        <v>1015</v>
      </c>
    </row>
    <row r="287" spans="1:7" x14ac:dyDescent="0.25">
      <c r="A287" t="s">
        <v>1016</v>
      </c>
      <c r="B287" t="s">
        <v>1017</v>
      </c>
      <c r="D287" t="s">
        <v>1147</v>
      </c>
      <c r="E287" t="s">
        <v>993</v>
      </c>
      <c r="F287" t="s">
        <v>447</v>
      </c>
      <c r="G287" t="s">
        <v>1018</v>
      </c>
    </row>
    <row r="288" spans="1:7" x14ac:dyDescent="0.25">
      <c r="A288" t="s">
        <v>1019</v>
      </c>
      <c r="B288" t="s">
        <v>1020</v>
      </c>
      <c r="C288" t="s">
        <v>10</v>
      </c>
      <c r="D288" t="s">
        <v>1147</v>
      </c>
      <c r="E288" t="s">
        <v>993</v>
      </c>
      <c r="F288" t="s">
        <v>447</v>
      </c>
      <c r="G288" t="s">
        <v>1021</v>
      </c>
    </row>
    <row r="289" spans="1:7" x14ac:dyDescent="0.25">
      <c r="A289" t="s">
        <v>1069</v>
      </c>
      <c r="B289" t="s">
        <v>1070</v>
      </c>
      <c r="D289" t="s">
        <v>1147</v>
      </c>
      <c r="E289" t="s">
        <v>304</v>
      </c>
      <c r="F289" t="s">
        <v>12</v>
      </c>
      <c r="G289" t="s">
        <v>1071</v>
      </c>
    </row>
    <row r="290" spans="1:7" x14ac:dyDescent="0.25">
      <c r="A290" t="s">
        <v>1058</v>
      </c>
      <c r="B290" t="s">
        <v>1059</v>
      </c>
      <c r="C290" t="s">
        <v>10</v>
      </c>
      <c r="D290" t="s">
        <v>1147</v>
      </c>
      <c r="E290" t="s">
        <v>304</v>
      </c>
      <c r="F290" t="s">
        <v>447</v>
      </c>
      <c r="G290" t="s">
        <v>1060</v>
      </c>
    </row>
    <row r="291" spans="1:7" x14ac:dyDescent="0.25">
      <c r="A291" t="s">
        <v>1072</v>
      </c>
      <c r="B291" t="s">
        <v>1073</v>
      </c>
      <c r="C291" t="s">
        <v>10</v>
      </c>
      <c r="D291" t="s">
        <v>1147</v>
      </c>
      <c r="E291" t="s">
        <v>304</v>
      </c>
      <c r="G291" t="s">
        <v>1074</v>
      </c>
    </row>
    <row r="292" spans="1:7" x14ac:dyDescent="0.25">
      <c r="A292" t="s">
        <v>1086</v>
      </c>
      <c r="B292" t="s">
        <v>1120</v>
      </c>
      <c r="C292" t="s">
        <v>10</v>
      </c>
      <c r="D292" t="s">
        <v>1147</v>
      </c>
      <c r="E292" t="s">
        <v>1022</v>
      </c>
      <c r="F292" t="s">
        <v>12</v>
      </c>
      <c r="G292" t="s">
        <v>1087</v>
      </c>
    </row>
    <row r="293" spans="1:7" x14ac:dyDescent="0.25">
      <c r="A293" t="s">
        <v>1023</v>
      </c>
      <c r="B293" t="s">
        <v>1024</v>
      </c>
      <c r="C293" t="s">
        <v>1025</v>
      </c>
      <c r="D293" t="s">
        <v>1147</v>
      </c>
      <c r="E293" t="s">
        <v>1022</v>
      </c>
      <c r="F293" t="s">
        <v>443</v>
      </c>
      <c r="G293" t="s">
        <v>1026</v>
      </c>
    </row>
    <row r="294" spans="1:7" x14ac:dyDescent="0.25">
      <c r="A294" t="s">
        <v>1027</v>
      </c>
      <c r="B294" t="s">
        <v>1028</v>
      </c>
      <c r="C294" t="s">
        <v>1025</v>
      </c>
      <c r="D294" t="s">
        <v>1147</v>
      </c>
      <c r="E294" t="s">
        <v>1022</v>
      </c>
      <c r="F294" t="s">
        <v>21</v>
      </c>
      <c r="G294" t="s">
        <v>1029</v>
      </c>
    </row>
    <row r="295" spans="1:7" x14ac:dyDescent="0.25">
      <c r="A295" t="s">
        <v>1030</v>
      </c>
      <c r="B295" t="s">
        <v>1031</v>
      </c>
      <c r="C295" t="s">
        <v>10</v>
      </c>
      <c r="D295" t="s">
        <v>1147</v>
      </c>
      <c r="E295" t="s">
        <v>1022</v>
      </c>
      <c r="F295" t="s">
        <v>444</v>
      </c>
      <c r="G295" t="s">
        <v>1032</v>
      </c>
    </row>
    <row r="296" spans="1:7" x14ac:dyDescent="0.25">
      <c r="A296" t="s">
        <v>1033</v>
      </c>
      <c r="B296" t="s">
        <v>1034</v>
      </c>
      <c r="C296" t="s">
        <v>1025</v>
      </c>
      <c r="D296" t="s">
        <v>1147</v>
      </c>
      <c r="E296" t="s">
        <v>1022</v>
      </c>
      <c r="F296" t="s">
        <v>444</v>
      </c>
      <c r="G296" t="s">
        <v>1035</v>
      </c>
    </row>
    <row r="297" spans="1:7" x14ac:dyDescent="0.25">
      <c r="A297" t="s">
        <v>1036</v>
      </c>
      <c r="B297" t="s">
        <v>1037</v>
      </c>
      <c r="C297" t="s">
        <v>1025</v>
      </c>
      <c r="D297" t="s">
        <v>1147</v>
      </c>
      <c r="E297" t="s">
        <v>1022</v>
      </c>
      <c r="F297" t="s">
        <v>445</v>
      </c>
      <c r="G297" t="s">
        <v>1038</v>
      </c>
    </row>
    <row r="298" spans="1:7" x14ac:dyDescent="0.25">
      <c r="A298" t="s">
        <v>1039</v>
      </c>
      <c r="B298" t="s">
        <v>1040</v>
      </c>
      <c r="C298" t="s">
        <v>1025</v>
      </c>
      <c r="D298" t="s">
        <v>1147</v>
      </c>
      <c r="E298" t="s">
        <v>1022</v>
      </c>
      <c r="F298" t="s">
        <v>447</v>
      </c>
      <c r="G298" t="s">
        <v>1041</v>
      </c>
    </row>
    <row r="299" spans="1:7" x14ac:dyDescent="0.25">
      <c r="A299" t="s">
        <v>1088</v>
      </c>
      <c r="B299" t="s">
        <v>1127</v>
      </c>
      <c r="D299" t="s">
        <v>1147</v>
      </c>
      <c r="E299" t="s">
        <v>1022</v>
      </c>
      <c r="F299" t="s">
        <v>447</v>
      </c>
      <c r="G299" t="s">
        <v>1089</v>
      </c>
    </row>
    <row r="300" spans="1:7" x14ac:dyDescent="0.25">
      <c r="A300" t="s">
        <v>1042</v>
      </c>
      <c r="B300" t="s">
        <v>1043</v>
      </c>
      <c r="C300" t="s">
        <v>10</v>
      </c>
      <c r="D300" t="s">
        <v>1147</v>
      </c>
      <c r="E300" t="s">
        <v>1022</v>
      </c>
      <c r="F300" t="s">
        <v>447</v>
      </c>
      <c r="G300" t="s">
        <v>1044</v>
      </c>
    </row>
    <row r="301" spans="1:7" x14ac:dyDescent="0.25">
      <c r="A301" t="s">
        <v>1090</v>
      </c>
      <c r="B301" t="s">
        <v>1121</v>
      </c>
      <c r="C301" t="s">
        <v>1025</v>
      </c>
      <c r="D301" t="s">
        <v>1147</v>
      </c>
      <c r="E301" t="s">
        <v>1022</v>
      </c>
      <c r="F301" t="s">
        <v>447</v>
      </c>
      <c r="G301" t="s">
        <v>1137</v>
      </c>
    </row>
    <row r="302" spans="1:7" x14ac:dyDescent="0.25">
      <c r="A302" t="s">
        <v>1093</v>
      </c>
      <c r="B302" t="s">
        <v>1123</v>
      </c>
      <c r="C302" t="s">
        <v>10</v>
      </c>
      <c r="D302" t="s">
        <v>1147</v>
      </c>
      <c r="E302" t="s">
        <v>1022</v>
      </c>
      <c r="G302" s="48" t="s">
        <v>1094</v>
      </c>
    </row>
    <row r="303" spans="1:7" x14ac:dyDescent="0.25">
      <c r="A303" t="s">
        <v>1095</v>
      </c>
      <c r="B303" t="s">
        <v>1124</v>
      </c>
      <c r="C303" t="s">
        <v>1025</v>
      </c>
      <c r="D303" t="s">
        <v>1147</v>
      </c>
      <c r="E303" t="s">
        <v>1022</v>
      </c>
      <c r="G303" t="s">
        <v>1144</v>
      </c>
    </row>
    <row r="304" spans="1:7" x14ac:dyDescent="0.25">
      <c r="A304" t="s">
        <v>953</v>
      </c>
      <c r="B304" t="s">
        <v>954</v>
      </c>
      <c r="C304" t="s">
        <v>10</v>
      </c>
      <c r="D304" t="s">
        <v>1147</v>
      </c>
      <c r="E304" t="s">
        <v>1022</v>
      </c>
      <c r="G304" t="s">
        <v>955</v>
      </c>
    </row>
    <row r="305" spans="1:7" x14ac:dyDescent="0.25">
      <c r="A305" t="s">
        <v>1096</v>
      </c>
      <c r="B305" t="s">
        <v>1125</v>
      </c>
      <c r="D305" t="s">
        <v>1147</v>
      </c>
      <c r="E305" t="s">
        <v>1022</v>
      </c>
      <c r="G305" t="s">
        <v>1097</v>
      </c>
    </row>
    <row r="306" spans="1:7" x14ac:dyDescent="0.25">
      <c r="A306" t="s">
        <v>1098</v>
      </c>
      <c r="B306" t="s">
        <v>1126</v>
      </c>
      <c r="C306" t="s">
        <v>10</v>
      </c>
      <c r="D306" t="s">
        <v>1147</v>
      </c>
      <c r="E306" t="s">
        <v>1022</v>
      </c>
      <c r="G306" t="s">
        <v>1099</v>
      </c>
    </row>
    <row r="307" spans="1:7" x14ac:dyDescent="0.25">
      <c r="A307" t="s">
        <v>1045</v>
      </c>
      <c r="B307" t="s">
        <v>1046</v>
      </c>
      <c r="C307" t="s">
        <v>1025</v>
      </c>
      <c r="D307" t="s">
        <v>1147</v>
      </c>
      <c r="E307" t="s">
        <v>1022</v>
      </c>
      <c r="G307" t="s">
        <v>1047</v>
      </c>
    </row>
    <row r="308" spans="1:7" x14ac:dyDescent="0.25">
      <c r="A308" t="s">
        <v>1048</v>
      </c>
      <c r="B308" t="s">
        <v>1049</v>
      </c>
      <c r="C308" t="s">
        <v>10</v>
      </c>
      <c r="D308" t="s">
        <v>1147</v>
      </c>
      <c r="E308" t="s">
        <v>728</v>
      </c>
      <c r="F308" t="s">
        <v>443</v>
      </c>
      <c r="G308" t="s">
        <v>1148</v>
      </c>
    </row>
    <row r="309" spans="1:7" x14ac:dyDescent="0.25">
      <c r="A309" t="s">
        <v>1066</v>
      </c>
      <c r="B309" t="s">
        <v>1067</v>
      </c>
      <c r="C309" t="s">
        <v>10</v>
      </c>
      <c r="D309" t="s">
        <v>1147</v>
      </c>
      <c r="E309" t="s">
        <v>728</v>
      </c>
      <c r="F309" t="s">
        <v>21</v>
      </c>
      <c r="G309" t="s">
        <v>1068</v>
      </c>
    </row>
    <row r="310" spans="1:7" x14ac:dyDescent="0.25">
      <c r="A310" t="s">
        <v>984</v>
      </c>
      <c r="B310" t="s">
        <v>1050</v>
      </c>
      <c r="C310" t="s">
        <v>10</v>
      </c>
      <c r="D310" t="s">
        <v>1147</v>
      </c>
      <c r="E310" t="s">
        <v>728</v>
      </c>
      <c r="F310" t="s">
        <v>444</v>
      </c>
      <c r="G310" t="s">
        <v>1051</v>
      </c>
    </row>
    <row r="311" spans="1:7" x14ac:dyDescent="0.25">
      <c r="A311" t="s">
        <v>1052</v>
      </c>
      <c r="B311" t="s">
        <v>1053</v>
      </c>
      <c r="D311" t="s">
        <v>1147</v>
      </c>
      <c r="E311" t="s">
        <v>728</v>
      </c>
      <c r="F311" t="s">
        <v>445</v>
      </c>
      <c r="G311" t="s">
        <v>1054</v>
      </c>
    </row>
    <row r="312" spans="1:7" x14ac:dyDescent="0.25">
      <c r="A312" t="s">
        <v>1055</v>
      </c>
      <c r="B312" t="s">
        <v>1056</v>
      </c>
      <c r="D312" t="s">
        <v>1147</v>
      </c>
      <c r="E312" t="s">
        <v>728</v>
      </c>
      <c r="F312" t="s">
        <v>445</v>
      </c>
      <c r="G312" t="s">
        <v>1057</v>
      </c>
    </row>
    <row r="313" spans="1:7" x14ac:dyDescent="0.25">
      <c r="A313" t="s">
        <v>936</v>
      </c>
      <c r="B313" t="s">
        <v>937</v>
      </c>
      <c r="C313" t="s">
        <v>10</v>
      </c>
      <c r="D313" t="s">
        <v>1147</v>
      </c>
      <c r="E313" t="s">
        <v>728</v>
      </c>
      <c r="G313" t="s">
        <v>976</v>
      </c>
    </row>
    <row r="314" spans="1:7" x14ac:dyDescent="0.25">
      <c r="A314" t="s">
        <v>933</v>
      </c>
      <c r="B314" t="s">
        <v>934</v>
      </c>
      <c r="C314" t="s">
        <v>10</v>
      </c>
      <c r="D314" t="s">
        <v>1147</v>
      </c>
      <c r="E314" t="s">
        <v>728</v>
      </c>
      <c r="G314" t="s">
        <v>935</v>
      </c>
    </row>
    <row r="315" spans="1:7" x14ac:dyDescent="0.25">
      <c r="A315" t="s">
        <v>944</v>
      </c>
      <c r="B315" t="s">
        <v>945</v>
      </c>
      <c r="C315" t="s">
        <v>10</v>
      </c>
      <c r="D315" t="s">
        <v>1147</v>
      </c>
      <c r="E315" t="s">
        <v>722</v>
      </c>
      <c r="G315" t="s">
        <v>946</v>
      </c>
    </row>
    <row r="316" spans="1:7" x14ac:dyDescent="0.25">
      <c r="A316" t="s">
        <v>947</v>
      </c>
      <c r="B316" t="s">
        <v>948</v>
      </c>
      <c r="C316" s="47"/>
      <c r="D316" t="s">
        <v>1147</v>
      </c>
      <c r="E316" t="s">
        <v>722</v>
      </c>
      <c r="G316" t="s">
        <v>949</v>
      </c>
    </row>
    <row r="317" spans="1:7" x14ac:dyDescent="0.25">
      <c r="A317" t="s">
        <v>951</v>
      </c>
      <c r="B317" t="s">
        <v>952</v>
      </c>
      <c r="C317" t="s">
        <v>10</v>
      </c>
      <c r="D317" t="s">
        <v>1147</v>
      </c>
      <c r="E317" t="s">
        <v>467</v>
      </c>
      <c r="G317" t="s">
        <v>1128</v>
      </c>
    </row>
    <row r="318" spans="1:7" x14ac:dyDescent="0.25">
      <c r="A318" t="s">
        <v>956</v>
      </c>
      <c r="B318" t="s">
        <v>957</v>
      </c>
      <c r="C318" t="s">
        <v>10</v>
      </c>
      <c r="D318" t="s">
        <v>1147</v>
      </c>
      <c r="E318" t="s">
        <v>467</v>
      </c>
      <c r="G318" t="s">
        <v>958</v>
      </c>
    </row>
    <row r="319" spans="1:7" x14ac:dyDescent="0.25">
      <c r="A319" t="s">
        <v>1077</v>
      </c>
      <c r="B319" t="s">
        <v>1078</v>
      </c>
      <c r="C319" t="s">
        <v>45</v>
      </c>
      <c r="D319" t="s">
        <v>1147</v>
      </c>
      <c r="E319" t="s">
        <v>461</v>
      </c>
      <c r="F319" t="s">
        <v>12</v>
      </c>
      <c r="G319" t="s">
        <v>1079</v>
      </c>
    </row>
    <row r="320" spans="1:7" x14ac:dyDescent="0.25">
      <c r="A320" t="s">
        <v>982</v>
      </c>
      <c r="B320" t="s">
        <v>983</v>
      </c>
      <c r="C320" t="s">
        <v>10</v>
      </c>
      <c r="D320" t="s">
        <v>1147</v>
      </c>
      <c r="E320" t="s">
        <v>461</v>
      </c>
      <c r="F320" t="s">
        <v>12</v>
      </c>
      <c r="G320" t="s">
        <v>1082</v>
      </c>
    </row>
    <row r="321" spans="1:7" x14ac:dyDescent="0.25">
      <c r="A321" t="s">
        <v>1083</v>
      </c>
      <c r="B321" t="s">
        <v>1084</v>
      </c>
      <c r="C321" t="s">
        <v>45</v>
      </c>
      <c r="D321" t="s">
        <v>1147</v>
      </c>
      <c r="E321" t="s">
        <v>461</v>
      </c>
      <c r="F321" t="s">
        <v>443</v>
      </c>
      <c r="G321" t="s">
        <v>1139</v>
      </c>
    </row>
    <row r="322" spans="1:7" x14ac:dyDescent="0.25">
      <c r="A322" t="s">
        <v>1113</v>
      </c>
      <c r="B322" t="s">
        <v>1114</v>
      </c>
      <c r="C322" t="s">
        <v>10</v>
      </c>
      <c r="D322" t="s">
        <v>1147</v>
      </c>
      <c r="E322" t="s">
        <v>461</v>
      </c>
      <c r="F322" t="s">
        <v>443</v>
      </c>
      <c r="G322" t="s">
        <v>1138</v>
      </c>
    </row>
    <row r="323" spans="1:7" x14ac:dyDescent="0.25">
      <c r="A323" t="s">
        <v>1116</v>
      </c>
      <c r="B323" t="s">
        <v>1117</v>
      </c>
      <c r="D323" t="s">
        <v>1147</v>
      </c>
      <c r="E323" t="s">
        <v>461</v>
      </c>
      <c r="F323" t="s">
        <v>15</v>
      </c>
      <c r="G323" t="s">
        <v>1085</v>
      </c>
    </row>
    <row r="324" spans="1:7" x14ac:dyDescent="0.25">
      <c r="A324" t="s">
        <v>1130</v>
      </c>
      <c r="B324" t="s">
        <v>1131</v>
      </c>
      <c r="C324" t="s">
        <v>45</v>
      </c>
      <c r="D324" t="s">
        <v>1147</v>
      </c>
      <c r="E324" t="s">
        <v>461</v>
      </c>
      <c r="F324" t="s">
        <v>447</v>
      </c>
      <c r="G324" t="s">
        <v>1134</v>
      </c>
    </row>
    <row r="325" spans="1:7" x14ac:dyDescent="0.25">
      <c r="A325" t="s">
        <v>1132</v>
      </c>
      <c r="B325" t="s">
        <v>1133</v>
      </c>
      <c r="C325" t="s">
        <v>10</v>
      </c>
      <c r="D325" t="s">
        <v>1147</v>
      </c>
      <c r="E325" t="s">
        <v>461</v>
      </c>
      <c r="F325" t="s">
        <v>447</v>
      </c>
      <c r="G325" t="s">
        <v>1135</v>
      </c>
    </row>
    <row r="326" spans="1:7" x14ac:dyDescent="0.25">
      <c r="A326" t="s">
        <v>1080</v>
      </c>
      <c r="B326" t="s">
        <v>1081</v>
      </c>
      <c r="D326" t="s">
        <v>1147</v>
      </c>
      <c r="E326" t="s">
        <v>461</v>
      </c>
      <c r="G326" t="s">
        <v>1115</v>
      </c>
    </row>
    <row r="327" spans="1:7" x14ac:dyDescent="0.25">
      <c r="A327" t="s">
        <v>872</v>
      </c>
      <c r="B327" t="s">
        <v>1145</v>
      </c>
      <c r="D327" t="s">
        <v>1147</v>
      </c>
      <c r="E327" t="s">
        <v>461</v>
      </c>
      <c r="G327" t="s">
        <v>1146</v>
      </c>
    </row>
    <row r="328" spans="1:7" x14ac:dyDescent="0.25">
      <c r="A328" t="s">
        <v>1112</v>
      </c>
      <c r="B328" t="s">
        <v>1143</v>
      </c>
      <c r="D328" t="s">
        <v>1147</v>
      </c>
      <c r="E328" t="s">
        <v>461</v>
      </c>
      <c r="G328" t="s">
        <v>1118</v>
      </c>
    </row>
    <row r="329" spans="1:7" x14ac:dyDescent="0.25">
      <c r="A329" t="s">
        <v>1061</v>
      </c>
      <c r="B329" t="s">
        <v>1062</v>
      </c>
      <c r="D329" t="s">
        <v>1147</v>
      </c>
      <c r="E329" t="s">
        <v>580</v>
      </c>
      <c r="F329" t="s">
        <v>443</v>
      </c>
      <c r="G329" t="s">
        <v>1129</v>
      </c>
    </row>
    <row r="330" spans="1:7" x14ac:dyDescent="0.25">
      <c r="A330" t="s">
        <v>1063</v>
      </c>
      <c r="B330" t="s">
        <v>1064</v>
      </c>
      <c r="C330" t="s">
        <v>10</v>
      </c>
      <c r="D330" t="s">
        <v>1147</v>
      </c>
      <c r="E330" t="s">
        <v>580</v>
      </c>
      <c r="F330" t="s">
        <v>15</v>
      </c>
      <c r="G330" t="s">
        <v>1065</v>
      </c>
    </row>
    <row r="331" spans="1:7" x14ac:dyDescent="0.25">
      <c r="A331" t="s">
        <v>1140</v>
      </c>
      <c r="B331" t="s">
        <v>1141</v>
      </c>
      <c r="D331" t="s">
        <v>1147</v>
      </c>
      <c r="E331" t="s">
        <v>580</v>
      </c>
      <c r="F331" t="s">
        <v>447</v>
      </c>
      <c r="G331" t="s">
        <v>1142</v>
      </c>
    </row>
    <row r="332" spans="1:7" x14ac:dyDescent="0.25">
      <c r="A332" t="s">
        <v>928</v>
      </c>
      <c r="B332" t="s">
        <v>929</v>
      </c>
      <c r="D332" t="s">
        <v>1147</v>
      </c>
      <c r="E332" t="s">
        <v>580</v>
      </c>
      <c r="G332" t="s">
        <v>930</v>
      </c>
    </row>
    <row r="333" spans="1:7" x14ac:dyDescent="0.25">
      <c r="A333" t="s">
        <v>931</v>
      </c>
      <c r="B333" t="s">
        <v>932</v>
      </c>
      <c r="D333" t="s">
        <v>1147</v>
      </c>
      <c r="E333" t="s">
        <v>580</v>
      </c>
      <c r="G333" t="s">
        <v>978</v>
      </c>
    </row>
    <row r="334" spans="1:7" x14ac:dyDescent="0.25">
      <c r="A334" t="s">
        <v>926</v>
      </c>
      <c r="B334" t="s">
        <v>927</v>
      </c>
      <c r="C334" t="s">
        <v>10</v>
      </c>
      <c r="D334" t="s">
        <v>1147</v>
      </c>
      <c r="E334" t="s">
        <v>580</v>
      </c>
      <c r="G334" t="s">
        <v>959</v>
      </c>
    </row>
    <row r="335" spans="1:7" x14ac:dyDescent="0.25">
      <c r="A335" t="s">
        <v>1091</v>
      </c>
      <c r="B335" t="s">
        <v>1122</v>
      </c>
      <c r="D335" t="s">
        <v>1147</v>
      </c>
      <c r="E335" t="s">
        <v>403</v>
      </c>
      <c r="G335" t="s">
        <v>1092</v>
      </c>
    </row>
  </sheetData>
  <sortState ref="A2:G335">
    <sortCondition ref="D2:D335" customList="BLANK,XCOM2,Spark,LW2,SOLW,MPGA,LWD,LWD2,UNMADE,UNUSED"/>
    <sortCondition ref="E2:E335"/>
    <sortCondition ref="F2:F335" customList="Squaddie,Lance Corporal,Corporal,Sergeant,Staff Sergeant,Tech Sergeant,Gunnery Sergeant,Master Sergeant,Lieutenant,Captain,Major,Colonel,Initiate,Acolyte,Adept,Disciple,Mystic,Warlock,Magus,Master,Squire,Aspirant,Knight,Cavalier,Vanguard,Paladin,Champion"/>
    <sortCondition ref="A2:A335"/>
  </sortState>
  <conditionalFormatting sqref="B203:B268">
    <cfRule type="duplicateValues" dxfId="0" priority="5"/>
  </conditionalFormatting>
  <pageMargins left="0.7" right="0.7" top="0.75" bottom="0.75" header="0.3" footer="0.3"/>
  <pageSetup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4</vt:i4>
      </vt:variant>
    </vt:vector>
  </HeadingPairs>
  <TitlesOfParts>
    <vt:vector size="33" baseType="lpstr">
      <vt:lpstr>Dirty</vt:lpstr>
      <vt:lpstr>Instructions</vt:lpstr>
      <vt:lpstr>Blank</vt:lpstr>
      <vt:lpstr>Artillery</vt:lpstr>
      <vt:lpstr>Assault</vt:lpstr>
      <vt:lpstr>Chemist</vt:lpstr>
      <vt:lpstr>CombatEngineer</vt:lpstr>
      <vt:lpstr>Courser</vt:lpstr>
      <vt:lpstr>Cowboy</vt:lpstr>
      <vt:lpstr>Dreadnought</vt:lpstr>
      <vt:lpstr>FieldScientist</vt:lpstr>
      <vt:lpstr>Fireman</vt:lpstr>
      <vt:lpstr>Guerrilla</vt:lpstr>
      <vt:lpstr>Gunner</vt:lpstr>
      <vt:lpstr>Hacker</vt:lpstr>
      <vt:lpstr>Hunter</vt:lpstr>
      <vt:lpstr>Marksman</vt:lpstr>
      <vt:lpstr>Medic</vt:lpstr>
      <vt:lpstr>Partisan</vt:lpstr>
      <vt:lpstr>Protector</vt:lpstr>
      <vt:lpstr>Raider</vt:lpstr>
      <vt:lpstr>Ranger</vt:lpstr>
      <vt:lpstr>Recon</vt:lpstr>
      <vt:lpstr>Sapper</vt:lpstr>
      <vt:lpstr>Scrapper</vt:lpstr>
      <vt:lpstr>Sharpshooter</vt:lpstr>
      <vt:lpstr>Shinobi</vt:lpstr>
      <vt:lpstr>Output</vt:lpstr>
      <vt:lpstr>Abilities</vt:lpstr>
      <vt:lpstr>Abilities</vt:lpstr>
      <vt:lpstr>AbilitiesCol</vt:lpstr>
      <vt:lpstr>AbilitiesStart</vt:lpstr>
      <vt:lpstr>AbilTab</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Teddy</dc:creator>
  <cp:lastModifiedBy>Teddy</cp:lastModifiedBy>
  <cp:lastPrinted>2017-04-21T00:56:18Z</cp:lastPrinted>
  <dcterms:created xsi:type="dcterms:W3CDTF">2016-10-14T06:17:05Z</dcterms:created>
  <dcterms:modified xsi:type="dcterms:W3CDTF">2017-06-07T17:23:56Z</dcterms:modified>
</cp:coreProperties>
</file>