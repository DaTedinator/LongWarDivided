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Abilities!$A$1:$A$374</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E91" i="44"/>
  <c r="A70" i="56"/>
  <c r="E88" i="56"/>
  <c r="E54" i="69"/>
  <c r="A57" i="69"/>
  <c r="E75" i="67"/>
  <c r="E64" i="67"/>
  <c r="A52" i="44"/>
  <c r="A105" i="44"/>
  <c r="E77" i="56"/>
  <c r="E76" i="56"/>
  <c r="E53" i="69"/>
  <c r="A92" i="67"/>
  <c r="E52" i="67"/>
  <c r="A52" i="52"/>
  <c r="A77" i="44"/>
  <c r="A53" i="44"/>
  <c r="E59" i="56"/>
  <c r="E46" i="56"/>
  <c r="E78" i="69"/>
  <c r="A66" i="67"/>
  <c r="E88" i="67"/>
  <c r="E70" i="52"/>
  <c r="E91" i="56"/>
  <c r="E90" i="67"/>
  <c r="A63" i="52"/>
  <c r="E89" i="65"/>
  <c r="E68" i="65"/>
  <c r="E59" i="64"/>
  <c r="A74" i="63"/>
  <c r="A127" i="63"/>
  <c r="A130" i="44"/>
  <c r="E82" i="44"/>
  <c r="A62" i="56"/>
  <c r="A77" i="56"/>
  <c r="A106" i="69"/>
  <c r="C49" i="69"/>
  <c r="E67" i="67"/>
  <c r="A130" i="52"/>
  <c r="A121" i="44"/>
  <c r="A79" i="44"/>
  <c r="E69" i="56"/>
  <c r="E66" i="56"/>
  <c r="A46" i="69"/>
  <c r="A76" i="67"/>
  <c r="A116" i="67"/>
  <c r="A114" i="52"/>
  <c r="A63" i="44"/>
  <c r="A126" i="44"/>
  <c r="E51" i="56"/>
  <c r="A113" i="69"/>
  <c r="E66" i="69"/>
  <c r="A58" i="67"/>
  <c r="A77" i="67"/>
  <c r="A128" i="52"/>
  <c r="E57" i="56"/>
  <c r="A86" i="67"/>
  <c r="A55" i="52"/>
  <c r="E79" i="65"/>
  <c r="A49" i="65"/>
  <c r="E51" i="64"/>
  <c r="A66" i="63"/>
  <c r="A99" i="63"/>
  <c r="A114" i="44"/>
  <c r="A114" i="56"/>
  <c r="A127" i="69"/>
  <c r="A63" i="67"/>
  <c r="E79" i="44"/>
  <c r="A75" i="56"/>
  <c r="E47" i="69"/>
  <c r="A119" i="52"/>
  <c r="E61" i="44"/>
  <c r="A55" i="56"/>
  <c r="E72" i="69"/>
  <c r="A74" i="52"/>
  <c r="A51" i="69"/>
  <c r="A50" i="65"/>
  <c r="A123" i="64"/>
  <c r="E61" i="63"/>
  <c r="A88" i="56"/>
  <c r="A56" i="52"/>
  <c r="E68" i="52"/>
  <c r="E53" i="65"/>
  <c r="A72" i="64"/>
  <c r="A86" i="64"/>
  <c r="E76" i="63"/>
  <c r="E80" i="44"/>
  <c r="E82" i="69"/>
  <c r="E59" i="52"/>
  <c r="A78" i="65"/>
  <c r="A120" i="65"/>
  <c r="E44" i="64"/>
  <c r="A55" i="64"/>
  <c r="A88" i="44"/>
  <c r="A121" i="65"/>
  <c r="A127" i="44"/>
  <c r="E78" i="56"/>
  <c r="A102" i="67"/>
  <c r="A54" i="52"/>
  <c r="E50" i="44"/>
  <c r="A68" i="69"/>
  <c r="A49" i="67"/>
  <c r="E79" i="52"/>
  <c r="A85" i="56"/>
  <c r="A50" i="69"/>
  <c r="E89" i="67"/>
  <c r="E61" i="52"/>
  <c r="E84" i="52"/>
  <c r="A77" i="65"/>
  <c r="A67" i="64"/>
  <c r="C49" i="63"/>
  <c r="E60" i="69"/>
  <c r="E43" i="52"/>
  <c r="A64" i="65"/>
  <c r="E50" i="65"/>
  <c r="E60" i="64"/>
  <c r="A126" i="64"/>
  <c r="E75" i="63"/>
  <c r="A91" i="44"/>
  <c r="E80" i="67"/>
  <c r="A105" i="52"/>
  <c r="A109" i="65"/>
  <c r="A69" i="65"/>
  <c r="E89" i="64"/>
  <c r="E62" i="64"/>
  <c r="A81" i="67"/>
  <c r="A70" i="44"/>
  <c r="E57" i="44"/>
  <c r="A106" i="56"/>
  <c r="A51" i="56"/>
  <c r="E71" i="69"/>
  <c r="E64" i="69"/>
  <c r="E43" i="67"/>
  <c r="A70" i="52"/>
  <c r="A51" i="44"/>
  <c r="E85" i="44"/>
  <c r="A46" i="56"/>
  <c r="A92" i="69"/>
  <c r="E50" i="69"/>
  <c r="A52" i="67"/>
  <c r="A69" i="67"/>
  <c r="A106" i="52"/>
  <c r="E74" i="44"/>
  <c r="E46" i="44"/>
  <c r="A81" i="56"/>
  <c r="A66" i="69"/>
  <c r="A91" i="69"/>
  <c r="A43" i="67"/>
  <c r="A51" i="67"/>
  <c r="E77" i="52"/>
  <c r="E45" i="56"/>
  <c r="A64" i="52"/>
  <c r="E72" i="52"/>
  <c r="E55" i="65"/>
  <c r="A74" i="64"/>
  <c r="E88" i="64"/>
  <c r="E78" i="63"/>
  <c r="A65" i="63"/>
  <c r="A62" i="44"/>
  <c r="E49" i="44"/>
  <c r="E89" i="56"/>
  <c r="C43" i="56"/>
  <c r="E63" i="69"/>
  <c r="A130" i="67"/>
  <c r="A88" i="67"/>
  <c r="A62" i="52"/>
  <c r="A109" i="44"/>
  <c r="E68" i="44"/>
  <c r="A98" i="56"/>
  <c r="A76" i="69"/>
  <c r="A121" i="69"/>
  <c r="A120" i="67"/>
  <c r="A61" i="67"/>
  <c r="E89" i="52"/>
  <c r="E60" i="44"/>
  <c r="A113" i="56"/>
  <c r="E56" i="56"/>
  <c r="A58" i="69"/>
  <c r="A79" i="69"/>
  <c r="A106" i="67"/>
  <c r="C43" i="67"/>
  <c r="E69" i="52"/>
  <c r="A43" i="56"/>
  <c r="E62" i="52"/>
  <c r="E50" i="52"/>
  <c r="A48" i="65"/>
  <c r="A66" i="64"/>
  <c r="A77" i="64"/>
  <c r="E64" i="63"/>
  <c r="A57" i="63"/>
  <c r="E65" i="44"/>
  <c r="A59" i="56"/>
  <c r="E92" i="69"/>
  <c r="A78" i="52"/>
  <c r="E45" i="44"/>
  <c r="A119" i="69"/>
  <c r="A60" i="67"/>
  <c r="E52" i="52"/>
  <c r="E64" i="44"/>
  <c r="A74" i="69"/>
  <c r="A109" i="67"/>
  <c r="E86" i="52"/>
  <c r="E50" i="67"/>
  <c r="E63" i="65"/>
  <c r="A105" i="64"/>
  <c r="A75" i="63"/>
  <c r="E57" i="69"/>
  <c r="E51" i="52"/>
  <c r="A72" i="65"/>
  <c r="E85" i="65"/>
  <c r="A81" i="64"/>
  <c r="C49" i="64"/>
  <c r="E84" i="63"/>
  <c r="E67" i="44"/>
  <c r="A109" i="69"/>
  <c r="A43" i="52"/>
  <c r="E44" i="65"/>
  <c r="A84" i="65"/>
  <c r="A106" i="64"/>
  <c r="E76" i="64"/>
  <c r="A105" i="69"/>
  <c r="E52" i="64"/>
  <c r="A102" i="56"/>
  <c r="A54" i="69"/>
  <c r="A95" i="67"/>
  <c r="A68" i="44"/>
  <c r="A100" i="56"/>
  <c r="E69" i="69"/>
  <c r="A114" i="67"/>
  <c r="A50" i="44"/>
  <c r="E75" i="56"/>
  <c r="E51" i="69"/>
  <c r="E46" i="67"/>
  <c r="A43" i="44"/>
  <c r="A84" i="52"/>
  <c r="C43" i="65"/>
  <c r="A113" i="63"/>
  <c r="A98" i="44"/>
  <c r="A56" i="67"/>
  <c r="A91" i="52"/>
  <c r="E64" i="65"/>
  <c r="A57" i="65"/>
  <c r="E88" i="44"/>
  <c r="A61" i="44"/>
  <c r="E63" i="56"/>
  <c r="E54" i="56"/>
  <c r="E85" i="69"/>
  <c r="A70" i="67"/>
  <c r="A93" i="67"/>
  <c r="E85" i="52"/>
  <c r="A49" i="44"/>
  <c r="A92" i="56"/>
  <c r="A127" i="56"/>
  <c r="A52" i="69"/>
  <c r="A71" i="69"/>
  <c r="E91" i="67"/>
  <c r="E85" i="67"/>
  <c r="E63" i="52"/>
  <c r="E86" i="44"/>
  <c r="A66" i="56"/>
  <c r="A84" i="56"/>
  <c r="A123" i="69"/>
  <c r="A53" i="69"/>
  <c r="E71" i="67"/>
  <c r="E54" i="67"/>
  <c r="A64" i="44"/>
  <c r="E65" i="69"/>
  <c r="E55" i="52"/>
  <c r="A74" i="65"/>
  <c r="E92" i="65"/>
  <c r="E83" i="64"/>
  <c r="A51" i="64"/>
  <c r="E86" i="63"/>
  <c r="A56" i="44"/>
  <c r="A69" i="44"/>
  <c r="E47" i="44"/>
  <c r="E55" i="56"/>
  <c r="A130" i="69"/>
  <c r="E74" i="69"/>
  <c r="A62" i="67"/>
  <c r="A84" i="67"/>
  <c r="E58" i="52"/>
  <c r="A106" i="44"/>
  <c r="A76" i="56"/>
  <c r="A99" i="56"/>
  <c r="A98" i="69"/>
  <c r="A63" i="69"/>
  <c r="E82" i="67"/>
  <c r="E74" i="67"/>
  <c r="A113" i="44"/>
  <c r="E77" i="44"/>
  <c r="A58" i="56"/>
  <c r="A71" i="56"/>
  <c r="A95" i="69"/>
  <c r="E45" i="69"/>
  <c r="E63" i="67"/>
  <c r="A113" i="52"/>
  <c r="A71" i="44"/>
  <c r="E76" i="69"/>
  <c r="A46" i="52"/>
  <c r="A66" i="65"/>
  <c r="E56" i="65"/>
  <c r="E64" i="64"/>
  <c r="C43" i="64"/>
  <c r="E77" i="63"/>
  <c r="A59" i="44"/>
  <c r="E72" i="44"/>
  <c r="A78" i="69"/>
  <c r="E44" i="67"/>
  <c r="A119" i="44"/>
  <c r="A60" i="56"/>
  <c r="A100" i="69"/>
  <c r="E65" i="67"/>
  <c r="A74" i="44"/>
  <c r="A123" i="56"/>
  <c r="E75" i="69"/>
  <c r="A48" i="67"/>
  <c r="E84" i="44"/>
  <c r="E56" i="52"/>
  <c r="E88" i="65"/>
  <c r="A88" i="64"/>
  <c r="E75" i="44"/>
  <c r="A107" i="67"/>
  <c r="A116" i="52"/>
  <c r="A126" i="65"/>
  <c r="A71" i="65"/>
  <c r="E91" i="64"/>
  <c r="E66" i="64"/>
  <c r="E51" i="63"/>
  <c r="C46" i="56"/>
  <c r="E53" i="67"/>
  <c r="A67" i="52"/>
  <c r="A95" i="65"/>
  <c r="E72" i="65"/>
  <c r="E63" i="64"/>
  <c r="A78" i="63"/>
  <c r="A98" i="52"/>
  <c r="A54" i="44"/>
  <c r="E79" i="56"/>
  <c r="E55" i="69"/>
  <c r="E56" i="67"/>
  <c r="E76" i="44"/>
  <c r="E83" i="56"/>
  <c r="A93" i="69"/>
  <c r="A53" i="67"/>
  <c r="A128" i="44"/>
  <c r="A121" i="56"/>
  <c r="A69" i="69"/>
  <c r="E83" i="67"/>
  <c r="A64" i="69"/>
  <c r="A113" i="65"/>
  <c r="A58" i="64"/>
  <c r="A128" i="63"/>
  <c r="E49" i="56"/>
  <c r="A75" i="67"/>
  <c r="A53" i="52"/>
  <c r="E77" i="65"/>
  <c r="A43" i="65"/>
  <c r="E49" i="64"/>
  <c r="A64" i="63"/>
  <c r="A93" i="63"/>
  <c r="E72" i="56"/>
  <c r="C46" i="52"/>
  <c r="E64" i="52"/>
  <c r="E51" i="65"/>
  <c r="A70" i="64"/>
  <c r="A84" i="64"/>
  <c r="E72" i="63"/>
  <c r="E54" i="65"/>
  <c r="E78" i="44"/>
  <c r="E54" i="44"/>
  <c r="E85" i="56"/>
  <c r="A70" i="69"/>
  <c r="A99" i="69"/>
  <c r="E60" i="67"/>
  <c r="A55" i="67"/>
  <c r="A92" i="44"/>
  <c r="E71" i="44"/>
  <c r="A52" i="56"/>
  <c r="A65" i="56"/>
  <c r="E86" i="69"/>
  <c r="A120" i="69"/>
  <c r="E57" i="67"/>
  <c r="A92" i="52"/>
  <c r="A66" i="44"/>
  <c r="E53" i="44"/>
  <c r="A95" i="56"/>
  <c r="E47" i="56"/>
  <c r="E67" i="69"/>
  <c r="E52" i="69"/>
  <c r="A98" i="67"/>
  <c r="A66" i="52"/>
  <c r="E51" i="44"/>
  <c r="E46" i="69"/>
  <c r="A121" i="52"/>
  <c r="A51" i="65"/>
  <c r="A75" i="65"/>
  <c r="A95" i="64"/>
  <c r="E70" i="64"/>
  <c r="E53" i="63"/>
  <c r="E43" i="44"/>
  <c r="E66" i="44"/>
  <c r="A130" i="56"/>
  <c r="E64" i="56"/>
  <c r="A62" i="69"/>
  <c r="A86" i="69"/>
  <c r="A123" i="67"/>
  <c r="E47" i="67"/>
  <c r="A76" i="44"/>
  <c r="E63" i="44"/>
  <c r="A128" i="56"/>
  <c r="A57" i="56"/>
  <c r="E77" i="69"/>
  <c r="A88" i="69"/>
  <c r="E49" i="67"/>
  <c r="A76" i="52"/>
  <c r="A58" i="44"/>
  <c r="A46" i="44"/>
  <c r="E84" i="56"/>
  <c r="A109" i="56"/>
  <c r="E59" i="69"/>
  <c r="A113" i="67"/>
  <c r="E66" i="67"/>
  <c r="A58" i="52"/>
  <c r="C49" i="44"/>
  <c r="A64" i="67"/>
  <c r="A93" i="52"/>
  <c r="E74" i="65"/>
  <c r="A61" i="65"/>
  <c r="E84" i="64"/>
  <c r="E54" i="64"/>
  <c r="A46" i="63"/>
  <c r="A78" i="44"/>
  <c r="E44" i="56"/>
  <c r="E79" i="69"/>
  <c r="E51" i="67"/>
  <c r="A65" i="44"/>
  <c r="E53" i="56"/>
  <c r="E70" i="69"/>
  <c r="A79" i="67"/>
  <c r="E90" i="44"/>
  <c r="E92" i="56"/>
  <c r="A116" i="69"/>
  <c r="A59" i="67"/>
  <c r="A79" i="56"/>
  <c r="A109" i="52"/>
  <c r="A85" i="64"/>
  <c r="A50" i="63"/>
  <c r="E82" i="56"/>
  <c r="E62" i="67"/>
  <c r="A61" i="52"/>
  <c r="E86" i="65"/>
  <c r="E62" i="65"/>
  <c r="E57" i="64"/>
  <c r="A72" i="63"/>
  <c r="A121" i="63"/>
  <c r="A61" i="56"/>
  <c r="E80" i="52"/>
  <c r="E78" i="52"/>
  <c r="E59" i="65"/>
  <c r="A78" i="64"/>
  <c r="A93" i="64"/>
  <c r="E44" i="63"/>
  <c r="A60" i="65"/>
  <c r="E52" i="44"/>
  <c r="A49" i="56"/>
  <c r="A75" i="69"/>
  <c r="E92" i="67"/>
  <c r="E55" i="44"/>
  <c r="C49" i="56"/>
  <c r="E58" i="69"/>
  <c r="A68" i="52"/>
  <c r="A99" i="44"/>
  <c r="E74" i="56"/>
  <c r="A85" i="67"/>
  <c r="A50" i="52"/>
  <c r="A128" i="67"/>
  <c r="E46" i="65"/>
  <c r="E75" i="64"/>
  <c r="A109" i="63"/>
  <c r="A107" i="69"/>
  <c r="A123" i="52"/>
  <c r="E46" i="52"/>
  <c r="A46" i="65"/>
  <c r="A64" i="64"/>
  <c r="A75" i="64"/>
  <c r="E58" i="63"/>
  <c r="C46" i="44"/>
  <c r="E49" i="69"/>
  <c r="E49" i="52"/>
  <c r="A70" i="65"/>
  <c r="A81" i="65"/>
  <c r="E72" i="64"/>
  <c r="E47" i="64"/>
  <c r="E82" i="64"/>
  <c r="A127" i="67"/>
  <c r="E55" i="64"/>
  <c r="E47" i="65"/>
  <c r="A79" i="63"/>
  <c r="A109" i="53"/>
  <c r="E44" i="69"/>
  <c r="A60" i="44"/>
  <c r="E61" i="69"/>
  <c r="A116" i="44"/>
  <c r="E43" i="69"/>
  <c r="A64" i="56"/>
  <c r="E78" i="65"/>
  <c r="A107" i="56"/>
  <c r="A79" i="52"/>
  <c r="A114" i="65"/>
  <c r="A107" i="63"/>
  <c r="A120" i="56"/>
  <c r="A51" i="52"/>
  <c r="A130" i="64"/>
  <c r="A62" i="63"/>
  <c r="A114" i="64"/>
  <c r="A71" i="53"/>
  <c r="A126" i="53"/>
  <c r="E63" i="62"/>
  <c r="A119" i="59"/>
  <c r="E58" i="59"/>
  <c r="A60" i="60"/>
  <c r="E60" i="52"/>
  <c r="E90" i="64"/>
  <c r="A85" i="53"/>
  <c r="E67" i="53"/>
  <c r="A50" i="62"/>
  <c r="A71" i="62"/>
  <c r="E79" i="59"/>
  <c r="E83" i="59"/>
  <c r="A127" i="52"/>
  <c r="E74" i="64"/>
  <c r="E73" i="44"/>
  <c r="A126" i="69"/>
  <c r="A57" i="44"/>
  <c r="A68" i="67"/>
  <c r="E83" i="44"/>
  <c r="A50" i="67"/>
  <c r="C49" i="67"/>
  <c r="E43" i="64"/>
  <c r="E91" i="69"/>
  <c r="E80" i="65"/>
  <c r="C46" i="64"/>
  <c r="A95" i="63"/>
  <c r="A67" i="69"/>
  <c r="A54" i="65"/>
  <c r="A43" i="64"/>
  <c r="A72" i="69"/>
  <c r="E83" i="63"/>
  <c r="A128" i="53"/>
  <c r="A92" i="62"/>
  <c r="E60" i="62"/>
  <c r="A52" i="59"/>
  <c r="A67" i="59"/>
  <c r="A128" i="60"/>
  <c r="A112" i="65"/>
  <c r="E63" i="63"/>
  <c r="A91" i="53"/>
  <c r="A84" i="53"/>
  <c r="E77" i="62"/>
  <c r="E70" i="62"/>
  <c r="A114" i="59"/>
  <c r="A74" i="60"/>
  <c r="E68" i="56"/>
  <c r="E44" i="52"/>
  <c r="A60" i="69"/>
  <c r="E71" i="52"/>
  <c r="A81" i="69"/>
  <c r="E53" i="52"/>
  <c r="C49" i="65"/>
  <c r="A107" i="44"/>
  <c r="E74" i="52"/>
  <c r="A105" i="65"/>
  <c r="A98" i="64"/>
  <c r="A81" i="44"/>
  <c r="E88" i="52"/>
  <c r="A53" i="65"/>
  <c r="A130" i="63"/>
  <c r="A46" i="64"/>
  <c r="A60" i="53"/>
  <c r="A86" i="53"/>
  <c r="E79" i="62"/>
  <c r="E74" i="62"/>
  <c r="A120" i="59"/>
  <c r="A76" i="60"/>
  <c r="E68" i="67"/>
  <c r="A116" i="64"/>
  <c r="A49" i="63"/>
  <c r="E84" i="53"/>
  <c r="A66" i="62"/>
  <c r="A93" i="62"/>
  <c r="A106" i="59"/>
  <c r="C49" i="59"/>
  <c r="A72" i="52"/>
  <c r="A48" i="56"/>
  <c r="A63" i="56"/>
  <c r="A107" i="52"/>
  <c r="E75" i="52"/>
  <c r="A119" i="53"/>
  <c r="E65" i="59"/>
  <c r="A51" i="63"/>
  <c r="A58" i="59"/>
  <c r="E70" i="65"/>
  <c r="A43" i="63"/>
  <c r="E82" i="53"/>
  <c r="A64" i="62"/>
  <c r="A91" i="62"/>
  <c r="A100" i="59"/>
  <c r="E47" i="59"/>
  <c r="A72" i="67"/>
  <c r="A78" i="62"/>
  <c r="E76" i="60"/>
  <c r="E45" i="60"/>
  <c r="E52" i="58"/>
  <c r="A102" i="57"/>
  <c r="E47" i="57"/>
  <c r="A54" i="55"/>
  <c r="A71" i="55"/>
  <c r="E45" i="50"/>
  <c r="E85" i="50"/>
  <c r="A48" i="49"/>
  <c r="A49" i="64"/>
  <c r="A59" i="52"/>
  <c r="A70" i="63"/>
  <c r="E77" i="64"/>
  <c r="A88" i="63"/>
  <c r="A112" i="44"/>
  <c r="A65" i="69"/>
  <c r="A48" i="44"/>
  <c r="A119" i="67"/>
  <c r="A75" i="44"/>
  <c r="A74" i="67"/>
  <c r="E69" i="67"/>
  <c r="E67" i="64"/>
  <c r="A56" i="69"/>
  <c r="A107" i="65"/>
  <c r="A56" i="64"/>
  <c r="A123" i="63"/>
  <c r="A43" i="69"/>
  <c r="A62" i="65"/>
  <c r="E56" i="64"/>
  <c r="E90" i="56"/>
  <c r="E49" i="63"/>
  <c r="E54" i="53"/>
  <c r="A119" i="62"/>
  <c r="E76" i="62"/>
  <c r="A60" i="59"/>
  <c r="A77" i="59"/>
  <c r="E62" i="60"/>
  <c r="A52" i="65"/>
  <c r="E79" i="63"/>
  <c r="A50" i="53"/>
  <c r="A105" i="53"/>
  <c r="E86" i="62"/>
  <c r="E92" i="62"/>
  <c r="A48" i="59"/>
  <c r="A85" i="60"/>
  <c r="A67" i="65"/>
  <c r="E73" i="63"/>
  <c r="A54" i="56"/>
  <c r="E59" i="67"/>
  <c r="E61" i="56"/>
  <c r="A91" i="67"/>
  <c r="E43" i="56"/>
  <c r="A67" i="67"/>
  <c r="E47" i="52"/>
  <c r="A58" i="63"/>
  <c r="E61" i="67"/>
  <c r="A100" i="65"/>
  <c r="E65" i="64"/>
  <c r="E62" i="63"/>
  <c r="E78" i="67"/>
  <c r="E67" i="65"/>
  <c r="A121" i="64"/>
  <c r="A119" i="65"/>
  <c r="C43" i="63"/>
  <c r="E69" i="53"/>
  <c r="A52" i="62"/>
  <c r="A75" i="62"/>
  <c r="E82" i="59"/>
  <c r="E85" i="59"/>
  <c r="A72" i="56"/>
  <c r="E83" i="65"/>
  <c r="A77" i="63"/>
  <c r="A88" i="53"/>
  <c r="E68" i="53"/>
  <c r="A46" i="62"/>
  <c r="A74" i="59"/>
  <c r="A99" i="59"/>
  <c r="E44" i="44"/>
  <c r="A48" i="69"/>
  <c r="E62" i="44"/>
  <c r="A84" i="69"/>
  <c r="A100" i="44"/>
  <c r="A61" i="69"/>
  <c r="A112" i="69"/>
  <c r="A50" i="64"/>
  <c r="E52" i="56"/>
  <c r="E45" i="52"/>
  <c r="A107" i="64"/>
  <c r="A56" i="63"/>
  <c r="E80" i="69"/>
  <c r="A130" i="65"/>
  <c r="A62" i="64"/>
  <c r="E52" i="63"/>
  <c r="E46" i="63"/>
  <c r="E45" i="53"/>
  <c r="E72" i="53"/>
  <c r="A48" i="62"/>
  <c r="A76" i="59"/>
  <c r="A105" i="59"/>
  <c r="A98" i="60"/>
  <c r="A120" i="52"/>
  <c r="A52" i="63"/>
  <c r="A66" i="53"/>
  <c r="E51" i="53"/>
  <c r="A128" i="62"/>
  <c r="A55" i="62"/>
  <c r="E63" i="59"/>
  <c r="E56" i="59"/>
  <c r="E76" i="52"/>
  <c r="A71" i="67"/>
  <c r="A85" i="52"/>
  <c r="E61" i="65"/>
  <c r="A59" i="65"/>
  <c r="E53" i="53"/>
  <c r="E60" i="59"/>
  <c r="E50" i="53"/>
  <c r="A75" i="59"/>
  <c r="A53" i="64"/>
  <c r="A64" i="53"/>
  <c r="E49" i="53"/>
  <c r="A123" i="62"/>
  <c r="A53" i="62"/>
  <c r="E61" i="59"/>
  <c r="E50" i="59"/>
  <c r="E86" i="64"/>
  <c r="E46" i="62"/>
  <c r="E71" i="60"/>
  <c r="A102" i="58"/>
  <c r="E73" i="58"/>
  <c r="A54" i="57"/>
  <c r="A91" i="57"/>
  <c r="E84" i="55"/>
  <c r="A98" i="55"/>
  <c r="A112" i="50"/>
  <c r="A102" i="49"/>
  <c r="E43" i="63"/>
  <c r="E84" i="65"/>
  <c r="E58" i="44"/>
  <c r="A119" i="63"/>
  <c r="A76" i="53"/>
  <c r="A78" i="56"/>
  <c r="E84" i="67"/>
  <c r="E86" i="56"/>
  <c r="E72" i="67"/>
  <c r="E67" i="56"/>
  <c r="A105" i="67"/>
  <c r="A71" i="52"/>
  <c r="A85" i="63"/>
  <c r="A100" i="67"/>
  <c r="A128" i="65"/>
  <c r="E73" i="64"/>
  <c r="E85" i="63"/>
  <c r="A65" i="67"/>
  <c r="E75" i="65"/>
  <c r="A48" i="64"/>
  <c r="C49" i="52"/>
  <c r="A53" i="63"/>
  <c r="E77" i="53"/>
  <c r="A60" i="62"/>
  <c r="A86" i="62"/>
  <c r="E91" i="59"/>
  <c r="C43" i="59"/>
  <c r="A95" i="44"/>
  <c r="A93" i="65"/>
  <c r="A105" i="63"/>
  <c r="C43" i="53"/>
  <c r="E83" i="53"/>
  <c r="E53" i="62"/>
  <c r="A85" i="59"/>
  <c r="A127" i="59"/>
  <c r="E59" i="44"/>
  <c r="A79" i="65"/>
  <c r="A91" i="63"/>
  <c r="A67" i="56"/>
  <c r="A102" i="52"/>
  <c r="E50" i="56"/>
  <c r="A81" i="52"/>
  <c r="A85" i="69"/>
  <c r="A100" i="52"/>
  <c r="E71" i="65"/>
  <c r="A86" i="63"/>
  <c r="E65" i="52"/>
  <c r="E45" i="65"/>
  <c r="A57" i="64"/>
  <c r="A123" i="44"/>
  <c r="E66" i="52"/>
  <c r="A99" i="65"/>
  <c r="E92" i="64"/>
  <c r="A60" i="64"/>
  <c r="A68" i="53"/>
  <c r="A116" i="53"/>
  <c r="E89" i="62"/>
  <c r="A126" i="62"/>
  <c r="E49" i="59"/>
  <c r="A92" i="60"/>
  <c r="E77" i="67"/>
  <c r="E69" i="64"/>
  <c r="E74" i="63"/>
  <c r="A95" i="53"/>
  <c r="A74" i="62"/>
  <c r="A121" i="62"/>
  <c r="E52" i="59"/>
  <c r="A57" i="59"/>
  <c r="A86" i="44"/>
  <c r="A78" i="67"/>
  <c r="A119" i="56"/>
  <c r="A112" i="67"/>
  <c r="A74" i="56"/>
  <c r="E79" i="67"/>
  <c r="E67" i="52"/>
  <c r="A59" i="64"/>
  <c r="A77" i="69"/>
  <c r="A56" i="65"/>
  <c r="E46" i="64"/>
  <c r="E67" i="63"/>
  <c r="C46" i="67"/>
  <c r="E60" i="65"/>
  <c r="E79" i="64"/>
  <c r="A57" i="67"/>
  <c r="A116" i="63"/>
  <c r="A100" i="53"/>
  <c r="A76" i="62"/>
  <c r="A127" i="62"/>
  <c r="A81" i="59"/>
  <c r="A59" i="59"/>
  <c r="A100" i="60"/>
  <c r="E65" i="65"/>
  <c r="A48" i="63"/>
  <c r="A69" i="53"/>
  <c r="A59" i="53"/>
  <c r="E69" i="62"/>
  <c r="A49" i="62"/>
  <c r="E72" i="59"/>
  <c r="A66" i="60"/>
  <c r="E57" i="65"/>
  <c r="A86" i="56"/>
  <c r="A58" i="65"/>
  <c r="A99" i="64"/>
  <c r="A63" i="64"/>
  <c r="E52" i="62"/>
  <c r="E62" i="69"/>
  <c r="A113" i="62"/>
  <c r="A112" i="56"/>
  <c r="E57" i="63"/>
  <c r="A65" i="53"/>
  <c r="A55" i="53"/>
  <c r="E67" i="62"/>
  <c r="A43" i="62"/>
  <c r="E68" i="59"/>
  <c r="A64" i="60"/>
  <c r="E90" i="63"/>
  <c r="E44" i="59"/>
  <c r="A109" i="60"/>
  <c r="A54" i="58"/>
  <c r="A121" i="58"/>
  <c r="A49" i="57"/>
  <c r="A53" i="57"/>
  <c r="E51" i="55"/>
  <c r="A102" i="50"/>
  <c r="E65" i="50"/>
  <c r="A54" i="49"/>
  <c r="E73" i="56"/>
  <c r="E58" i="65"/>
  <c r="A86" i="52"/>
  <c r="E65" i="63"/>
  <c r="A99" i="53"/>
  <c r="A105" i="56"/>
  <c r="E76" i="67"/>
  <c r="A126" i="56"/>
  <c r="A60" i="52"/>
  <c r="E62" i="56"/>
  <c r="E92" i="52"/>
  <c r="A106" i="65"/>
  <c r="E68" i="63"/>
  <c r="E82" i="52"/>
  <c r="A65" i="65"/>
  <c r="A65" i="64"/>
  <c r="A120" i="44"/>
  <c r="A126" i="52"/>
  <c r="A127" i="65"/>
  <c r="A120" i="64"/>
  <c r="A119" i="64"/>
  <c r="A92" i="53"/>
  <c r="A46" i="53"/>
  <c r="A106" i="62"/>
  <c r="C49" i="62"/>
  <c r="E57" i="59"/>
  <c r="A119" i="60"/>
  <c r="A59" i="69"/>
  <c r="A128" i="64"/>
  <c r="A126" i="63"/>
  <c r="A123" i="53"/>
  <c r="A85" i="62"/>
  <c r="E56" i="62"/>
  <c r="A50" i="59"/>
  <c r="A65" i="59"/>
  <c r="E68" i="69"/>
  <c r="A100" i="64"/>
  <c r="A102" i="44"/>
  <c r="E89" i="69"/>
  <c r="A84" i="44"/>
  <c r="E83" i="69"/>
  <c r="C43" i="44"/>
  <c r="A49" i="69"/>
  <c r="E70" i="56"/>
  <c r="A113" i="64"/>
  <c r="A56" i="56"/>
  <c r="A69" i="52"/>
  <c r="E76" i="65"/>
  <c r="E80" i="63"/>
  <c r="A116" i="56"/>
  <c r="C43" i="52"/>
  <c r="A102" i="64"/>
  <c r="A54" i="63"/>
  <c r="A60" i="63"/>
  <c r="A57" i="53"/>
  <c r="E85" i="53"/>
  <c r="E55" i="62"/>
  <c r="A92" i="59"/>
  <c r="A43" i="59"/>
  <c r="A52" i="60"/>
  <c r="A75" i="52"/>
  <c r="A92" i="63"/>
  <c r="A74" i="53"/>
  <c r="E59" i="53"/>
  <c r="E85" i="62"/>
  <c r="A63" i="62"/>
  <c r="E71" i="59"/>
  <c r="E70" i="59"/>
  <c r="E71" i="56"/>
  <c r="A121" i="67"/>
  <c r="E60" i="56"/>
  <c r="E45" i="67"/>
  <c r="A93" i="56"/>
  <c r="E70" i="67"/>
  <c r="A85" i="65"/>
  <c r="A100" i="63"/>
  <c r="A126" i="67"/>
  <c r="E69" i="65"/>
  <c r="A127" i="64"/>
  <c r="A84" i="63"/>
  <c r="A95" i="52"/>
  <c r="E43" i="65"/>
  <c r="A71" i="64"/>
  <c r="E73" i="65"/>
  <c r="E56" i="63"/>
  <c r="E61" i="53"/>
  <c r="A98" i="62"/>
  <c r="A65" i="62"/>
  <c r="E73" i="59"/>
  <c r="E74" i="59"/>
  <c r="A91" i="56"/>
  <c r="A92" i="64"/>
  <c r="A61" i="63"/>
  <c r="E66" i="53"/>
  <c r="E52" i="53"/>
  <c r="A109" i="62"/>
  <c r="A66" i="59"/>
  <c r="A86" i="59"/>
  <c r="A53" i="56"/>
  <c r="A76" i="64"/>
  <c r="E58" i="67"/>
  <c r="E69" i="63"/>
  <c r="A71" i="63"/>
  <c r="A91" i="65"/>
  <c r="A57" i="62"/>
  <c r="A52" i="64"/>
  <c r="E72" i="62"/>
  <c r="A65" i="52"/>
  <c r="A59" i="63"/>
  <c r="E62" i="53"/>
  <c r="A49" i="53"/>
  <c r="E83" i="62"/>
  <c r="A64" i="59"/>
  <c r="A84" i="59"/>
  <c r="E68" i="60"/>
  <c r="A106" i="53"/>
  <c r="A61" i="59"/>
  <c r="A79" i="60"/>
  <c r="C49" i="58"/>
  <c r="E85" i="58"/>
  <c r="E73" i="57"/>
  <c r="A102" i="55"/>
  <c r="E58" i="55"/>
  <c r="A54" i="50"/>
  <c r="A99" i="50"/>
  <c r="E79" i="49"/>
  <c r="E92" i="49"/>
  <c r="A43" i="49"/>
  <c r="E50" i="48"/>
  <c r="A65" i="48"/>
  <c r="E65" i="74"/>
  <c r="A75" i="53"/>
  <c r="E92" i="59"/>
  <c r="A105" i="60"/>
  <c r="A79" i="58"/>
  <c r="A63" i="58"/>
  <c r="E89" i="57"/>
  <c r="E62" i="57"/>
  <c r="E83" i="55"/>
  <c r="A68" i="50"/>
  <c r="A48" i="50"/>
  <c r="A100" i="49"/>
  <c r="C49" i="49"/>
  <c r="E86" i="48"/>
  <c r="E58" i="48"/>
  <c r="A48" i="74"/>
  <c r="A68" i="72"/>
  <c r="E58" i="53"/>
  <c r="A79" i="59"/>
  <c r="A86" i="60"/>
  <c r="A57" i="58"/>
  <c r="A109" i="58"/>
  <c r="E77" i="57"/>
  <c r="A113" i="55"/>
  <c r="E66" i="55"/>
  <c r="A58" i="50"/>
  <c r="A116" i="50"/>
  <c r="E84" i="49"/>
  <c r="A114" i="49"/>
  <c r="E75" i="48"/>
  <c r="A113" i="74"/>
  <c r="A126" i="74"/>
  <c r="A58" i="72"/>
  <c r="E50" i="60"/>
  <c r="A100" i="55"/>
  <c r="A85" i="44"/>
  <c r="E56" i="44"/>
  <c r="E80" i="56"/>
  <c r="A69" i="64"/>
  <c r="E54" i="62"/>
  <c r="A61" i="64"/>
  <c r="A84" i="62"/>
  <c r="A76" i="65"/>
  <c r="E47" i="63"/>
  <c r="E46" i="53"/>
  <c r="A107" i="62"/>
  <c r="E68" i="62"/>
  <c r="A56" i="59"/>
  <c r="A71" i="59"/>
  <c r="A49" i="60"/>
  <c r="E63" i="53"/>
  <c r="E76" i="59"/>
  <c r="A69" i="60"/>
  <c r="A126" i="58"/>
  <c r="E70" i="58"/>
  <c r="E65" i="57"/>
  <c r="A78" i="55"/>
  <c r="A121" i="55"/>
  <c r="E44" i="50"/>
  <c r="A84" i="50"/>
  <c r="E71" i="49"/>
  <c r="E74" i="49"/>
  <c r="E63" i="48"/>
  <c r="A78" i="74"/>
  <c r="E65" i="56"/>
  <c r="E60" i="53"/>
  <c r="A50" i="60"/>
  <c r="A51" i="60"/>
  <c r="E64" i="58"/>
  <c r="A119" i="57"/>
  <c r="A48" i="57"/>
  <c r="A60" i="55"/>
  <c r="A79" i="55"/>
  <c r="A53" i="50"/>
  <c r="A98" i="50"/>
  <c r="E53" i="49"/>
  <c r="A119" i="48"/>
  <c r="A46" i="48"/>
  <c r="A60" i="74"/>
  <c r="A105" i="74"/>
  <c r="E90" i="52"/>
  <c r="A62" i="62"/>
  <c r="E66" i="60"/>
  <c r="A126" i="60"/>
  <c r="A128" i="58"/>
  <c r="A85" i="57"/>
  <c r="A109" i="57"/>
  <c r="A50" i="55"/>
  <c r="A67" i="55"/>
  <c r="A126" i="50"/>
  <c r="A81" i="50"/>
  <c r="E43" i="49"/>
  <c r="A85" i="48"/>
  <c r="A93" i="48"/>
  <c r="A50" i="74"/>
  <c r="A86" i="74"/>
  <c r="E50" i="63"/>
  <c r="A55" i="69"/>
  <c r="E50" i="64"/>
  <c r="C46" i="63"/>
  <c r="A112" i="63"/>
  <c r="A114" i="62"/>
  <c r="A92" i="65"/>
  <c r="A100" i="62"/>
  <c r="A46" i="67"/>
  <c r="E54" i="63"/>
  <c r="A120" i="53"/>
  <c r="A81" i="53"/>
  <c r="E51" i="62"/>
  <c r="E80" i="59"/>
  <c r="A121" i="59"/>
  <c r="C46" i="60"/>
  <c r="E44" i="53"/>
  <c r="E43" i="59"/>
  <c r="A116" i="60"/>
  <c r="A84" i="58"/>
  <c r="A67" i="58"/>
  <c r="E91" i="57"/>
  <c r="E70" i="57"/>
  <c r="E85" i="55"/>
  <c r="A70" i="50"/>
  <c r="E49" i="50"/>
  <c r="A106" i="49"/>
  <c r="A51" i="49"/>
  <c r="E89" i="48"/>
  <c r="A67" i="49"/>
  <c r="E71" i="48"/>
  <c r="A102" i="74"/>
  <c r="A109" i="74"/>
  <c r="A67" i="53"/>
  <c r="A70" i="60"/>
  <c r="A59" i="60"/>
  <c r="E78" i="58"/>
  <c r="E50" i="58"/>
  <c r="E55" i="57"/>
  <c r="A68" i="55"/>
  <c r="A91" i="55"/>
  <c r="A69" i="50"/>
  <c r="A55" i="50"/>
  <c r="E61" i="49"/>
  <c r="E56" i="49"/>
  <c r="E53" i="48"/>
  <c r="A68" i="74"/>
  <c r="A43" i="74"/>
  <c r="E58" i="56"/>
  <c r="A130" i="62"/>
  <c r="E44" i="60"/>
  <c r="C49" i="60"/>
  <c r="E60" i="58"/>
  <c r="A113" i="57"/>
  <c r="A46" i="57"/>
  <c r="A58" i="55"/>
  <c r="A77" i="55"/>
  <c r="C49" i="50"/>
  <c r="E92" i="50"/>
  <c r="E51" i="49"/>
  <c r="A113" i="48"/>
  <c r="E43" i="48"/>
  <c r="A58" i="74"/>
  <c r="A99" i="74"/>
  <c r="E66" i="65"/>
  <c r="E84" i="58"/>
  <c r="A102" i="69"/>
  <c r="E84" i="69"/>
  <c r="A49" i="52"/>
  <c r="A77" i="52"/>
  <c r="A52" i="53"/>
  <c r="A88" i="59"/>
  <c r="A113" i="53"/>
  <c r="E89" i="59"/>
  <c r="E85" i="64"/>
  <c r="A107" i="53"/>
  <c r="E73" i="53"/>
  <c r="A56" i="62"/>
  <c r="A79" i="62"/>
  <c r="E86" i="59"/>
  <c r="A109" i="59"/>
  <c r="A99" i="52"/>
  <c r="E44" i="62"/>
  <c r="A43" i="60"/>
  <c r="E92" i="60"/>
  <c r="A112" i="58"/>
  <c r="A78" i="57"/>
  <c r="E85" i="57"/>
  <c r="E44" i="55"/>
  <c r="A63" i="55"/>
  <c r="A88" i="50"/>
  <c r="E68" i="50"/>
  <c r="A109" i="49"/>
  <c r="A78" i="48"/>
  <c r="A84" i="48"/>
  <c r="E44" i="74"/>
  <c r="E52" i="65"/>
  <c r="A120" i="62"/>
  <c r="E77" i="60"/>
  <c r="A119" i="58"/>
  <c r="E79" i="58"/>
  <c r="A60" i="57"/>
  <c r="A105" i="57"/>
  <c r="E91" i="55"/>
  <c r="E45" i="55"/>
  <c r="A49" i="50"/>
  <c r="A119" i="49"/>
  <c r="E54" i="49"/>
  <c r="A60" i="48"/>
  <c r="A114" i="48"/>
  <c r="A49" i="74"/>
  <c r="A59" i="74"/>
  <c r="A79" i="64"/>
  <c r="E88" i="62"/>
  <c r="E67" i="60"/>
  <c r="A85" i="58"/>
  <c r="E69" i="58"/>
  <c r="A50" i="57"/>
  <c r="A86" i="57"/>
  <c r="E79" i="55"/>
  <c r="E90" i="55"/>
  <c r="A100" i="50"/>
  <c r="A85" i="49"/>
  <c r="A121" i="49"/>
  <c r="A50" i="48"/>
  <c r="E78" i="48"/>
  <c r="A100" i="74"/>
  <c r="E47" i="74"/>
  <c r="A55" i="44"/>
  <c r="E69" i="44"/>
  <c r="A69" i="56"/>
  <c r="C46" i="69"/>
  <c r="E82" i="63"/>
  <c r="A68" i="59"/>
  <c r="A106" i="63"/>
  <c r="E47" i="62"/>
  <c r="E91" i="65"/>
  <c r="E92" i="63"/>
  <c r="A112" i="53"/>
  <c r="E80" i="62"/>
  <c r="E50" i="62"/>
  <c r="C46" i="59"/>
  <c r="A63" i="59"/>
  <c r="A112" i="60"/>
  <c r="E88" i="53"/>
  <c r="A78" i="60"/>
  <c r="A61" i="60"/>
  <c r="A88" i="58"/>
  <c r="E54" i="58"/>
  <c r="E57" i="57"/>
  <c r="A70" i="55"/>
  <c r="A93" i="55"/>
  <c r="A71" i="50"/>
  <c r="A59" i="50"/>
  <c r="E63" i="49"/>
  <c r="E60" i="49"/>
  <c r="A102" i="48"/>
  <c r="A116" i="48"/>
  <c r="A54" i="74"/>
  <c r="E82" i="65"/>
  <c r="E73" i="62"/>
  <c r="E89" i="60"/>
  <c r="E58" i="60"/>
  <c r="E89" i="58"/>
  <c r="A68" i="57"/>
  <c r="E46" i="57"/>
  <c r="A112" i="55"/>
  <c r="A53" i="55"/>
  <c r="E66" i="50"/>
  <c r="E50" i="50"/>
  <c r="E72" i="49"/>
  <c r="A68" i="48"/>
  <c r="A67" i="48"/>
  <c r="E70" i="74"/>
  <c r="A67" i="74"/>
  <c r="A68" i="64"/>
  <c r="E78" i="62"/>
  <c r="E75" i="60"/>
  <c r="A113" i="58"/>
  <c r="E77" i="58"/>
  <c r="A58" i="57"/>
  <c r="A99" i="57"/>
  <c r="E89" i="55"/>
  <c r="C43" i="55"/>
  <c r="A128" i="50"/>
  <c r="A113" i="49"/>
  <c r="E50" i="49"/>
  <c r="A58" i="48"/>
  <c r="E92" i="48"/>
  <c r="A128" i="74"/>
  <c r="A57" i="74"/>
  <c r="E57" i="62"/>
  <c r="A64" i="57"/>
  <c r="A112" i="52"/>
  <c r="E70" i="44"/>
  <c r="A86" i="65"/>
  <c r="E90" i="65"/>
  <c r="A63" i="53"/>
  <c r="A68" i="60"/>
  <c r="E75" i="53"/>
  <c r="A126" i="59"/>
  <c r="A76" i="63"/>
  <c r="A56" i="53"/>
  <c r="A127" i="53"/>
  <c r="A95" i="62"/>
  <c r="E45" i="62"/>
  <c r="E53" i="59"/>
  <c r="A107" i="60"/>
  <c r="E58" i="64"/>
  <c r="A67" i="62"/>
  <c r="E63" i="60"/>
  <c r="A78" i="58"/>
  <c r="E65" i="58"/>
  <c r="E44" i="57"/>
  <c r="A79" i="57"/>
  <c r="E75" i="55"/>
  <c r="E74" i="55"/>
  <c r="E91" i="50"/>
  <c r="A78" i="49"/>
  <c r="A105" i="49"/>
  <c r="E44" i="48"/>
  <c r="E74" i="48"/>
  <c r="E91" i="74"/>
  <c r="A67" i="63"/>
  <c r="A70" i="59"/>
  <c r="A46" i="60"/>
  <c r="A60" i="58"/>
  <c r="A48" i="58"/>
  <c r="E66" i="57"/>
  <c r="A59" i="57"/>
  <c r="E57" i="55"/>
  <c r="A119" i="50"/>
  <c r="E71" i="50"/>
  <c r="A60" i="49"/>
  <c r="A75" i="49"/>
  <c r="A81" i="48"/>
  <c r="A105" i="48"/>
  <c r="E71" i="74"/>
  <c r="A119" i="72"/>
  <c r="A130" i="53"/>
  <c r="A95" i="59"/>
  <c r="A81" i="60"/>
  <c r="A50" i="58"/>
  <c r="A99" i="58"/>
  <c r="A128" i="57"/>
  <c r="C49" i="57"/>
  <c r="A48" i="55"/>
  <c r="A85" i="50"/>
  <c r="E61" i="50"/>
  <c r="A50" i="49"/>
  <c r="A63" i="49"/>
  <c r="A123" i="48"/>
  <c r="C49" i="48"/>
  <c r="E61" i="74"/>
  <c r="A85" i="72"/>
  <c r="E56" i="69"/>
  <c r="A114" i="69"/>
  <c r="E83" i="52"/>
  <c r="A102" i="65"/>
  <c r="E70" i="53"/>
  <c r="E88" i="59"/>
  <c r="A58" i="53"/>
  <c r="E55" i="59"/>
  <c r="E61" i="64"/>
  <c r="E80" i="53"/>
  <c r="E65" i="53"/>
  <c r="C46" i="62"/>
  <c r="A69" i="62"/>
  <c r="E77" i="59"/>
  <c r="E78" i="59"/>
  <c r="A88" i="65"/>
  <c r="E82" i="62"/>
  <c r="E91" i="60"/>
  <c r="E64" i="60"/>
  <c r="E91" i="58"/>
  <c r="A70" i="57"/>
  <c r="E52" i="57"/>
  <c r="A123" i="55"/>
  <c r="A54" i="48"/>
  <c r="E85" i="48"/>
  <c r="A112" i="74"/>
  <c r="E55" i="63"/>
  <c r="E58" i="62"/>
  <c r="E53" i="60"/>
  <c r="A68" i="58"/>
  <c r="E55" i="58"/>
  <c r="E76" i="57"/>
  <c r="A67" i="57"/>
  <c r="E65" i="55"/>
  <c r="E52" i="55"/>
  <c r="E79" i="50"/>
  <c r="A68" i="49"/>
  <c r="A86" i="49"/>
  <c r="E47" i="48"/>
  <c r="E54" i="48"/>
  <c r="E79" i="74"/>
  <c r="E66" i="74"/>
  <c r="A55" i="63"/>
  <c r="A62" i="59"/>
  <c r="E43" i="60"/>
  <c r="A58" i="58"/>
  <c r="A46" i="58"/>
  <c r="E60" i="57"/>
  <c r="A57" i="57"/>
  <c r="E55" i="55"/>
  <c r="A113" i="50"/>
  <c r="E69" i="50"/>
  <c r="A58" i="49"/>
  <c r="A71" i="49"/>
  <c r="E66" i="48"/>
  <c r="E88" i="48"/>
  <c r="E69" i="74"/>
  <c r="A113" i="72"/>
  <c r="E82" i="60"/>
  <c r="A121" i="57"/>
  <c r="A128" i="69"/>
  <c r="A116" i="65"/>
  <c r="E78" i="64"/>
  <c r="A102" i="63"/>
  <c r="E71" i="62"/>
  <c r="E73" i="52"/>
  <c r="A58" i="62"/>
  <c r="E73" i="69"/>
  <c r="A120" i="63"/>
  <c r="C49" i="53"/>
  <c r="E92" i="53"/>
  <c r="E59" i="62"/>
  <c r="A107" i="59"/>
  <c r="A49" i="59"/>
  <c r="A56" i="60"/>
  <c r="A78" i="53"/>
  <c r="E75" i="59"/>
  <c r="E52" i="60"/>
  <c r="E44" i="58"/>
  <c r="E88" i="58"/>
  <c r="A112" i="57"/>
  <c r="C43" i="57"/>
  <c r="E43" i="55"/>
  <c r="A78" i="50"/>
  <c r="E57" i="50"/>
  <c r="E44" i="49"/>
  <c r="A59" i="49"/>
  <c r="A106" i="48"/>
  <c r="A120" i="48"/>
  <c r="E57" i="74"/>
  <c r="E74" i="53"/>
  <c r="A91" i="59"/>
  <c r="E88" i="60"/>
  <c r="A61" i="58"/>
  <c r="A120" i="58"/>
  <c r="E79" i="57"/>
  <c r="A119" i="55"/>
  <c r="E68" i="55"/>
  <c r="A60" i="50"/>
  <c r="A121" i="50"/>
  <c r="E86" i="49"/>
  <c r="A126" i="49"/>
  <c r="E77" i="48"/>
  <c r="A119" i="74"/>
  <c r="C43" i="74"/>
  <c r="A60" i="72"/>
  <c r="E79" i="53"/>
  <c r="E45" i="59"/>
  <c r="A75" i="60"/>
  <c r="E45" i="58"/>
  <c r="A81" i="58"/>
  <c r="E69" i="57"/>
  <c r="A85" i="55"/>
  <c r="E50" i="55"/>
  <c r="A50" i="50"/>
  <c r="A91" i="50"/>
  <c r="E75" i="49"/>
  <c r="E78" i="49"/>
  <c r="E67" i="48"/>
  <c r="A85" i="74"/>
  <c r="A88" i="74"/>
  <c r="A50" i="72"/>
  <c r="E89" i="44"/>
  <c r="E88" i="69"/>
  <c r="E80" i="64"/>
  <c r="A54" i="64"/>
  <c r="E56" i="53"/>
  <c r="E74" i="60"/>
  <c r="E43" i="53"/>
  <c r="A113" i="60"/>
  <c r="A98" i="63"/>
  <c r="C46" i="53"/>
  <c r="A93" i="53"/>
  <c r="E84" i="62"/>
  <c r="E90" i="62"/>
  <c r="A46" i="59"/>
  <c r="E80" i="60"/>
  <c r="E71" i="63"/>
  <c r="A88" i="62"/>
  <c r="E55" i="60"/>
  <c r="A70" i="58"/>
  <c r="E57" i="58"/>
  <c r="E78" i="57"/>
  <c r="A69" i="57"/>
  <c r="E67" i="55"/>
  <c r="E56" i="55"/>
  <c r="E82" i="50"/>
  <c r="A70" i="49"/>
  <c r="E88" i="49"/>
  <c r="A53" i="48"/>
  <c r="A55" i="55"/>
  <c r="A70" i="48"/>
  <c r="E62" i="48"/>
  <c r="E49" i="74"/>
  <c r="E89" i="53"/>
  <c r="A53" i="59"/>
  <c r="A77" i="60"/>
  <c r="E47" i="58"/>
  <c r="E83" i="58"/>
  <c r="E71" i="57"/>
  <c r="A92" i="55"/>
  <c r="E54" i="55"/>
  <c r="A52" i="50"/>
  <c r="A93" i="50"/>
  <c r="E77" i="49"/>
  <c r="A88" i="49"/>
  <c r="E69" i="48"/>
  <c r="A92" i="74"/>
  <c r="E92" i="74"/>
  <c r="A52" i="72"/>
  <c r="A48" i="53"/>
  <c r="A130" i="60"/>
  <c r="A65" i="60"/>
  <c r="A98" i="58"/>
  <c r="E62" i="58"/>
  <c r="E61" i="57"/>
  <c r="A74" i="55"/>
  <c r="A105" i="55"/>
  <c r="A79" i="50"/>
  <c r="A67" i="50"/>
  <c r="E67" i="49"/>
  <c r="E68" i="49"/>
  <c r="E59" i="48"/>
  <c r="A74" i="74"/>
  <c r="E56" i="74"/>
  <c r="A59" i="72"/>
  <c r="A54" i="67"/>
  <c r="E86" i="53"/>
  <c r="A91" i="64"/>
  <c r="A61" i="62"/>
  <c r="E49" i="62"/>
  <c r="A62" i="57"/>
  <c r="E52" i="50"/>
  <c r="A51" i="48"/>
  <c r="E61" i="60"/>
  <c r="A77" i="57"/>
  <c r="A76" i="49"/>
  <c r="E89" i="74"/>
  <c r="E51" i="60"/>
  <c r="A65" i="57"/>
  <c r="A66" i="49"/>
  <c r="E77" i="74"/>
  <c r="A55" i="58"/>
  <c r="E75" i="50"/>
  <c r="A43" i="48"/>
  <c r="E74" i="72"/>
  <c r="A93" i="72"/>
  <c r="E53" i="70"/>
  <c r="A107" i="73"/>
  <c r="E73" i="73"/>
  <c r="A56" i="71"/>
  <c r="A86" i="71"/>
  <c r="E92" i="75"/>
  <c r="A120" i="75"/>
  <c r="A91" i="75"/>
  <c r="A72" i="57"/>
  <c r="A84" i="72"/>
  <c r="A69" i="59"/>
  <c r="E75" i="57"/>
  <c r="A105" i="50"/>
  <c r="A107" i="74"/>
  <c r="E56" i="72"/>
  <c r="A57" i="72"/>
  <c r="E43" i="70"/>
  <c r="A78" i="73"/>
  <c r="E63" i="73"/>
  <c r="E44" i="71"/>
  <c r="A71" i="71"/>
  <c r="A81" i="75"/>
  <c r="A63" i="50"/>
  <c r="A116" i="72"/>
  <c r="A114" i="60"/>
  <c r="C46" i="55"/>
  <c r="A120" i="49"/>
  <c r="A121" i="74"/>
  <c r="E67" i="72"/>
  <c r="A68" i="70"/>
  <c r="A86" i="70"/>
  <c r="A65" i="73"/>
  <c r="A71" i="73"/>
  <c r="E67" i="71"/>
  <c r="E60" i="71"/>
  <c r="E75" i="75"/>
  <c r="A95" i="58"/>
  <c r="E64" i="72"/>
  <c r="A71" i="70"/>
  <c r="A113" i="75"/>
  <c r="A121" i="70"/>
  <c r="E92" i="71"/>
  <c r="A93" i="70"/>
  <c r="E72" i="71"/>
  <c r="E80" i="68"/>
  <c r="E71" i="64"/>
  <c r="A72" i="44"/>
  <c r="E75" i="62"/>
  <c r="E88" i="63"/>
  <c r="E49" i="58"/>
  <c r="A130" i="50"/>
  <c r="A109" i="48"/>
  <c r="E67" i="59"/>
  <c r="A106" i="57"/>
  <c r="E55" i="50"/>
  <c r="A98" i="48"/>
  <c r="E62" i="59"/>
  <c r="E86" i="57"/>
  <c r="A46" i="50"/>
  <c r="E52" i="48"/>
  <c r="A69" i="58"/>
  <c r="A64" i="50"/>
  <c r="E82" i="48"/>
  <c r="A56" i="72"/>
  <c r="E45" i="72"/>
  <c r="E77" i="70"/>
  <c r="E74" i="70"/>
  <c r="A112" i="73"/>
  <c r="E80" i="71"/>
  <c r="E58" i="71"/>
  <c r="C46" i="75"/>
  <c r="E70" i="50"/>
  <c r="E55" i="48"/>
  <c r="A70" i="74"/>
  <c r="A99" i="67"/>
  <c r="A70" i="62"/>
  <c r="E72" i="60"/>
  <c r="C43" i="60"/>
  <c r="A49" i="58"/>
  <c r="A92" i="57"/>
  <c r="A126" i="57"/>
  <c r="A52" i="55"/>
  <c r="A69" i="55"/>
  <c r="C43" i="50"/>
  <c r="E83" i="50"/>
  <c r="A46" i="49"/>
  <c r="A92" i="48"/>
  <c r="A99" i="48"/>
  <c r="A52" i="74"/>
  <c r="E88" i="74"/>
  <c r="E54" i="52"/>
  <c r="A112" i="62"/>
  <c r="A106" i="60"/>
  <c r="A88" i="60"/>
  <c r="A100" i="58"/>
  <c r="A74" i="57"/>
  <c r="E64" i="57"/>
  <c r="A49" i="55"/>
  <c r="A59" i="55"/>
  <c r="E76" i="50"/>
  <c r="E60" i="50"/>
  <c r="E85" i="49"/>
  <c r="A74" i="48"/>
  <c r="A77" i="48"/>
  <c r="E78" i="74"/>
  <c r="A75" i="74"/>
  <c r="E47" i="53"/>
  <c r="E55" i="67"/>
  <c r="A51" i="59"/>
  <c r="A72" i="53"/>
  <c r="E69" i="59"/>
  <c r="E79" i="60"/>
  <c r="A116" i="57"/>
  <c r="A130" i="49"/>
  <c r="E54" i="74"/>
  <c r="A76" i="58"/>
  <c r="E73" i="55"/>
  <c r="A99" i="49"/>
  <c r="A98" i="74"/>
  <c r="A66" i="58"/>
  <c r="E63" i="55"/>
  <c r="A84" i="49"/>
  <c r="E58" i="74"/>
  <c r="E51" i="57"/>
  <c r="A64" i="49"/>
  <c r="E75" i="74"/>
  <c r="E89" i="72"/>
  <c r="A107" i="70"/>
  <c r="E56" i="70"/>
  <c r="A56" i="73"/>
  <c r="A127" i="73"/>
  <c r="E89" i="71"/>
  <c r="C43" i="71"/>
  <c r="A106" i="75"/>
  <c r="A102" i="75"/>
  <c r="E56" i="75"/>
  <c r="E84" i="50"/>
  <c r="A74" i="70"/>
  <c r="A84" i="60"/>
  <c r="A107" i="55"/>
  <c r="E82" i="49"/>
  <c r="A114" i="74"/>
  <c r="E77" i="72"/>
  <c r="A78" i="70"/>
  <c r="A105" i="70"/>
  <c r="E44" i="73"/>
  <c r="A91" i="73"/>
  <c r="E77" i="71"/>
  <c r="E78" i="71"/>
  <c r="A91" i="58"/>
  <c r="E76" i="74"/>
  <c r="A48" i="52"/>
  <c r="A123" i="58"/>
  <c r="A65" i="55"/>
  <c r="E80" i="48"/>
  <c r="E50" i="74"/>
  <c r="A91" i="72"/>
  <c r="A112" i="70"/>
  <c r="C49" i="70"/>
  <c r="E68" i="73"/>
  <c r="E56" i="73"/>
  <c r="A126" i="71"/>
  <c r="A68" i="75"/>
  <c r="E43" i="75"/>
  <c r="E51" i="50"/>
  <c r="A71" i="72"/>
  <c r="E47" i="73"/>
  <c r="E65" i="75"/>
  <c r="A50" i="73"/>
  <c r="E91" i="75"/>
  <c r="A86" i="73"/>
  <c r="E82" i="75"/>
  <c r="A68" i="56"/>
  <c r="A68" i="62"/>
  <c r="E91" i="63"/>
  <c r="E66" i="62"/>
  <c r="A78" i="59"/>
  <c r="E68" i="57"/>
  <c r="E73" i="50"/>
  <c r="A121" i="48"/>
  <c r="E46" i="60"/>
  <c r="A114" i="57"/>
  <c r="A128" i="49"/>
  <c r="E55" i="74"/>
  <c r="A99" i="60"/>
  <c r="E56" i="57"/>
  <c r="A95" i="49"/>
  <c r="A46" i="74"/>
  <c r="A43" i="58"/>
  <c r="E43" i="50"/>
  <c r="E46" i="48"/>
  <c r="E62" i="72"/>
  <c r="A63" i="72"/>
  <c r="A46" i="70"/>
  <c r="E80" i="73"/>
  <c r="E65" i="73"/>
  <c r="C46" i="71"/>
  <c r="A75" i="71"/>
  <c r="E54" i="50"/>
  <c r="A69" i="48"/>
  <c r="E72" i="74"/>
  <c r="E53" i="64"/>
  <c r="A105" i="62"/>
  <c r="E69" i="60"/>
  <c r="A92" i="58"/>
  <c r="E71" i="58"/>
  <c r="A52" i="57"/>
  <c r="E88" i="57"/>
  <c r="E82" i="55"/>
  <c r="E92" i="55"/>
  <c r="A106" i="50"/>
  <c r="A92" i="49"/>
  <c r="A127" i="49"/>
  <c r="A52" i="48"/>
  <c r="E83" i="48"/>
  <c r="A106" i="74"/>
  <c r="A51" i="74"/>
  <c r="E70" i="63"/>
  <c r="A51" i="62"/>
  <c r="E59" i="60"/>
  <c r="A74" i="58"/>
  <c r="E61" i="58"/>
  <c r="E90" i="57"/>
  <c r="A75" i="57"/>
  <c r="E71" i="55"/>
  <c r="E64" i="55"/>
  <c r="E86" i="50"/>
  <c r="A74" i="49"/>
  <c r="A93" i="49"/>
  <c r="A63" i="48"/>
  <c r="E68" i="48"/>
  <c r="E86" i="74"/>
  <c r="E90" i="74"/>
  <c r="E46" i="59"/>
  <c r="C46" i="65"/>
  <c r="A53" i="53"/>
  <c r="E57" i="53"/>
  <c r="E66" i="59"/>
  <c r="A130" i="58"/>
  <c r="A95" i="55"/>
  <c r="E58" i="49"/>
  <c r="A68" i="63"/>
  <c r="E63" i="58"/>
  <c r="E70" i="55"/>
  <c r="A71" i="48"/>
  <c r="A114" i="63"/>
  <c r="E53" i="58"/>
  <c r="E46" i="55"/>
  <c r="C43" i="48"/>
  <c r="A102" i="59"/>
  <c r="E61" i="55"/>
  <c r="A79" i="49"/>
  <c r="A71" i="74"/>
  <c r="E55" i="72"/>
  <c r="A56" i="70"/>
  <c r="A69" i="70"/>
  <c r="E45" i="73"/>
  <c r="A120" i="73"/>
  <c r="E55" i="71"/>
  <c r="A107" i="75"/>
  <c r="E63" i="75"/>
  <c r="E72" i="75"/>
  <c r="E57" i="60"/>
  <c r="A59" i="48"/>
  <c r="A114" i="70"/>
  <c r="A53" i="58"/>
  <c r="E62" i="55"/>
  <c r="A98" i="49"/>
  <c r="A53" i="74"/>
  <c r="A46" i="72"/>
  <c r="E44" i="70"/>
  <c r="A59" i="70"/>
  <c r="A88" i="73"/>
  <c r="E83" i="73"/>
  <c r="A46" i="71"/>
  <c r="A70" i="75"/>
  <c r="E58" i="57"/>
  <c r="A62" i="72"/>
  <c r="A54" i="62"/>
  <c r="E80" i="57"/>
  <c r="A109" i="50"/>
  <c r="A91" i="48"/>
  <c r="C43" i="72"/>
  <c r="E66" i="72"/>
  <c r="E65" i="70"/>
  <c r="E54" i="70"/>
  <c r="E86" i="73"/>
  <c r="A68" i="71"/>
  <c r="A116" i="71"/>
  <c r="E47" i="75"/>
  <c r="A67" i="75"/>
  <c r="A72" i="48"/>
  <c r="A85" i="70"/>
  <c r="A51" i="73"/>
  <c r="E47" i="70"/>
  <c r="A105" i="73"/>
  <c r="A84" i="70"/>
  <c r="A84" i="73"/>
  <c r="A66" i="73"/>
  <c r="A88" i="52"/>
  <c r="E86" i="60"/>
  <c r="A79" i="53"/>
  <c r="A98" i="59"/>
  <c r="A48" i="60"/>
  <c r="A61" i="57"/>
  <c r="A62" i="49"/>
  <c r="E73" i="74"/>
  <c r="A127" i="58"/>
  <c r="A120" i="55"/>
  <c r="A57" i="49"/>
  <c r="A76" i="72"/>
  <c r="A77" i="58"/>
  <c r="E78" i="55"/>
  <c r="E47" i="49"/>
  <c r="A66" i="72"/>
  <c r="A63" i="57"/>
  <c r="E91" i="49"/>
  <c r="E43" i="74"/>
  <c r="E79" i="72"/>
  <c r="E80" i="70"/>
  <c r="A116" i="70"/>
  <c r="C46" i="73"/>
  <c r="A93" i="73"/>
  <c r="A81" i="49"/>
  <c r="E60" i="48"/>
  <c r="E82" i="74"/>
  <c r="E60" i="63"/>
  <c r="A123" i="59"/>
  <c r="E85" i="60"/>
  <c r="A52" i="58"/>
  <c r="A116" i="58"/>
  <c r="A43" i="57"/>
  <c r="A51" i="57"/>
  <c r="E49" i="55"/>
  <c r="A92" i="50"/>
  <c r="E63" i="50"/>
  <c r="A52" i="49"/>
  <c r="A65" i="49"/>
  <c r="A128" i="48"/>
  <c r="A55" i="48"/>
  <c r="E63" i="74"/>
  <c r="A92" i="72"/>
  <c r="A62" i="53"/>
  <c r="E59" i="59"/>
  <c r="A127" i="60"/>
  <c r="A105" i="58"/>
  <c r="A75" i="58"/>
  <c r="A100" i="57"/>
  <c r="A98" i="57"/>
  <c r="A114" i="55"/>
  <c r="A74" i="50"/>
  <c r="E53" i="50"/>
  <c r="A123" i="49"/>
  <c r="A55" i="49"/>
  <c r="A95" i="48"/>
  <c r="A88" i="48"/>
  <c r="E53" i="74"/>
  <c r="A74" i="72"/>
  <c r="A93" i="60"/>
  <c r="A123" i="65"/>
  <c r="E54" i="59"/>
  <c r="A81" i="62"/>
  <c r="A63" i="65"/>
  <c r="E82" i="58"/>
  <c r="E47" i="55"/>
  <c r="A62" i="48"/>
  <c r="A59" i="62"/>
  <c r="A120" i="57"/>
  <c r="E89" i="50"/>
  <c r="E72" i="48"/>
  <c r="A130" i="59"/>
  <c r="E74" i="57"/>
  <c r="E77" i="50"/>
  <c r="A49" i="48"/>
  <c r="A64" i="58"/>
  <c r="A43" i="55"/>
  <c r="A126" i="48"/>
  <c r="A72" i="72"/>
  <c r="A65" i="72"/>
  <c r="E86" i="70"/>
  <c r="E92" i="70"/>
  <c r="E46" i="73"/>
  <c r="A107" i="71"/>
  <c r="A81" i="71"/>
  <c r="A56" i="75"/>
  <c r="A93" i="75"/>
  <c r="E86" i="75"/>
  <c r="A72" i="58"/>
  <c r="A116" i="74"/>
  <c r="A43" i="53"/>
  <c r="E90" i="58"/>
  <c r="A56" i="50"/>
  <c r="E73" i="48"/>
  <c r="A54" i="72"/>
  <c r="A120" i="72"/>
  <c r="E75" i="70"/>
  <c r="E72" i="70"/>
  <c r="A106" i="73"/>
  <c r="A78" i="71"/>
  <c r="E54" i="71"/>
  <c r="E77" i="75"/>
  <c r="A99" i="55"/>
  <c r="E82" i="72"/>
  <c r="E54" i="60"/>
  <c r="E92" i="57"/>
  <c r="E72" i="50"/>
  <c r="C46" i="74"/>
  <c r="A123" i="72"/>
  <c r="E70" i="72"/>
  <c r="E85" i="70"/>
  <c r="A68" i="73"/>
  <c r="E53" i="73"/>
  <c r="A123" i="71"/>
  <c r="A61" i="71"/>
  <c r="E54" i="75"/>
  <c r="E52" i="75"/>
  <c r="E51" i="74"/>
  <c r="E71" i="70"/>
  <c r="E57" i="71"/>
  <c r="E65" i="71"/>
  <c r="E82" i="71"/>
  <c r="E52" i="71"/>
  <c r="E73" i="71"/>
  <c r="A59" i="71"/>
  <c r="A112" i="64"/>
  <c r="A98" i="53"/>
  <c r="A77" i="53"/>
  <c r="A72" i="60"/>
  <c r="A62" i="58"/>
  <c r="E59" i="55"/>
  <c r="A77" i="49"/>
  <c r="A70" i="53"/>
  <c r="A86" i="58"/>
  <c r="A76" i="50"/>
  <c r="A100" i="48"/>
  <c r="A61" i="53"/>
  <c r="A59" i="58"/>
  <c r="A66" i="50"/>
  <c r="E84" i="48"/>
  <c r="A58" i="60"/>
  <c r="E76" i="55"/>
  <c r="E45" i="49"/>
  <c r="A55" i="74"/>
  <c r="A48" i="72"/>
  <c r="C46" i="70"/>
  <c r="A61" i="70"/>
  <c r="E92" i="73"/>
  <c r="E85" i="73"/>
  <c r="A48" i="71"/>
  <c r="E80" i="75"/>
  <c r="E79" i="71"/>
  <c r="E55" i="75"/>
  <c r="E58" i="75"/>
  <c r="A121" i="60"/>
  <c r="A75" i="48"/>
  <c r="E90" i="69"/>
  <c r="E56" i="58"/>
  <c r="A75" i="55"/>
  <c r="A107" i="48"/>
  <c r="A81" i="74"/>
  <c r="A99" i="72"/>
  <c r="A123" i="70"/>
  <c r="A51" i="70"/>
  <c r="E72" i="73"/>
  <c r="E62" i="73"/>
  <c r="E45" i="71"/>
  <c r="A62" i="75"/>
  <c r="A71" i="57"/>
  <c r="E44" i="72"/>
  <c r="A77" i="62"/>
  <c r="C46" i="57"/>
  <c r="A95" i="50"/>
  <c r="E76" i="48"/>
  <c r="E78" i="72"/>
  <c r="A127" i="72"/>
  <c r="E57" i="70"/>
  <c r="A119" i="73"/>
  <c r="E77" i="73"/>
  <c r="A60" i="71"/>
  <c r="A91" i="71"/>
  <c r="A114" i="75"/>
  <c r="A55" i="75"/>
  <c r="E91" i="48"/>
  <c r="A66" i="70"/>
  <c r="A113" i="71"/>
  <c r="A61" i="73"/>
  <c r="E90" i="73"/>
  <c r="E64" i="73"/>
  <c r="E70" i="73"/>
  <c r="E91" i="52"/>
  <c r="E57" i="52"/>
  <c r="E43" i="62"/>
  <c r="A114" i="53"/>
  <c r="A51" i="58"/>
  <c r="A62" i="50"/>
  <c r="E79" i="48"/>
  <c r="E64" i="59"/>
  <c r="E63" i="57"/>
  <c r="A77" i="50"/>
  <c r="A76" i="74"/>
  <c r="A62" i="60"/>
  <c r="E53" i="57"/>
  <c r="A51" i="50"/>
  <c r="A66" i="74"/>
  <c r="E72" i="58"/>
  <c r="A61" i="50"/>
  <c r="E49" i="48"/>
  <c r="A53" i="72"/>
  <c r="E83" i="72"/>
  <c r="E69" i="70"/>
  <c r="E62" i="70"/>
  <c r="E91" i="73"/>
  <c r="A72" i="71"/>
  <c r="A127" i="71"/>
  <c r="A53" i="75"/>
  <c r="A71" i="75"/>
  <c r="E61" i="75"/>
  <c r="E59" i="58"/>
  <c r="A112" i="72"/>
  <c r="E64" i="62"/>
  <c r="A56" i="57"/>
  <c r="A123" i="50"/>
  <c r="E90" i="48"/>
  <c r="E85" i="72"/>
  <c r="E46" i="72"/>
  <c r="E59" i="70"/>
  <c r="A130" i="73"/>
  <c r="E79" i="73"/>
  <c r="A62" i="71"/>
  <c r="A93" i="71"/>
  <c r="A116" i="75"/>
  <c r="A72" i="50"/>
  <c r="A121" i="72"/>
  <c r="E60" i="60"/>
  <c r="E45" i="57"/>
  <c r="C46" i="49"/>
  <c r="E59" i="74"/>
  <c r="E84" i="72"/>
  <c r="A92" i="70"/>
  <c r="A127" i="70"/>
  <c r="A52" i="73"/>
  <c r="A116" i="73"/>
  <c r="E84" i="71"/>
  <c r="A109" i="71"/>
  <c r="A95" i="75"/>
  <c r="E91" i="62"/>
  <c r="A120" i="74"/>
  <c r="E83" i="70"/>
  <c r="E88" i="71"/>
  <c r="A66" i="75"/>
  <c r="A98" i="65"/>
  <c r="A57" i="50"/>
  <c r="E64" i="50"/>
  <c r="E46" i="50"/>
  <c r="A57" i="48"/>
  <c r="E46" i="70"/>
  <c r="C43" i="75"/>
  <c r="E65" i="72"/>
  <c r="A86" i="48"/>
  <c r="A102" i="73"/>
  <c r="A57" i="75"/>
  <c r="E80" i="55"/>
  <c r="A76" i="70"/>
  <c r="E75" i="71"/>
  <c r="A130" i="72"/>
  <c r="A85" i="71"/>
  <c r="A74" i="71"/>
  <c r="E84" i="68"/>
  <c r="C46" i="68"/>
  <c r="A60" i="68"/>
  <c r="A51" i="68"/>
  <c r="E52" i="68"/>
  <c r="E58" i="68"/>
  <c r="A92" i="68"/>
  <c r="E86" i="67"/>
  <c r="A76" i="57"/>
  <c r="C49" i="55"/>
  <c r="E70" i="60"/>
  <c r="E69" i="55"/>
  <c r="A120" i="70"/>
  <c r="E67" i="73"/>
  <c r="E91" i="68"/>
  <c r="A75" i="68"/>
  <c r="A52" i="68"/>
  <c r="A112" i="59"/>
  <c r="E49" i="57"/>
  <c r="A81" i="55"/>
  <c r="A106" i="55"/>
  <c r="A43" i="50"/>
  <c r="A81" i="70"/>
  <c r="A57" i="71"/>
  <c r="A109" i="55"/>
  <c r="A56" i="49"/>
  <c r="A49" i="70"/>
  <c r="A120" i="71"/>
  <c r="C43" i="58"/>
  <c r="E43" i="72"/>
  <c r="A81" i="73"/>
  <c r="A75" i="50"/>
  <c r="A85" i="73"/>
  <c r="A74" i="73"/>
  <c r="A112" i="71"/>
  <c r="A70" i="68"/>
  <c r="E90" i="68"/>
  <c r="E69" i="68"/>
  <c r="A69" i="68"/>
  <c r="E49" i="68"/>
  <c r="A98" i="68"/>
  <c r="A62" i="68"/>
  <c r="A61" i="48"/>
  <c r="A100" i="75"/>
  <c r="A49" i="72"/>
  <c r="E70" i="75"/>
  <c r="E54" i="68"/>
  <c r="A54" i="68"/>
  <c r="A81" i="63"/>
  <c r="A62" i="55"/>
  <c r="A61" i="55"/>
  <c r="A51" i="55"/>
  <c r="E62" i="49"/>
  <c r="A79" i="70"/>
  <c r="E46" i="71"/>
  <c r="E64" i="49"/>
  <c r="A69" i="49"/>
  <c r="A67" i="70"/>
  <c r="A78" i="75"/>
  <c r="E74" i="58"/>
  <c r="A109" i="72"/>
  <c r="A76" i="71"/>
  <c r="A53" i="49"/>
  <c r="A123" i="73"/>
  <c r="A95" i="73"/>
  <c r="E50" i="75"/>
  <c r="A46" i="68"/>
  <c r="E45" i="68"/>
  <c r="A68" i="68"/>
  <c r="A53" i="68"/>
  <c r="E88" i="68"/>
  <c r="A127" i="68"/>
  <c r="A113" i="59"/>
  <c r="A55" i="60"/>
  <c r="E79" i="68"/>
  <c r="A88" i="71"/>
  <c r="A84" i="75"/>
  <c r="E69" i="75"/>
  <c r="E92" i="58"/>
  <c r="A126" i="72"/>
  <c r="A102" i="62"/>
  <c r="A107" i="57"/>
  <c r="E47" i="50"/>
  <c r="A127" i="48"/>
  <c r="E47" i="72"/>
  <c r="A81" i="72"/>
  <c r="E67" i="70"/>
  <c r="E58" i="70"/>
  <c r="E89" i="73"/>
  <c r="A70" i="71"/>
  <c r="A121" i="71"/>
  <c r="E53" i="75"/>
  <c r="E60" i="55"/>
  <c r="E57" i="72"/>
  <c r="E65" i="60"/>
  <c r="A84" i="57"/>
  <c r="E80" i="49"/>
  <c r="A95" i="74"/>
  <c r="A95" i="72"/>
  <c r="A119" i="70"/>
  <c r="E64" i="70"/>
  <c r="A60" i="73"/>
  <c r="A46" i="73"/>
  <c r="A95" i="71"/>
  <c r="A53" i="71"/>
  <c r="A123" i="75"/>
  <c r="A68" i="65"/>
  <c r="A79" i="74"/>
  <c r="E55" i="70"/>
  <c r="E83" i="71"/>
  <c r="A105" i="71"/>
  <c r="E49" i="71"/>
  <c r="E45" i="75"/>
  <c r="E73" i="67"/>
  <c r="A99" i="62"/>
  <c r="A69" i="63"/>
  <c r="A72" i="59"/>
  <c r="A116" i="59"/>
  <c r="E82" i="57"/>
  <c r="A127" i="50"/>
  <c r="A130" i="74"/>
  <c r="A67" i="60"/>
  <c r="A76" i="55"/>
  <c r="E69" i="49"/>
  <c r="E62" i="74"/>
  <c r="A57" i="60"/>
  <c r="A66" i="55"/>
  <c r="E59" i="49"/>
  <c r="A127" i="74"/>
  <c r="E72" i="57"/>
  <c r="A120" i="50"/>
  <c r="A64" i="74"/>
  <c r="A43" i="72"/>
  <c r="E92" i="72"/>
  <c r="A109" i="70"/>
  <c r="A72" i="73"/>
  <c r="E57" i="73"/>
  <c r="E50" i="71"/>
  <c r="A65" i="71"/>
  <c r="E62" i="75"/>
  <c r="E60" i="75"/>
  <c r="A69" i="75"/>
  <c r="A128" i="55"/>
  <c r="A67" i="72"/>
  <c r="E73" i="60"/>
  <c r="A93" i="57"/>
  <c r="A107" i="49"/>
  <c r="A123" i="74"/>
  <c r="A100" i="72"/>
  <c r="A130" i="70"/>
  <c r="E68" i="70"/>
  <c r="A62" i="73"/>
  <c r="A48" i="73"/>
  <c r="A100" i="71"/>
  <c r="A55" i="71"/>
  <c r="C43" i="62"/>
  <c r="A91" i="49"/>
  <c r="E79" i="70"/>
  <c r="C46" i="58"/>
  <c r="A46" i="55"/>
  <c r="A61" i="49"/>
  <c r="A63" i="74"/>
  <c r="E51" i="72"/>
  <c r="A52" i="70"/>
  <c r="A65" i="70"/>
  <c r="A126" i="73"/>
  <c r="A98" i="73"/>
  <c r="E51" i="71"/>
  <c r="A92" i="75"/>
  <c r="E59" i="75"/>
  <c r="A57" i="55"/>
  <c r="E73" i="72"/>
  <c r="A113" i="73"/>
  <c r="A98" i="75"/>
  <c r="E76" i="70"/>
  <c r="A116" i="62"/>
  <c r="A48" i="48"/>
  <c r="E83" i="74"/>
  <c r="E64" i="74"/>
  <c r="A98" i="72"/>
  <c r="E82" i="73"/>
  <c r="A61" i="75"/>
  <c r="A54" i="59"/>
  <c r="E72" i="72"/>
  <c r="E71" i="73"/>
  <c r="E74" i="50"/>
  <c r="E73" i="49"/>
  <c r="A99" i="70"/>
  <c r="E76" i="71"/>
  <c r="E60" i="70"/>
  <c r="A50" i="75"/>
  <c r="A67" i="71"/>
  <c r="E60" i="68"/>
  <c r="E46" i="68"/>
  <c r="E85" i="68"/>
  <c r="A99" i="68"/>
  <c r="E53" i="68"/>
  <c r="A58" i="68"/>
  <c r="A95" i="68"/>
  <c r="A67" i="44"/>
  <c r="A79" i="48"/>
  <c r="A107" i="72"/>
  <c r="A107" i="50"/>
  <c r="E90" i="59"/>
  <c r="A76" i="73"/>
  <c r="E64" i="75"/>
  <c r="E63" i="68"/>
  <c r="A55" i="68"/>
  <c r="A114" i="68"/>
  <c r="E66" i="63"/>
  <c r="A114" i="50"/>
  <c r="E90" i="49"/>
  <c r="E66" i="49"/>
  <c r="E60" i="74"/>
  <c r="A64" i="73"/>
  <c r="E46" i="75"/>
  <c r="A113" i="70"/>
  <c r="E67" i="74"/>
  <c r="A54" i="73"/>
  <c r="A102" i="60"/>
  <c r="A127" i="55"/>
  <c r="E52" i="70"/>
  <c r="E43" i="71"/>
  <c r="E49" i="72"/>
  <c r="A50" i="71"/>
  <c r="E56" i="71"/>
  <c r="E71" i="68"/>
  <c r="A66" i="68"/>
  <c r="A48" i="68"/>
  <c r="A112" i="68"/>
  <c r="E65" i="68"/>
  <c r="E92" i="68"/>
  <c r="A107" i="68"/>
  <c r="A65" i="68"/>
  <c r="A79" i="72"/>
  <c r="E45" i="63"/>
  <c r="E88" i="50"/>
  <c r="E91" i="71"/>
  <c r="A59" i="68"/>
  <c r="A102" i="68"/>
  <c r="E91" i="53"/>
  <c r="E55" i="49"/>
  <c r="A76" i="48"/>
  <c r="A66" i="48"/>
  <c r="A93" i="74"/>
  <c r="A57" i="73"/>
  <c r="E71" i="75"/>
  <c r="E63" i="70"/>
  <c r="A69" i="74"/>
  <c r="C43" i="73"/>
  <c r="E59" i="57"/>
  <c r="C46" i="50"/>
  <c r="E73" i="70"/>
  <c r="A49" i="71"/>
  <c r="E60" i="72"/>
  <c r="E62" i="71"/>
  <c r="C49" i="71"/>
  <c r="E89" i="68"/>
  <c r="A85" i="68"/>
  <c r="E44" i="68"/>
  <c r="A130" i="68"/>
  <c r="A119" i="68"/>
  <c r="E86" i="68"/>
  <c r="A81" i="68"/>
  <c r="A84" i="55"/>
  <c r="A64" i="48"/>
  <c r="E84" i="74"/>
  <c r="A43" i="73"/>
  <c r="E61" i="73"/>
  <c r="A77" i="71"/>
  <c r="C43" i="68"/>
  <c r="E74" i="75"/>
  <c r="E83" i="75"/>
  <c r="A79" i="75"/>
  <c r="A95" i="57"/>
  <c r="E90" i="72"/>
  <c r="E83" i="60"/>
  <c r="E43" i="57"/>
  <c r="E90" i="50"/>
  <c r="A56" i="74"/>
  <c r="A128" i="72"/>
  <c r="A88" i="72"/>
  <c r="E90" i="70"/>
  <c r="A70" i="73"/>
  <c r="E55" i="73"/>
  <c r="A128" i="71"/>
  <c r="A63" i="71"/>
  <c r="A54" i="53"/>
  <c r="A112" i="49"/>
  <c r="A50" i="70"/>
  <c r="E80" i="58"/>
  <c r="E77" i="55"/>
  <c r="A116" i="49"/>
  <c r="A84" i="74"/>
  <c r="E59" i="72"/>
  <c r="A60" i="70"/>
  <c r="A75" i="70"/>
  <c r="C49" i="73"/>
  <c r="A55" i="73"/>
  <c r="E59" i="71"/>
  <c r="A119" i="75"/>
  <c r="E67" i="75"/>
  <c r="A88" i="57"/>
  <c r="E91" i="72"/>
  <c r="A98" i="70"/>
  <c r="A58" i="75"/>
  <c r="A63" i="70"/>
  <c r="A85" i="75"/>
  <c r="A55" i="70"/>
  <c r="A109" i="64"/>
  <c r="A55" i="65"/>
  <c r="E78" i="53"/>
  <c r="A93" i="59"/>
  <c r="A91" i="60"/>
  <c r="A130" i="55"/>
  <c r="E89" i="49"/>
  <c r="C49" i="74"/>
  <c r="A114" i="58"/>
  <c r="A116" i="55"/>
  <c r="E70" i="49"/>
  <c r="A69" i="72"/>
  <c r="E76" i="58"/>
  <c r="E88" i="55"/>
  <c r="E52" i="49"/>
  <c r="A93" i="44"/>
  <c r="E50" i="57"/>
  <c r="E57" i="49"/>
  <c r="E52" i="74"/>
  <c r="E71" i="72"/>
  <c r="A72" i="70"/>
  <c r="A91" i="70"/>
  <c r="A77" i="73"/>
  <c r="A79" i="73"/>
  <c r="E71" i="71"/>
  <c r="E70" i="71"/>
  <c r="E79" i="75"/>
  <c r="E44" i="75"/>
  <c r="A121" i="53"/>
  <c r="E83" i="49"/>
  <c r="E89" i="70"/>
  <c r="A107" i="58"/>
  <c r="E86" i="55"/>
  <c r="E46" i="49"/>
  <c r="A91" i="74"/>
  <c r="E61" i="72"/>
  <c r="A62" i="70"/>
  <c r="A77" i="70"/>
  <c r="A53" i="73"/>
  <c r="A59" i="73"/>
  <c r="E61" i="71"/>
  <c r="A130" i="75"/>
  <c r="E83" i="57"/>
  <c r="A61" i="74"/>
  <c r="A102" i="53"/>
  <c r="A93" i="58"/>
  <c r="E80" i="50"/>
  <c r="A112" i="48"/>
  <c r="A64" i="72"/>
  <c r="A55" i="72"/>
  <c r="E82" i="70"/>
  <c r="E78" i="70"/>
  <c r="A128" i="73"/>
  <c r="A92" i="71"/>
  <c r="E68" i="71"/>
  <c r="A52" i="75"/>
  <c r="E88" i="75"/>
  <c r="E65" i="49"/>
  <c r="A114" i="72"/>
  <c r="E75" i="73"/>
  <c r="A51" i="75"/>
  <c r="E92" i="44"/>
  <c r="E76" i="53"/>
  <c r="A123" i="60"/>
  <c r="E84" i="60"/>
  <c r="E51" i="58"/>
  <c r="E50" i="72"/>
  <c r="A64" i="71"/>
  <c r="A46" i="75"/>
  <c r="E54" i="57"/>
  <c r="E88" i="72"/>
  <c r="A54" i="71"/>
  <c r="C49" i="72"/>
  <c r="E74" i="74"/>
  <c r="A99" i="73"/>
  <c r="E84" i="75"/>
  <c r="A51" i="71"/>
  <c r="A66" i="71"/>
  <c r="E49" i="75"/>
  <c r="A91" i="68"/>
  <c r="E43" i="68"/>
  <c r="E70" i="68"/>
  <c r="C49" i="68"/>
  <c r="A63" i="68"/>
  <c r="A43" i="68"/>
  <c r="E67" i="68"/>
  <c r="E68" i="58"/>
  <c r="E65" i="62"/>
  <c r="E45" i="70"/>
  <c r="A70" i="72"/>
  <c r="E67" i="57"/>
  <c r="A69" i="71"/>
  <c r="E59" i="73"/>
  <c r="E55" i="68"/>
  <c r="A64" i="68"/>
  <c r="E82" i="68"/>
  <c r="A128" i="59"/>
  <c r="A62" i="74"/>
  <c r="A77" i="74"/>
  <c r="A65" i="74"/>
  <c r="A106" i="72"/>
  <c r="E49" i="73"/>
  <c r="A43" i="75"/>
  <c r="A120" i="60"/>
  <c r="E86" i="72"/>
  <c r="A121" i="73"/>
  <c r="E57" i="48"/>
  <c r="E76" i="49"/>
  <c r="A57" i="70"/>
  <c r="A76" i="75"/>
  <c r="A58" i="73"/>
  <c r="E76" i="75"/>
  <c r="A74" i="75"/>
  <c r="E59" i="68"/>
  <c r="A74" i="68"/>
  <c r="E62" i="68"/>
  <c r="A105" i="68"/>
  <c r="A67" i="68"/>
  <c r="A113" i="68"/>
  <c r="E57" i="68"/>
  <c r="A72" i="62"/>
  <c r="E60" i="73"/>
  <c r="A61" i="72"/>
  <c r="A51" i="72"/>
  <c r="A49" i="75"/>
  <c r="A93" i="68"/>
  <c r="A72" i="68"/>
  <c r="A55" i="59"/>
  <c r="A57" i="52"/>
  <c r="E49" i="65"/>
  <c r="E90" i="53"/>
  <c r="E63" i="72"/>
  <c r="A63" i="73"/>
  <c r="A126" i="75"/>
  <c r="A56" i="58"/>
  <c r="E53" i="72"/>
  <c r="A114" i="73"/>
  <c r="A78" i="72"/>
  <c r="E65" i="48"/>
  <c r="E70" i="70"/>
  <c r="A65" i="75"/>
  <c r="E43" i="73"/>
  <c r="A86" i="75"/>
  <c r="A59" i="75"/>
  <c r="E61" i="68"/>
  <c r="A106" i="68"/>
  <c r="E64" i="68"/>
  <c r="A123" i="68"/>
  <c r="E47" i="68"/>
  <c r="A84" i="68"/>
  <c r="E51" i="68"/>
  <c r="E78" i="50"/>
  <c r="A100" i="70"/>
  <c r="E43" i="58"/>
  <c r="E74" i="71"/>
  <c r="E68" i="75"/>
  <c r="A43" i="71"/>
  <c r="A126" i="68"/>
  <c r="A121" i="68"/>
  <c r="A66" i="57"/>
  <c r="A49" i="73"/>
  <c r="A88" i="75"/>
  <c r="A61" i="68"/>
  <c r="E84" i="70"/>
  <c r="E52" i="72"/>
  <c r="A78" i="68"/>
  <c r="E66" i="68"/>
  <c r="E89" i="75"/>
  <c r="A54" i="75"/>
  <c r="E89" i="63"/>
  <c r="A72" i="49"/>
  <c r="A43" i="70"/>
  <c r="E47" i="60"/>
  <c r="A56" i="55"/>
  <c r="E49" i="49"/>
  <c r="E46" i="74"/>
  <c r="E69" i="72"/>
  <c r="A70" i="70"/>
  <c r="E88" i="70"/>
  <c r="A69" i="73"/>
  <c r="A75" i="73"/>
  <c r="E69" i="71"/>
  <c r="E64" i="71"/>
  <c r="E58" i="58"/>
  <c r="E68" i="74"/>
  <c r="E45" i="64"/>
  <c r="E67" i="58"/>
  <c r="A88" i="55"/>
  <c r="C46" i="48"/>
  <c r="E80" i="72"/>
  <c r="A75" i="72"/>
  <c r="E91" i="70"/>
  <c r="A126" i="70"/>
  <c r="E54" i="73"/>
  <c r="A119" i="71"/>
  <c r="E85" i="71"/>
  <c r="A60" i="75"/>
  <c r="A105" i="75"/>
  <c r="E58" i="50"/>
  <c r="E58" i="72"/>
  <c r="E50" i="73"/>
  <c r="A99" i="75"/>
  <c r="A109" i="73"/>
  <c r="E57" i="75"/>
  <c r="E76" i="73"/>
  <c r="E59" i="63"/>
  <c r="E61" i="62"/>
  <c r="E64" i="53"/>
  <c r="E78" i="60"/>
  <c r="A65" i="58"/>
  <c r="E72" i="55"/>
  <c r="C43" i="49"/>
  <c r="E55" i="53"/>
  <c r="E66" i="58"/>
  <c r="A86" i="50"/>
  <c r="E61" i="48"/>
  <c r="A51" i="53"/>
  <c r="E46" i="58"/>
  <c r="A65" i="50"/>
  <c r="E51" i="48"/>
  <c r="E49" i="60"/>
  <c r="A86" i="55"/>
  <c r="A49" i="49"/>
  <c r="E85" i="74"/>
  <c r="A105" i="72"/>
  <c r="A128" i="70"/>
  <c r="A53" i="70"/>
  <c r="E74" i="73"/>
  <c r="E66" i="73"/>
  <c r="E47" i="71"/>
  <c r="A72" i="75"/>
  <c r="A48" i="75"/>
  <c r="A128" i="75"/>
  <c r="A63" i="60"/>
  <c r="E70" i="48"/>
  <c r="E68" i="64"/>
  <c r="E75" i="58"/>
  <c r="A126" i="55"/>
  <c r="A56" i="48"/>
  <c r="A102" i="72"/>
  <c r="A77" i="72"/>
  <c r="A95" i="70"/>
  <c r="C43" i="70"/>
  <c r="E58" i="73"/>
  <c r="A130" i="71"/>
  <c r="E90" i="71"/>
  <c r="C49" i="75"/>
  <c r="A72" i="55"/>
  <c r="E76" i="72"/>
  <c r="E84" i="59"/>
  <c r="A123" i="57"/>
  <c r="E59" i="50"/>
  <c r="E45" i="48"/>
  <c r="E68" i="72"/>
  <c r="A86" i="72"/>
  <c r="E49" i="70"/>
  <c r="A92" i="73"/>
  <c r="E69" i="73"/>
  <c r="A52" i="71"/>
  <c r="A79" i="71"/>
  <c r="E78" i="75"/>
  <c r="E90" i="75"/>
  <c r="E64" i="48"/>
  <c r="A58" i="70"/>
  <c r="A58" i="71"/>
  <c r="E51" i="73"/>
  <c r="A63" i="63"/>
  <c r="A130" i="57"/>
  <c r="A81" i="57"/>
  <c r="A127" i="57"/>
  <c r="E56" i="50"/>
  <c r="E61" i="70"/>
  <c r="A99" i="71"/>
  <c r="A71" i="58"/>
  <c r="E67" i="50"/>
  <c r="E51" i="70"/>
  <c r="A84" i="71"/>
  <c r="A71" i="60"/>
  <c r="E75" i="72"/>
  <c r="E88" i="73"/>
  <c r="A95" i="60"/>
  <c r="A127" i="75"/>
  <c r="E66" i="70"/>
  <c r="A67" i="73"/>
  <c r="A49" i="68"/>
  <c r="E72" i="68"/>
  <c r="E75" i="68"/>
  <c r="A56" i="68"/>
  <c r="E76" i="68"/>
  <c r="A120" i="68"/>
  <c r="A86" i="68"/>
  <c r="E62" i="62"/>
  <c r="E62" i="50"/>
  <c r="A98" i="71"/>
  <c r="A88" i="70"/>
  <c r="E80" i="74"/>
  <c r="A72" i="74"/>
  <c r="E84" i="73"/>
  <c r="E50" i="68"/>
  <c r="E78" i="68"/>
  <c r="A50" i="56"/>
  <c r="A54" i="60"/>
  <c r="E90" i="60"/>
  <c r="E56" i="60"/>
  <c r="E84" i="57"/>
  <c r="E54" i="72"/>
  <c r="A106" i="71"/>
  <c r="A109" i="75"/>
  <c r="A55" i="57"/>
  <c r="A102" i="70"/>
  <c r="E86" i="71"/>
  <c r="A48" i="70"/>
  <c r="E45" i="74"/>
  <c r="E78" i="73"/>
  <c r="E51" i="75"/>
  <c r="A112" i="75"/>
  <c r="A114" i="71"/>
  <c r="A75" i="75"/>
  <c r="A100" i="68"/>
  <c r="A79" i="68"/>
  <c r="E83" i="68"/>
  <c r="A71" i="68"/>
  <c r="E68" i="68"/>
  <c r="A57" i="68"/>
  <c r="A128" i="68"/>
  <c r="A130" i="48"/>
  <c r="A64" i="75"/>
  <c r="A102" i="71"/>
  <c r="E66" i="71"/>
  <c r="E66" i="75"/>
  <c r="E74" i="68"/>
  <c r="C43" i="69"/>
  <c r="A53" i="60"/>
  <c r="A106" i="58"/>
  <c r="E86" i="58"/>
  <c r="A64" i="55"/>
  <c r="A64" i="70"/>
  <c r="E63" i="71"/>
  <c r="E51" i="59"/>
  <c r="E53" i="55"/>
  <c r="A54" i="70"/>
  <c r="E53" i="71"/>
  <c r="E71" i="53"/>
  <c r="C46" i="72"/>
  <c r="A100" i="73"/>
  <c r="A77" i="75"/>
  <c r="E85" i="75"/>
  <c r="E73" i="75"/>
  <c r="E50" i="70"/>
  <c r="A88" i="68"/>
  <c r="A116" i="68"/>
  <c r="E73" i="68"/>
  <c r="E56" i="68"/>
  <c r="E77" i="68"/>
  <c r="A77" i="68"/>
  <c r="A109" i="68"/>
  <c r="E56" i="48"/>
  <c r="A106" i="70"/>
  <c r="A63" i="75"/>
  <c r="A50" i="68"/>
  <c r="A121" i="75"/>
  <c r="E52" i="73"/>
  <c r="A76" i="68"/>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Q78" i="77"/>
  <c r="Q103" i="77"/>
  <c r="P70" i="77"/>
  <c r="P95" i="77"/>
  <c r="R66" i="77"/>
  <c r="Q91" i="77"/>
  <c r="P19" i="77"/>
  <c r="N38" i="77"/>
  <c r="N24" i="77"/>
  <c r="Q49" i="77"/>
  <c r="Q16" i="77"/>
  <c r="P41" i="77"/>
  <c r="P8" i="77"/>
  <c r="R37" i="77"/>
  <c r="R44" i="77"/>
  <c r="R20" i="77"/>
  <c r="Q85" i="77"/>
  <c r="Q13" i="77"/>
  <c r="P77" i="77"/>
  <c r="P5" i="77"/>
  <c r="R73" i="77"/>
  <c r="Q5" i="77"/>
  <c r="P92" i="77"/>
  <c r="P83" i="77"/>
  <c r="Q65" i="77"/>
  <c r="O6" i="77"/>
  <c r="P58" i="77"/>
  <c r="N6" i="77"/>
  <c r="Q51" i="77"/>
  <c r="O85" i="77"/>
  <c r="R103" i="77"/>
  <c r="Q60" i="77"/>
  <c r="N82" i="77"/>
  <c r="N93" i="77"/>
  <c r="Q21" i="77"/>
  <c r="P85" i="77"/>
  <c r="P13" i="77"/>
  <c r="R81" i="77"/>
  <c r="R9" i="77"/>
  <c r="P27" i="77"/>
  <c r="O97" i="77"/>
  <c r="R39" i="77"/>
  <c r="O57" i="77"/>
  <c r="N31" i="77"/>
  <c r="O58" i="77"/>
  <c r="Q27" i="77"/>
  <c r="O14" i="77"/>
  <c r="R5" i="77"/>
  <c r="O62" i="77"/>
  <c r="R100" i="77"/>
  <c r="O91" i="77"/>
  <c r="N92" i="77"/>
  <c r="O87" i="77"/>
  <c r="Q88" i="77"/>
  <c r="N65" i="77"/>
  <c r="P79" i="77"/>
  <c r="O45" i="77"/>
  <c r="N80" i="77"/>
  <c r="O74" i="77"/>
  <c r="Q72" i="77"/>
  <c r="O66" i="77"/>
  <c r="P68" i="77"/>
  <c r="R80" i="77"/>
  <c r="O22" i="77"/>
  <c r="N23" i="77"/>
  <c r="O42" i="77"/>
  <c r="R11" i="77"/>
  <c r="O60" i="77"/>
  <c r="N100" i="77"/>
  <c r="O52" i="77"/>
  <c r="P96" i="77"/>
  <c r="R97" i="77"/>
  <c r="R84" i="77"/>
  <c r="O21" i="77"/>
  <c r="N56" i="77"/>
  <c r="O12" i="77"/>
  <c r="P46" i="77"/>
  <c r="O11" i="77"/>
  <c r="N42" i="77"/>
  <c r="P75" i="77"/>
  <c r="R24" i="77"/>
  <c r="Q86" i="77"/>
  <c r="Q18" i="77"/>
  <c r="P78" i="77"/>
  <c r="P103" i="77"/>
  <c r="N74" i="77"/>
  <c r="R99" i="77"/>
  <c r="R101" i="77"/>
  <c r="R72" i="77"/>
  <c r="Q66" i="77"/>
  <c r="O88" i="77"/>
  <c r="Q79" i="77"/>
  <c r="Q57" i="77"/>
  <c r="P6" i="77"/>
  <c r="N51" i="77"/>
  <c r="O69" i="77"/>
  <c r="Q47" i="77"/>
  <c r="O96" i="77"/>
  <c r="Q87" i="77"/>
  <c r="O94" i="77"/>
  <c r="R7" i="77"/>
  <c r="O43" i="77"/>
  <c r="N96" i="77"/>
  <c r="O103" i="77"/>
  <c r="Q92" i="77"/>
  <c r="N81" i="77"/>
  <c r="N34" i="77"/>
  <c r="O40" i="77"/>
  <c r="N68" i="77"/>
  <c r="O24" i="77"/>
  <c r="N55" i="77"/>
  <c r="O23" i="77"/>
  <c r="P56" i="77"/>
  <c r="N30" i="77"/>
  <c r="R74" i="77"/>
  <c r="O13" i="77"/>
  <c r="Q46" i="77"/>
  <c r="P61" i="77"/>
  <c r="P38" i="77"/>
  <c r="R102" i="77"/>
  <c r="R34" i="77"/>
  <c r="N41" i="77"/>
  <c r="R89" i="77"/>
  <c r="Q14" i="77"/>
  <c r="P43" i="77"/>
  <c r="R50" i="77"/>
  <c r="N8" i="77"/>
  <c r="Q37" i="77"/>
  <c r="Q101" i="77"/>
  <c r="P29" i="77"/>
  <c r="P97" i="77"/>
  <c r="R25" i="77"/>
  <c r="R93" i="77"/>
  <c r="N50" i="77"/>
  <c r="Q58" i="77"/>
  <c r="O3" i="77"/>
  <c r="N47" i="77"/>
  <c r="O80" i="77"/>
  <c r="Q43" i="77"/>
  <c r="O64" i="77"/>
  <c r="P71" i="77"/>
  <c r="O76" i="77"/>
  <c r="R19" i="77"/>
  <c r="O38" i="77"/>
  <c r="N11" i="77"/>
  <c r="O34" i="77"/>
  <c r="Q7" i="77"/>
  <c r="R32" i="77"/>
  <c r="N85" i="77"/>
  <c r="O32" i="77"/>
  <c r="R96" i="77"/>
  <c r="O75" i="77"/>
  <c r="N88" i="77"/>
  <c r="O71" i="77"/>
  <c r="P84" i="77"/>
  <c r="P47" i="77"/>
  <c r="N29" i="77"/>
  <c r="Q56" i="77"/>
  <c r="O39" i="77"/>
  <c r="R27" i="77"/>
  <c r="O72" i="77"/>
  <c r="N19" i="77"/>
  <c r="O68" i="77"/>
  <c r="Q15" i="77"/>
  <c r="N66" i="77"/>
  <c r="R86" i="77"/>
  <c r="O82" i="77"/>
  <c r="N72" i="77"/>
  <c r="O28" i="77"/>
  <c r="Q64" i="77"/>
  <c r="O27" i="77"/>
  <c r="Q55" i="77"/>
  <c r="N46" i="77"/>
  <c r="R90" i="77"/>
  <c r="Q102" i="77"/>
  <c r="Q34" i="77"/>
  <c r="P94" i="77"/>
  <c r="P26" i="77"/>
  <c r="N90" i="77"/>
  <c r="R22" i="77"/>
  <c r="N4" i="77"/>
  <c r="P39" i="77"/>
  <c r="Q82" i="77"/>
  <c r="R14" i="77"/>
  <c r="P74" i="77"/>
  <c r="P99" i="77"/>
  <c r="N70" i="77"/>
  <c r="N95" i="77"/>
  <c r="P51" i="77"/>
  <c r="R56" i="77"/>
  <c r="P17" i="77"/>
  <c r="O7" i="77"/>
  <c r="Q42" i="77"/>
  <c r="P102" i="77"/>
  <c r="P34" i="77"/>
  <c r="N98" i="77"/>
  <c r="R30" i="77"/>
  <c r="N25" i="77"/>
  <c r="N73" i="77"/>
  <c r="N60" i="77"/>
  <c r="R83" i="77"/>
  <c r="Q48" i="77"/>
  <c r="N75" i="77"/>
  <c r="P44" i="77"/>
  <c r="Q71" i="77"/>
  <c r="O46" i="77"/>
  <c r="N49" i="77"/>
  <c r="N20" i="77"/>
  <c r="Q45" i="77"/>
  <c r="Q8" i="77"/>
  <c r="P37" i="77"/>
  <c r="Q59" i="77"/>
  <c r="R33" i="77"/>
  <c r="R28" i="77"/>
  <c r="N69" i="77"/>
  <c r="N97" i="77"/>
  <c r="Q89" i="77"/>
  <c r="O95" i="77"/>
  <c r="R92" i="77"/>
  <c r="O53" i="77"/>
  <c r="Q84" i="77"/>
  <c r="O54" i="77"/>
  <c r="P80" i="77"/>
  <c r="P31" i="77"/>
  <c r="O30" i="77"/>
  <c r="Q61" i="77"/>
  <c r="Q38" i="77"/>
  <c r="P98" i="77"/>
  <c r="P30" i="77"/>
  <c r="R94" i="77"/>
  <c r="N26" i="77"/>
  <c r="N9" i="77"/>
  <c r="R58" i="77"/>
  <c r="Q70" i="77"/>
  <c r="Q95" i="77"/>
  <c r="P62" i="77"/>
  <c r="N87" i="77"/>
  <c r="P60" i="77"/>
  <c r="Q83" i="77"/>
  <c r="N18" i="77"/>
  <c r="Q99" i="77"/>
  <c r="N48" i="77"/>
  <c r="R75" i="77"/>
  <c r="Q40" i="77"/>
  <c r="N67" i="77"/>
  <c r="P36" i="77"/>
  <c r="Q63" i="77"/>
  <c r="O33" i="77"/>
  <c r="Q4" i="77"/>
  <c r="R60" i="77"/>
  <c r="O70" i="77"/>
  <c r="R16" i="77"/>
  <c r="O101" i="77"/>
  <c r="R43" i="77"/>
  <c r="O77" i="77"/>
  <c r="N35" i="77"/>
  <c r="O73" i="77"/>
  <c r="Q31" i="77"/>
  <c r="O35" i="77"/>
  <c r="N21" i="77"/>
  <c r="O79" i="77"/>
  <c r="R88" i="77"/>
  <c r="O41" i="77"/>
  <c r="Q80" i="77"/>
  <c r="O37" i="77"/>
  <c r="P76" i="77"/>
  <c r="P15" i="77"/>
  <c r="O83" i="77"/>
  <c r="O17" i="77"/>
  <c r="Q50" i="77"/>
  <c r="O9" i="77"/>
  <c r="P42" i="77"/>
  <c r="R61" i="77"/>
  <c r="R38" i="77"/>
  <c r="N53" i="77"/>
  <c r="P59" i="77"/>
  <c r="Q98" i="77"/>
  <c r="Q30" i="77"/>
  <c r="P90" i="77"/>
  <c r="P22" i="77"/>
  <c r="N86" i="77"/>
  <c r="R18" i="77"/>
  <c r="O67" i="77"/>
  <c r="P23" i="77"/>
  <c r="O19" i="77"/>
  <c r="O25" i="77"/>
  <c r="R55" i="77"/>
  <c r="O16" i="77"/>
  <c r="P50" i="77"/>
  <c r="O15" i="77"/>
  <c r="R46" i="77"/>
  <c r="R91" i="77"/>
  <c r="R40" i="77"/>
  <c r="Q74" i="77"/>
  <c r="N99" i="77"/>
  <c r="P66" i="77"/>
  <c r="P91" i="77"/>
  <c r="R62" i="77"/>
  <c r="R87" i="77"/>
  <c r="R68" i="77"/>
  <c r="N22" i="77"/>
  <c r="N36" i="77"/>
  <c r="R63" i="77"/>
  <c r="Q28" i="77"/>
  <c r="P54" i="77"/>
  <c r="P24" i="77"/>
  <c r="R49" i="77"/>
  <c r="N94" i="77"/>
  <c r="O44" i="77"/>
  <c r="N16" i="77"/>
  <c r="Q41" i="77"/>
  <c r="N59" i="77"/>
  <c r="P33" i="77"/>
  <c r="P101" i="77"/>
  <c r="R29" i="77"/>
  <c r="R8" i="77"/>
  <c r="N64" i="77"/>
  <c r="R85" i="77"/>
  <c r="N44" i="77"/>
  <c r="R71" i="77"/>
  <c r="Q36" i="77"/>
  <c r="N63" i="77"/>
  <c r="P32" i="77"/>
  <c r="R53" i="77"/>
  <c r="O26" i="77"/>
  <c r="P12" i="77"/>
  <c r="N89" i="77"/>
  <c r="Q17" i="77"/>
  <c r="P81" i="77"/>
  <c r="P9" i="77"/>
  <c r="R77" i="77"/>
  <c r="O5" i="77"/>
  <c r="Q11" i="77"/>
  <c r="O18" i="77"/>
  <c r="R51" i="77"/>
  <c r="O47" i="77"/>
  <c r="N43" i="77"/>
  <c r="O59" i="77"/>
  <c r="Q39" i="77"/>
  <c r="O48" i="77"/>
  <c r="N54" i="77"/>
  <c r="O65" i="77"/>
  <c r="R31" i="77"/>
  <c r="N83" i="77"/>
  <c r="Q94" i="77"/>
  <c r="Q26" i="77"/>
  <c r="P86" i="77"/>
  <c r="P18" i="77"/>
  <c r="R82" i="77"/>
  <c r="N14" i="77"/>
  <c r="N102" i="77"/>
  <c r="P7" i="77"/>
  <c r="N40" i="77"/>
  <c r="R67" i="77"/>
  <c r="Q32" i="77"/>
  <c r="P53" i="77"/>
  <c r="P28" i="77"/>
  <c r="R54" i="77"/>
  <c r="O8" i="77"/>
  <c r="R6" i="77"/>
  <c r="N101" i="77"/>
  <c r="Q29" i="77"/>
  <c r="Q93" i="77"/>
  <c r="P21" i="77"/>
  <c r="P89" i="77"/>
  <c r="R17" i="77"/>
  <c r="N57" i="77"/>
  <c r="N45" i="77"/>
  <c r="Q81" i="77"/>
  <c r="Q9" i="77"/>
  <c r="P73" i="77"/>
  <c r="N12" i="77"/>
  <c r="R69" i="77"/>
  <c r="Q12" i="77"/>
  <c r="R76" i="77"/>
  <c r="O84" i="77"/>
  <c r="N17" i="77"/>
  <c r="O78" i="77"/>
  <c r="P63" i="77"/>
  <c r="O61" i="77"/>
  <c r="N76" i="77"/>
  <c r="O36" i="77"/>
  <c r="Q68" i="77"/>
  <c r="O51" i="77"/>
  <c r="P64" i="77"/>
  <c r="R64" i="77"/>
  <c r="N61" i="77"/>
  <c r="Q90" i="77"/>
  <c r="Q22" i="77"/>
  <c r="P82" i="77"/>
  <c r="P14" i="77"/>
  <c r="R78" i="77"/>
  <c r="N103" i="77"/>
  <c r="R52" i="77"/>
  <c r="P88" i="77"/>
  <c r="N52" i="77"/>
  <c r="R79" i="77"/>
  <c r="Q44" i="77"/>
  <c r="N71" i="77"/>
  <c r="P40" i="77"/>
  <c r="Q67" i="77"/>
  <c r="O99" i="77"/>
  <c r="N33" i="77"/>
  <c r="N32" i="77"/>
  <c r="Q53" i="77"/>
  <c r="Q24" i="77"/>
  <c r="P49" i="77"/>
  <c r="P20" i="77"/>
  <c r="R45" i="77"/>
  <c r="N78" i="77"/>
  <c r="Q25" i="77"/>
  <c r="Q19" i="77"/>
  <c r="Q62" i="77"/>
  <c r="P87" i="77"/>
  <c r="Q52" i="77"/>
  <c r="N79" i="77"/>
  <c r="P48" i="77"/>
  <c r="Q75" i="77"/>
  <c r="N13" i="77"/>
  <c r="P67" i="77"/>
  <c r="R59" i="77"/>
  <c r="Q33" i="77"/>
  <c r="Q97" i="77"/>
  <c r="P25" i="77"/>
  <c r="P93" i="77"/>
  <c r="R21" i="77"/>
  <c r="N77" i="77"/>
  <c r="R95" i="77"/>
  <c r="Q69" i="77"/>
  <c r="O4" i="77"/>
  <c r="P57" i="77"/>
  <c r="N3" i="77"/>
  <c r="N58" i="77"/>
  <c r="R3" i="77"/>
  <c r="R26" i="77"/>
  <c r="P100" i="77"/>
  <c r="R47" i="77"/>
  <c r="O93" i="77"/>
  <c r="N39" i="77"/>
  <c r="O89" i="77"/>
  <c r="Q35" i="77"/>
  <c r="O49" i="77"/>
  <c r="N37" i="77"/>
  <c r="O20" i="77"/>
  <c r="R13" i="77"/>
  <c r="Q77" i="77"/>
  <c r="N5" i="77"/>
  <c r="P69" i="77"/>
  <c r="P4" i="77"/>
  <c r="R65" i="77"/>
  <c r="R4" i="77"/>
  <c r="P55" i="77"/>
  <c r="O92" i="77"/>
  <c r="R23" i="77"/>
  <c r="O56" i="77"/>
  <c r="N15" i="77"/>
  <c r="O50" i="77"/>
  <c r="P11" i="77"/>
  <c r="R48" i="77"/>
  <c r="R36" i="77"/>
  <c r="O63" i="77"/>
  <c r="N84" i="77"/>
  <c r="O102" i="77"/>
  <c r="Q76" i="77"/>
  <c r="O98" i="77"/>
  <c r="P72" i="77"/>
  <c r="Q96" i="77"/>
  <c r="O90" i="77"/>
  <c r="O29" i="77"/>
  <c r="N91" i="77"/>
  <c r="P52" i="77"/>
  <c r="N28" i="77"/>
  <c r="Q54" i="77"/>
  <c r="Q20" i="77"/>
  <c r="P45" i="77"/>
  <c r="P16" i="77"/>
  <c r="R41" i="77"/>
  <c r="N62" i="77"/>
  <c r="R70" i="77"/>
  <c r="Q73" i="77"/>
  <c r="R12" i="77"/>
  <c r="P65" i="77"/>
  <c r="Q3" i="77"/>
  <c r="R57" i="77"/>
  <c r="Q6" i="77"/>
  <c r="R42" i="77"/>
  <c r="O81" i="77"/>
  <c r="R35" i="77"/>
  <c r="O31" i="77"/>
  <c r="N27" i="77"/>
  <c r="O100" i="77"/>
  <c r="Q23" i="77"/>
  <c r="R98" i="77"/>
  <c r="P3" i="77"/>
  <c r="O55" i="77"/>
  <c r="R15" i="77"/>
  <c r="O86" i="77"/>
  <c r="N7" i="77"/>
  <c r="Q100" i="77"/>
  <c r="P35" i="77"/>
  <c r="U7" i="77" l="1"/>
  <c r="B8" i="78" s="1"/>
  <c r="W8" i="77"/>
  <c r="H9" i="78" s="1"/>
  <c r="W3" i="77"/>
  <c r="H4" i="78" s="1"/>
  <c r="U8" i="77"/>
  <c r="B9" i="78" s="1"/>
  <c r="U6" i="77"/>
  <c r="B7" i="78" s="1"/>
  <c r="W5" i="77"/>
  <c r="H6" i="78" s="1"/>
  <c r="W7" i="77"/>
  <c r="H8" i="78" s="1"/>
  <c r="U5" i="77"/>
  <c r="B6" i="78" s="1"/>
  <c r="W6" i="77"/>
  <c r="H7" i="78" s="1"/>
  <c r="U10" i="77"/>
  <c r="B11" i="78" s="1"/>
  <c r="W4" i="77"/>
  <c r="H5" i="78" s="1"/>
  <c r="U9" i="77"/>
  <c r="B10" i="78" s="1"/>
  <c r="L26" i="69"/>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P10" i="77"/>
  <c r="O10" i="77"/>
  <c r="Q10" i="77"/>
  <c r="N10" i="77"/>
  <c r="R10" i="77"/>
  <c r="U2" i="77" l="1"/>
  <c r="B3" i="78" s="1"/>
  <c r="V2" i="77"/>
  <c r="E3" i="78" s="1"/>
  <c r="W2" i="77"/>
  <c r="H3" i="78" s="1"/>
  <c r="V3" i="77"/>
  <c r="E4" i="78" s="1"/>
  <c r="U4" i="77"/>
  <c r="B5" i="78" s="1"/>
</calcChain>
</file>

<file path=xl/sharedStrings.xml><?xml version="1.0" encoding="utf-8"?>
<sst xmlns="http://schemas.openxmlformats.org/spreadsheetml/2006/main" count="9678" uniqueCount="1210">
  <si>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</si>
  <si>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</si>
  <si>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</si>
  <si>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</si>
  <si>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</si>
  <si>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</si>
  <si>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</si>
  <si>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</si>
  <si>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</si>
  <si>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</si>
  <si>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</si>
  <si>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</si>
  <si>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</si>
  <si>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</si>
  <si>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</si>
  <si>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</si>
  <si>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</si>
  <si>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</si>
  <si>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</si>
  <si>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</si>
  <si>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</si>
  <si>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</si>
  <si>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</si>
  <si>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</si>
  <si>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</si>
  <si>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</si>
  <si>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</si>
  <si>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</si>
  <si>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</si>
  <si>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</si>
  <si>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</si>
  <si>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</si>
  <si>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</si>
  <si>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</si>
  <si>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</si>
  <si>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</si>
  <si>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</si>
  <si>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</si>
  <si>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</si>
  <si>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</si>
  <si>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</si>
  <si>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</si>
  <si>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</si>
  <si>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</si>
  <si>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</si>
  <si>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</si>
  <si>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</si>
  <si>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</si>
  <si>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</si>
  <si>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</si>
  <si>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</si>
  <si>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</si>
  <si>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</si>
  <si>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</si>
  <si>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</si>
  <si>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</si>
  <si>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</si>
  <si>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</si>
  <si>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</si>
  <si>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</si>
  <si>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</si>
  <si>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</si>
  <si>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</si>
  <si>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</si>
  <si>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</si>
  <si>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</si>
  <si>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</si>
  <si>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</si>
  <si>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</si>
  <si>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</si>
  <si>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</si>
  <si>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</si>
  <si>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</si>
  <si>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</si>
  <si>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</si>
  <si>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</si>
  <si>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</si>
  <si>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</si>
  <si>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</si>
  <si>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</si>
  <si>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</si>
  <si>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</si>
  <si>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</si>
  <si>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</si>
  <si>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</si>
  <si>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</si>
  <si>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</si>
  <si>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</si>
  <si>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</si>
  <si>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</si>
  <si>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</si>
  <si>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</si>
  <si>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</si>
  <si>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</si>
  <si>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</si>
  <si>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</si>
  <si>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</si>
  <si>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</si>
  <si>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</si>
  <si>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</si>
  <si>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</si>
  <si>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</si>
  <si>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</si>
  <si>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</si>
  <si>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</si>
  <si>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</si>
  <si>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</si>
  <si>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</si>
  <si>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</si>
  <si>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</si>
  <si>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</si>
  <si>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</si>
  <si>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</si>
  <si>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</si>
  <si>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</si>
  <si>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</si>
  <si>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</si>
  <si>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</si>
  <si>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</si>
  <si>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</si>
  <si>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</si>
  <si>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</si>
  <si>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</si>
  <si>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</si>
  <si>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</si>
  <si>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</si>
  <si>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</si>
  <si>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</si>
  <si>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</si>
  <si>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</si>
  <si>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</si>
  <si>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</si>
  <si>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</si>
  <si>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</si>
  <si>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</si>
  <si>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</si>
  <si>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</si>
  <si>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</si>
  <si>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</si>
  <si>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</si>
  <si>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</si>
  <si>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</si>
  <si>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</si>
  <si>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</si>
  <si>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</si>
  <si>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</si>
  <si>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</si>
  <si>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</si>
  <si>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</si>
  <si>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</si>
  <si>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</si>
  <si>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</si>
  <si>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</si>
  <si>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</si>
  <si>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</si>
  <si>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</si>
  <si>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</si>
  <si>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</si>
  <si>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</si>
  <si>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</si>
  <si>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</si>
  <si>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</si>
  <si>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</si>
  <si>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</si>
  <si>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</si>
  <si>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</si>
  <si>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</si>
  <si>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</si>
  <si>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</si>
  <si>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</si>
  <si>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</si>
  <si>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</si>
  <si>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</si>
  <si>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</si>
  <si>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</si>
  <si>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</si>
  <si>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</si>
  <si>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</si>
  <si>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</si>
  <si>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</si>
  <si>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</si>
  <si>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</si>
  <si>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</si>
  <si>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</si>
  <si>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</si>
  <si>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</si>
  <si>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</si>
  <si>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</si>
  <si>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</si>
  <si>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</si>
  <si>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</si>
  <si>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</si>
  <si>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</si>
  <si>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</si>
  <si>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</si>
  <si>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</si>
  <si>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</si>
  <si>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</si>
  <si>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</si>
  <si>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</si>
  <si>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</si>
  <si>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</si>
  <si>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</si>
  <si>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</si>
  <si>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</si>
  <si>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</si>
  <si>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</si>
  <si>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</si>
  <si>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</si>
  <si>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</si>
  <si>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</si>
  <si>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</si>
  <si>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</si>
  <si>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</si>
  <si>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</si>
  <si>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</si>
  <si>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</si>
  <si>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</si>
  <si>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</si>
  <si>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</si>
  <si>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</si>
  <si>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</si>
  <si>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</si>
  <si>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</si>
  <si>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</si>
  <si>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</si>
  <si>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</si>
  <si>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</si>
  <si>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</si>
  <si>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</si>
  <si>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</si>
  <si>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</si>
  <si>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</si>
  <si>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</si>
  <si>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</si>
  <si>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</si>
  <si>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</si>
  <si>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</si>
  <si>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</si>
  <si>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</si>
  <si>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</si>
  <si>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</si>
  <si>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</si>
  <si>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</si>
  <si>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</si>
  <si>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</si>
  <si>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</si>
  <si>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</si>
  <si>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</si>
  <si>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</si>
  <si>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</si>
  <si>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</si>
  <si>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</si>
  <si>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</si>
  <si>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</si>
  <si>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</si>
  <si>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</si>
  <si>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</si>
  <si>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</si>
  <si>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</si>
  <si>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</si>
  <si>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</si>
  <si>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</si>
  <si>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</si>
  <si>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</si>
  <si>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</si>
  <si>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</si>
  <si>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</si>
  <si>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</si>
  <si>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</si>
  <si>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</si>
  <si>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</si>
  <si>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</si>
  <si>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</si>
  <si>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</si>
  <si>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</si>
  <si>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</si>
  <si>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</si>
  <si>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</si>
  <si>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</si>
  <si>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</si>
  <si>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</si>
  <si>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</si>
  <si>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</si>
  <si>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</si>
  <si>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</si>
  <si>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</si>
  <si>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</si>
  <si>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</si>
  <si>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</si>
  <si>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</si>
  <si>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</si>
  <si>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</si>
  <si>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</si>
  <si>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</si>
  <si>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</si>
  <si>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</si>
  <si>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</si>
  <si>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</si>
  <si>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</si>
  <si>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</si>
  <si>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</si>
  <si>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</si>
  <si>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</si>
  <si>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</si>
  <si>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</si>
  <si>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</si>
  <si>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</si>
  <si>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</si>
  <si>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</si>
  <si>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</si>
  <si>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</si>
  <si>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</si>
  <si>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</si>
  <si>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</si>
  <si>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</si>
  <si>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</si>
  <si>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</si>
  <si>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</si>
  <si>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</si>
  <si>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</si>
  <si>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</si>
  <si>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</si>
  <si>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</si>
  <si>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</si>
  <si>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</si>
  <si>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</si>
  <si>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</si>
  <si>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</si>
  <si>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</si>
  <si>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</si>
  <si>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</si>
  <si>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</si>
  <si>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</si>
  <si>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</si>
  <si>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</si>
  <si>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</si>
  <si>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</si>
  <si>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</si>
  <si>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</si>
  <si>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</si>
  <si>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</si>
  <si>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</si>
  <si>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</si>
  <si>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</si>
  <si>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</si>
  <si>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</si>
  <si>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</si>
  <si>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</si>
  <si>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</si>
  <si>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</si>
  <si>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</si>
  <si>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</si>
  <si>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</si>
  <si>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</si>
  <si>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</si>
  <si>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</si>
  <si>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</si>
  <si>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</si>
  <si>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</si>
  <si>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</si>
  <si>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</si>
  <si>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</si>
  <si>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</si>
  <si>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</si>
  <si>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</si>
  <si>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</si>
  <si>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</si>
  <si>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</si>
  <si>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</si>
  <si>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</si>
  <si>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</si>
  <si>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</si>
  <si>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</si>
  <si>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</si>
  <si>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</si>
  <si>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</si>
  <si>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</si>
  <si>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</si>
  <si>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</si>
  <si>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</si>
  <si>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</si>
  <si>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</si>
  <si>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</si>
  <si>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</si>
  <si>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</si>
  <si>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</si>
  <si>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</si>
  <si>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</si>
  <si>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</si>
  <si>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</si>
  <si>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</si>
  <si>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</si>
  <si>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</si>
  <si>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</si>
  <si>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</si>
  <si>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</si>
  <si>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</si>
  <si>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</si>
  <si>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</si>
  <si>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</si>
  <si>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</si>
  <si>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</si>
  <si>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</si>
  <si>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</si>
  <si>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</si>
  <si>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</si>
  <si>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</si>
  <si>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</si>
  <si>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</si>
  <si>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</si>
  <si>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</si>
  <si>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</si>
  <si>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</si>
  <si>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</si>
  <si>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</si>
  <si>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</si>
  <si>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</si>
  <si>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</si>
  <si>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</si>
  <si>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</si>
  <si>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</si>
  <si>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</si>
  <si>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</si>
  <si>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</si>
  <si>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</si>
  <si>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</si>
  <si>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</si>
  <si>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</si>
  <si>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</si>
  <si>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</si>
  <si>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</si>
  <si>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</si>
  <si>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</si>
  <si>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</si>
  <si>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</si>
  <si>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</si>
  <si>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</si>
  <si>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</si>
  <si>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</si>
  <si>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</si>
  <si>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</si>
  <si>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</si>
  <si>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</si>
  <si>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</si>
  <si>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</si>
  <si>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</si>
  <si>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</si>
  <si>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</si>
  <si>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</si>
  <si>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</si>
  <si>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</si>
  <si>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</si>
  <si>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</si>
  <si>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</si>
  <si>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</si>
  <si>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</si>
  <si>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</si>
  <si>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</si>
  <si>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</si>
  <si>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</si>
  <si>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</si>
  <si>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</si>
  <si>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</si>
  <si>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</si>
  <si>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</si>
  <si>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</si>
  <si>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</si>
  <si>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</si>
  <si>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</si>
  <si>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</si>
  <si>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</si>
  <si>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</si>
  <si>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</si>
  <si>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</si>
  <si>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</si>
  <si>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</si>
  <si>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</si>
  <si>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</si>
  <si>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</si>
  <si>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</si>
  <si>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</si>
  <si>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</si>
  <si>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</si>
  <si>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</si>
  <si>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</si>
  <si>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</si>
  <si>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</si>
  <si>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</si>
  <si>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Holotargeting</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</si>
  <si>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</si>
  <si>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</si>
  <si>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</si>
  <si>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</si>
  <si>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</si>
  <si>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</si>
  <si>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</si>
  <si>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</si>
  <si>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</si>
  <si>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</si>
  <si>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</si>
  <si>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</si>
  <si>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</si>
  <si>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</si>
  <si>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Absorption Field</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</si>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</sst>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Alignment="1">
      <alignment horizont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 fillId="0" borderId="17" xfId="0" applyFont="1" applyBorder="1" applyAlignment="1">
      <alignment horizontal="center"/>
    </xf>
    <xf numFmtId="0" fontId="1" fillId="0" borderId="11" xfId="0" applyFont="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3"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41" xfId="0" applyBorder="1" applyAlignment="1">
      <alignment horizontal="left" vertical="distributed"/>
    </xf>
    <xf numFmtId="0" fontId="0" fillId="0" borderId="25" xfId="0" applyBorder="1" applyAlignment="1">
      <alignment horizontal="left" vertical="distributed"/>
    </xf>
    <xf numFmtId="0" fontId="1" fillId="0" borderId="31" xfId="0" applyFont="1" applyBorder="1" applyAlignment="1"/>
    <xf numFmtId="0" fontId="1" fillId="0" borderId="35" xfId="0" applyFont="1" applyBorder="1" applyAlignment="1"/>
    <xf numFmtId="0" fontId="1" fillId="0" borderId="42" xfId="0" applyFont="1" applyBorder="1" applyAlignment="1">
      <alignment horizontal="center"/>
    </xf>
    <xf numFmtId="0" fontId="1" fillId="0" borderId="10" xfId="0" applyFont="1" applyBorder="1" applyAlignment="1">
      <alignment horizontal="center"/>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0" fillId="2" borderId="46" xfId="0" applyFill="1" applyBorder="1" applyAlignment="1">
      <alignment horizontal="center"/>
    </xf>
    <xf numFmtId="0" fontId="0" fillId="2" borderId="50"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34" xfId="0" applyBorder="1" applyAlignment="1">
      <alignment horizontal="center"/>
    </xf>
    <xf numFmtId="0" fontId="0" fillId="0" borderId="54" xfId="0" applyBorder="1" applyAlignment="1">
      <alignment horizontal="center"/>
    </xf>
    <xf numFmtId="0" fontId="0" fillId="0" borderId="55" xfId="0" applyBorder="1" applyAlignment="1">
      <alignment horizontal="center"/>
    </xf>
    <xf numFmtId="0" fontId="0" fillId="0" borderId="35" xfId="0"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30" xfId="0" applyBorder="1" applyAlignment="1">
      <alignment horizontal="left" vertical="distributed"/>
    </xf>
    <xf numFmtId="0" fontId="0" fillId="2" borderId="12" xfId="0" applyFill="1" applyBorder="1" applyAlignment="1">
      <alignment horizontal="center"/>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0" borderId="29" xfId="0" applyBorder="1" applyAlignment="1">
      <alignment horizontal="left" vertical="distributed"/>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24" xfId="0" applyFont="1" applyBorder="1" applyAlignment="1">
      <alignment horizontal="left" vertical="distributed"/>
    </xf>
    <xf numFmtId="0" fontId="0" fillId="0" borderId="44" xfId="0" applyFont="1" applyBorder="1" applyAlignment="1">
      <alignment horizontal="left" vertical="distributed"/>
    </xf>
    <xf numFmtId="0" fontId="0" fillId="0" borderId="41" xfId="0" applyFont="1" applyBorder="1" applyAlignment="1">
      <alignment horizontal="left" vertical="distributed"/>
    </xf>
    <xf numFmtId="0" fontId="0" fillId="0" borderId="25"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xf numFmtId="0" fontId="0" fillId="0" borderId="12" xfId="0" applyBorder="1" applyAlignment="1">
      <alignment horizontal="center"/>
    </xf>
    <xf numFmtId="0" fontId="0" fillId="0" borderId="14"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0" fillId="0" borderId="69"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0" xfId="0" applyBorder="1" applyAlignment="1">
      <alignment vertical="top" wrapText="1"/>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5" t="s">
        <v>339</v>
      </c>
      <c r="O1" s="65"/>
      <c r="P1" s="65" t="s">
        <v>342</v>
      </c>
      <c r="Q1" s="65"/>
      <c r="R1" t="s">
        <v>343</v>
      </c>
    </row>
    <row r="2" spans="1:26" x14ac:dyDescent="0.25">
      <c r="B2" t="s">
        <v>1192</v>
      </c>
      <c r="C2" t="s">
        <v>1191</v>
      </c>
      <c r="D2" t="s">
        <v>961</v>
      </c>
      <c r="E2" t="s">
        <v>348</v>
      </c>
      <c r="F2" t="s">
        <v>346</v>
      </c>
      <c r="G2" t="s">
        <v>1193</v>
      </c>
      <c r="H2" t="s">
        <v>1193</v>
      </c>
      <c r="I2" t="s">
        <v>1193</v>
      </c>
      <c r="J2" t="s">
        <v>1193</v>
      </c>
      <c r="K2" t="s">
        <v>1193</v>
      </c>
      <c r="L2" t="s">
        <v>1194</v>
      </c>
      <c r="N2" t="s">
        <v>1195</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(AbilityName="GrazingFire",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(AbilityName="Lethal",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(AbilityName="GrazingFire",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(AbilityName="Lethal",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activeCell="A21" sqref="A21"/>
    </sheetView>
  </sheetViews>
  <sheetFormatPr defaultRowHeight="15" x14ac:dyDescent="0.25"/>
  <sheetData>
    <row r="1" spans="1:23" ht="15" customHeight="1" x14ac:dyDescent="0.25">
      <c r="A1" s="78" t="s">
        <v>345</v>
      </c>
      <c r="B1" s="79"/>
      <c r="C1" s="79"/>
      <c r="D1" s="79"/>
      <c r="E1" s="79"/>
      <c r="F1" s="79"/>
      <c r="G1" s="79"/>
      <c r="H1" s="79"/>
      <c r="I1" s="79"/>
      <c r="J1" s="79"/>
      <c r="K1" s="79"/>
      <c r="L1" s="79"/>
      <c r="M1" s="79"/>
      <c r="N1" s="79"/>
      <c r="O1" s="79"/>
      <c r="P1" s="79"/>
      <c r="Q1" s="79"/>
      <c r="R1" s="79"/>
      <c r="S1" s="79"/>
      <c r="T1" s="79"/>
      <c r="U1" s="79"/>
      <c r="V1" s="79"/>
      <c r="W1" s="80"/>
    </row>
    <row r="2" spans="1:23" ht="15" customHeight="1" x14ac:dyDescent="0.25">
      <c r="A2" s="81"/>
      <c r="B2" s="82"/>
      <c r="C2" s="82"/>
      <c r="D2" s="82"/>
      <c r="E2" s="82"/>
      <c r="F2" s="82"/>
      <c r="G2" s="82"/>
      <c r="H2" s="82"/>
      <c r="I2" s="82"/>
      <c r="J2" s="82"/>
      <c r="K2" s="82"/>
      <c r="L2" s="82"/>
      <c r="M2" s="82"/>
      <c r="N2" s="82"/>
      <c r="O2" s="82"/>
      <c r="P2" s="82"/>
      <c r="Q2" s="82"/>
      <c r="R2" s="82"/>
      <c r="S2" s="82"/>
      <c r="T2" s="82"/>
      <c r="U2" s="82"/>
      <c r="V2" s="82"/>
      <c r="W2" s="83"/>
    </row>
    <row r="3" spans="1:23" ht="15" customHeight="1" thickBot="1" x14ac:dyDescent="0.3">
      <c r="A3" s="84"/>
      <c r="B3" s="85"/>
      <c r="C3" s="85"/>
      <c r="D3" s="85"/>
      <c r="E3" s="85"/>
      <c r="F3" s="85"/>
      <c r="G3" s="85"/>
      <c r="H3" s="85"/>
      <c r="I3" s="85"/>
      <c r="J3" s="85"/>
      <c r="K3" s="85"/>
      <c r="L3" s="85"/>
      <c r="M3" s="85"/>
      <c r="N3" s="85"/>
      <c r="O3" s="85"/>
      <c r="P3" s="85"/>
      <c r="Q3" s="85"/>
      <c r="R3" s="85"/>
      <c r="S3" s="85"/>
      <c r="T3" s="85"/>
      <c r="U3" s="85"/>
      <c r="V3" s="85"/>
      <c r="W3" s="86"/>
    </row>
    <row r="4" spans="1:23" ht="15.75" customHeight="1" x14ac:dyDescent="0.25">
      <c r="A4" s="72" t="s">
        <v>976</v>
      </c>
      <c r="B4" s="73"/>
      <c r="C4" s="73"/>
      <c r="D4" s="73"/>
      <c r="E4" s="73"/>
      <c r="F4" s="73"/>
      <c r="G4" s="74"/>
      <c r="I4" s="72" t="s">
        <v>347</v>
      </c>
      <c r="J4" s="73"/>
      <c r="K4" s="73"/>
      <c r="L4" s="73"/>
      <c r="M4" s="73"/>
      <c r="N4" s="73"/>
      <c r="O4" s="74"/>
      <c r="Q4" s="87" t="s">
        <v>346</v>
      </c>
      <c r="R4" s="88"/>
      <c r="S4" s="88"/>
      <c r="T4" s="88"/>
      <c r="U4" s="88"/>
      <c r="V4" s="88"/>
      <c r="W4" s="89"/>
    </row>
    <row r="5" spans="1:23" ht="15.75" customHeight="1" x14ac:dyDescent="0.25">
      <c r="A5" s="75"/>
      <c r="B5" s="76"/>
      <c r="C5" s="76"/>
      <c r="D5" s="76"/>
      <c r="E5" s="76"/>
      <c r="F5" s="76"/>
      <c r="G5" s="77"/>
      <c r="I5" s="75"/>
      <c r="J5" s="76"/>
      <c r="K5" s="76"/>
      <c r="L5" s="76"/>
      <c r="M5" s="76"/>
      <c r="N5" s="76"/>
      <c r="O5" s="77"/>
      <c r="Q5" s="75"/>
      <c r="R5" s="76"/>
      <c r="S5" s="76"/>
      <c r="T5" s="76"/>
      <c r="U5" s="76"/>
      <c r="V5" s="76"/>
      <c r="W5" s="77"/>
    </row>
    <row r="6" spans="1:23" ht="15" customHeight="1" x14ac:dyDescent="0.25">
      <c r="A6" s="90" t="s">
        <v>1209</v>
      </c>
      <c r="B6" s="91"/>
      <c r="C6" s="91"/>
      <c r="D6" s="91"/>
      <c r="E6" s="91"/>
      <c r="F6" s="91"/>
      <c r="G6" s="92"/>
      <c r="I6" s="66" t="s">
        <v>1196</v>
      </c>
      <c r="J6" s="67"/>
      <c r="K6" s="67"/>
      <c r="L6" s="67"/>
      <c r="M6" s="67"/>
      <c r="N6" s="67"/>
      <c r="O6" s="68"/>
      <c r="Q6" s="90" t="s">
        <v>1197</v>
      </c>
      <c r="R6" s="91"/>
      <c r="S6" s="91"/>
      <c r="T6" s="91"/>
      <c r="U6" s="91"/>
      <c r="V6" s="91"/>
      <c r="W6" s="92"/>
    </row>
    <row r="7" spans="1:23" ht="15" customHeight="1" thickBot="1" x14ac:dyDescent="0.3">
      <c r="A7" s="93"/>
      <c r="B7" s="94"/>
      <c r="C7" s="94"/>
      <c r="D7" s="94"/>
      <c r="E7" s="94"/>
      <c r="F7" s="94"/>
      <c r="G7" s="95"/>
      <c r="I7" s="69"/>
      <c r="J7" s="70"/>
      <c r="K7" s="70"/>
      <c r="L7" s="70"/>
      <c r="M7" s="70"/>
      <c r="N7" s="70"/>
      <c r="O7" s="71"/>
      <c r="Q7" s="93"/>
      <c r="R7" s="94"/>
      <c r="S7" s="94"/>
      <c r="T7" s="94"/>
      <c r="U7" s="94"/>
      <c r="V7" s="94"/>
      <c r="W7" s="95"/>
    </row>
    <row r="8" spans="1:23" ht="15" customHeight="1" thickBot="1" x14ac:dyDescent="0.3">
      <c r="A8" s="93"/>
      <c r="B8" s="94"/>
      <c r="C8" s="94"/>
      <c r="D8" s="94"/>
      <c r="E8" s="94"/>
      <c r="F8" s="94"/>
      <c r="G8" s="95"/>
      <c r="Q8" s="93"/>
      <c r="R8" s="94"/>
      <c r="S8" s="94"/>
      <c r="T8" s="94"/>
      <c r="U8" s="94"/>
      <c r="V8" s="94"/>
      <c r="W8" s="95"/>
    </row>
    <row r="9" spans="1:23" x14ac:dyDescent="0.25">
      <c r="A9" s="93"/>
      <c r="B9" s="94"/>
      <c r="C9" s="94"/>
      <c r="D9" s="94"/>
      <c r="E9" s="94"/>
      <c r="F9" s="94"/>
      <c r="G9" s="95"/>
      <c r="I9" s="87" t="s">
        <v>348</v>
      </c>
      <c r="J9" s="88"/>
      <c r="K9" s="88"/>
      <c r="L9" s="88"/>
      <c r="M9" s="88"/>
      <c r="N9" s="88"/>
      <c r="O9" s="89"/>
      <c r="Q9" s="93"/>
      <c r="R9" s="94"/>
      <c r="S9" s="94"/>
      <c r="T9" s="94"/>
      <c r="U9" s="94"/>
      <c r="V9" s="94"/>
      <c r="W9" s="95"/>
    </row>
    <row r="10" spans="1:23" x14ac:dyDescent="0.25">
      <c r="A10" s="93"/>
      <c r="B10" s="94"/>
      <c r="C10" s="94"/>
      <c r="D10" s="94"/>
      <c r="E10" s="94"/>
      <c r="F10" s="94"/>
      <c r="G10" s="95"/>
      <c r="I10" s="75"/>
      <c r="J10" s="76"/>
      <c r="K10" s="76"/>
      <c r="L10" s="76"/>
      <c r="M10" s="76"/>
      <c r="N10" s="76"/>
      <c r="O10" s="77"/>
      <c r="Q10" s="93"/>
      <c r="R10" s="94"/>
      <c r="S10" s="94"/>
      <c r="T10" s="94"/>
      <c r="U10" s="94"/>
      <c r="V10" s="94"/>
      <c r="W10" s="95"/>
    </row>
    <row r="11" spans="1:23" x14ac:dyDescent="0.25">
      <c r="A11" s="93"/>
      <c r="B11" s="94"/>
      <c r="C11" s="94"/>
      <c r="D11" s="94"/>
      <c r="E11" s="94"/>
      <c r="F11" s="94"/>
      <c r="G11" s="95"/>
      <c r="I11" s="99" t="s">
        <v>1199</v>
      </c>
      <c r="J11" s="100"/>
      <c r="K11" s="100"/>
      <c r="L11" s="100"/>
      <c r="M11" s="100"/>
      <c r="N11" s="100"/>
      <c r="O11" s="101"/>
      <c r="Q11" s="93"/>
      <c r="R11" s="94"/>
      <c r="S11" s="94"/>
      <c r="T11" s="94"/>
      <c r="U11" s="94"/>
      <c r="V11" s="94"/>
      <c r="W11" s="95"/>
    </row>
    <row r="12" spans="1:23" x14ac:dyDescent="0.25">
      <c r="A12" s="93"/>
      <c r="B12" s="94"/>
      <c r="C12" s="94"/>
      <c r="D12" s="94"/>
      <c r="E12" s="94"/>
      <c r="F12" s="94"/>
      <c r="G12" s="95"/>
      <c r="I12" s="66"/>
      <c r="J12" s="67"/>
      <c r="K12" s="67"/>
      <c r="L12" s="67"/>
      <c r="M12" s="67"/>
      <c r="N12" s="67"/>
      <c r="O12" s="68"/>
      <c r="Q12" s="93"/>
      <c r="R12" s="94"/>
      <c r="S12" s="94"/>
      <c r="T12" s="94"/>
      <c r="U12" s="94"/>
      <c r="V12" s="94"/>
      <c r="W12" s="95"/>
    </row>
    <row r="13" spans="1:23" x14ac:dyDescent="0.25">
      <c r="A13" s="93"/>
      <c r="B13" s="94"/>
      <c r="C13" s="94"/>
      <c r="D13" s="94"/>
      <c r="E13" s="94"/>
      <c r="F13" s="94"/>
      <c r="G13" s="95"/>
      <c r="I13" s="66"/>
      <c r="J13" s="67"/>
      <c r="K13" s="67"/>
      <c r="L13" s="67"/>
      <c r="M13" s="67"/>
      <c r="N13" s="67"/>
      <c r="O13" s="68"/>
      <c r="Q13" s="93"/>
      <c r="R13" s="94"/>
      <c r="S13" s="94"/>
      <c r="T13" s="94"/>
      <c r="U13" s="94"/>
      <c r="V13" s="94"/>
      <c r="W13" s="95"/>
    </row>
    <row r="14" spans="1:23" x14ac:dyDescent="0.25">
      <c r="A14" s="93"/>
      <c r="B14" s="94"/>
      <c r="C14" s="94"/>
      <c r="D14" s="94"/>
      <c r="E14" s="94"/>
      <c r="F14" s="94"/>
      <c r="G14" s="95"/>
      <c r="I14" s="66"/>
      <c r="J14" s="67"/>
      <c r="K14" s="67"/>
      <c r="L14" s="67"/>
      <c r="M14" s="67"/>
      <c r="N14" s="67"/>
      <c r="O14" s="68"/>
      <c r="Q14" s="93"/>
      <c r="R14" s="94"/>
      <c r="S14" s="94"/>
      <c r="T14" s="94"/>
      <c r="U14" s="94"/>
      <c r="V14" s="94"/>
      <c r="W14" s="95"/>
    </row>
    <row r="15" spans="1:23" x14ac:dyDescent="0.25">
      <c r="A15" s="93"/>
      <c r="B15" s="94"/>
      <c r="C15" s="94"/>
      <c r="D15" s="94"/>
      <c r="E15" s="94"/>
      <c r="F15" s="94"/>
      <c r="G15" s="95"/>
      <c r="I15" s="66"/>
      <c r="J15" s="67"/>
      <c r="K15" s="67"/>
      <c r="L15" s="67"/>
      <c r="M15" s="67"/>
      <c r="N15" s="67"/>
      <c r="O15" s="68"/>
      <c r="Q15" s="93"/>
      <c r="R15" s="94"/>
      <c r="S15" s="94"/>
      <c r="T15" s="94"/>
      <c r="U15" s="94"/>
      <c r="V15" s="94"/>
      <c r="W15" s="95"/>
    </row>
    <row r="16" spans="1:23" x14ac:dyDescent="0.25">
      <c r="A16" s="93"/>
      <c r="B16" s="94"/>
      <c r="C16" s="94"/>
      <c r="D16" s="94"/>
      <c r="E16" s="94"/>
      <c r="F16" s="94"/>
      <c r="G16" s="95"/>
      <c r="I16" s="66"/>
      <c r="J16" s="67"/>
      <c r="K16" s="67"/>
      <c r="L16" s="67"/>
      <c r="M16" s="67"/>
      <c r="N16" s="67"/>
      <c r="O16" s="68"/>
      <c r="Q16" s="93"/>
      <c r="R16" s="94"/>
      <c r="S16" s="94"/>
      <c r="T16" s="94"/>
      <c r="U16" s="94"/>
      <c r="V16" s="94"/>
      <c r="W16" s="95"/>
    </row>
    <row r="17" spans="1:23" x14ac:dyDescent="0.25">
      <c r="A17" s="93"/>
      <c r="B17" s="94"/>
      <c r="C17" s="94"/>
      <c r="D17" s="94"/>
      <c r="E17" s="94"/>
      <c r="F17" s="94"/>
      <c r="G17" s="95"/>
      <c r="I17" s="66"/>
      <c r="J17" s="67"/>
      <c r="K17" s="67"/>
      <c r="L17" s="67"/>
      <c r="M17" s="67"/>
      <c r="N17" s="67"/>
      <c r="O17" s="68"/>
      <c r="Q17" s="93"/>
      <c r="R17" s="94"/>
      <c r="S17" s="94"/>
      <c r="T17" s="94"/>
      <c r="U17" s="94"/>
      <c r="V17" s="94"/>
      <c r="W17" s="95"/>
    </row>
    <row r="18" spans="1:23" ht="15" customHeight="1" x14ac:dyDescent="0.25">
      <c r="A18" s="93"/>
      <c r="B18" s="94"/>
      <c r="C18" s="94"/>
      <c r="D18" s="94"/>
      <c r="E18" s="94"/>
      <c r="F18" s="94"/>
      <c r="G18" s="95"/>
      <c r="I18" s="66"/>
      <c r="J18" s="67"/>
      <c r="K18" s="67"/>
      <c r="L18" s="67"/>
      <c r="M18" s="67"/>
      <c r="N18" s="67"/>
      <c r="O18" s="68"/>
      <c r="Q18" s="93"/>
      <c r="R18" s="94"/>
      <c r="S18" s="94"/>
      <c r="T18" s="94"/>
      <c r="U18" s="94"/>
      <c r="V18" s="94"/>
      <c r="W18" s="95"/>
    </row>
    <row r="19" spans="1:23" x14ac:dyDescent="0.25">
      <c r="A19" s="93"/>
      <c r="B19" s="94"/>
      <c r="C19" s="94"/>
      <c r="D19" s="94"/>
      <c r="E19" s="94"/>
      <c r="F19" s="94"/>
      <c r="G19" s="95"/>
      <c r="I19" s="66"/>
      <c r="J19" s="67"/>
      <c r="K19" s="67"/>
      <c r="L19" s="67"/>
      <c r="M19" s="67"/>
      <c r="N19" s="67"/>
      <c r="O19" s="68"/>
      <c r="Q19" s="93"/>
      <c r="R19" s="94"/>
      <c r="S19" s="94"/>
      <c r="T19" s="94"/>
      <c r="U19" s="94"/>
      <c r="V19" s="94"/>
      <c r="W19" s="95"/>
    </row>
    <row r="20" spans="1:23" ht="15" customHeight="1" thickBot="1" x14ac:dyDescent="0.3">
      <c r="A20" s="96"/>
      <c r="B20" s="97"/>
      <c r="C20" s="97"/>
      <c r="D20" s="97"/>
      <c r="E20" s="97"/>
      <c r="F20" s="97"/>
      <c r="G20" s="98"/>
      <c r="I20" s="69"/>
      <c r="J20" s="70"/>
      <c r="K20" s="70"/>
      <c r="L20" s="70"/>
      <c r="M20" s="70"/>
      <c r="N20" s="70"/>
      <c r="O20" s="71"/>
      <c r="Q20" s="96"/>
      <c r="R20" s="97"/>
      <c r="S20" s="97"/>
      <c r="T20" s="97"/>
      <c r="U20" s="97"/>
      <c r="V20" s="97"/>
      <c r="W20" s="98"/>
    </row>
    <row r="21" spans="1:23" ht="15.75" thickBot="1" x14ac:dyDescent="0.3"/>
    <row r="22" spans="1:23" ht="15" customHeight="1" x14ac:dyDescent="0.25">
      <c r="A22" s="277" t="s">
        <v>1204</v>
      </c>
      <c r="B22" s="273" t="s">
        <v>1205</v>
      </c>
      <c r="C22" s="274"/>
      <c r="D22" s="275"/>
    </row>
    <row r="23" spans="1:23" x14ac:dyDescent="0.25">
      <c r="A23" s="278"/>
      <c r="B23" s="271" t="s">
        <v>1206</v>
      </c>
      <c r="C23" s="272"/>
      <c r="D23" s="276"/>
    </row>
    <row r="24" spans="1:23" ht="15.75" thickBot="1" x14ac:dyDescent="0.3">
      <c r="A24" s="279"/>
      <c r="B24" s="167" t="s">
        <v>1207</v>
      </c>
      <c r="C24" s="165"/>
      <c r="D24" s="168"/>
    </row>
    <row r="25" spans="1:23" ht="15" customHeight="1" x14ac:dyDescent="0.25">
      <c r="A25" s="282" t="s">
        <v>1208</v>
      </c>
      <c r="B25" s="283"/>
      <c r="C25" s="283"/>
      <c r="D25" s="284"/>
    </row>
    <row r="26" spans="1:23" x14ac:dyDescent="0.25">
      <c r="A26" s="280"/>
      <c r="B26" s="281"/>
      <c r="C26" s="281"/>
      <c r="D26" s="285"/>
    </row>
    <row r="27" spans="1:23" ht="15.75" thickBot="1" x14ac:dyDescent="0.3">
      <c r="A27" s="286"/>
      <c r="B27" s="287"/>
      <c r="C27" s="287"/>
      <c r="D27" s="288"/>
    </row>
    <row r="28" spans="1:23" x14ac:dyDescent="0.25">
      <c r="A28" s="289"/>
      <c r="B28" s="289"/>
      <c r="C28" s="289"/>
      <c r="D28" s="289"/>
    </row>
  </sheetData>
  <mergeCells count="14">
    <mergeCell ref="A25:D27"/>
    <mergeCell ref="B24:D24"/>
    <mergeCell ref="B23:D23"/>
    <mergeCell ref="B22:D22"/>
    <mergeCell ref="A22:A24"/>
    <mergeCell ref="I6:O7"/>
    <mergeCell ref="A4:G5"/>
    <mergeCell ref="A1:W3"/>
    <mergeCell ref="I4:O5"/>
    <mergeCell ref="Q4:W5"/>
    <mergeCell ref="A6:G20"/>
    <mergeCell ref="Q6:W20"/>
    <mergeCell ref="I9:O10"/>
    <mergeCell ref="I11:O20"/>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c r="G4" s="113"/>
      <c r="H4" s="4" t="str">
        <f>IFERROR(VLOOKUP(F4,Abilities,4,FALSE),"")</f>
        <v/>
      </c>
      <c r="I4" s="127"/>
      <c r="J4" s="113"/>
      <c r="K4" s="35" t="str">
        <f>IFERROR(VLOOKUP(I4,Abilities,4,FALSE),"")</f>
        <v/>
      </c>
      <c r="L4" s="112"/>
      <c r="M4" s="113"/>
      <c r="N4" s="10" t="str">
        <f>IFERROR(VLOOKUP(L4,Abilities,4,FALSE),"")</f>
        <v/>
      </c>
      <c r="O4" s="19" t="s">
        <v>12</v>
      </c>
      <c r="P4" s="4">
        <v>2</v>
      </c>
      <c r="Q4" s="20">
        <v>0</v>
      </c>
      <c r="R4" s="20"/>
      <c r="S4" s="4">
        <v>0</v>
      </c>
      <c r="T4" s="4">
        <v>1</v>
      </c>
      <c r="U4" s="10"/>
      <c r="V4" s="104" t="s">
        <v>776</v>
      </c>
      <c r="W4" s="105"/>
      <c r="X4" s="104" t="s">
        <v>800</v>
      </c>
      <c r="Y4" s="105"/>
    </row>
    <row r="5" spans="1:25" ht="15" customHeight="1" x14ac:dyDescent="0.25">
      <c r="A5" s="6"/>
      <c r="B5" s="5" t="b">
        <v>0</v>
      </c>
      <c r="C5" s="186"/>
      <c r="D5" s="187"/>
      <c r="E5" s="187"/>
      <c r="F5" s="188" t="str">
        <f>IFERROR(VLOOKUP(F4,Abilities,7,FALSE),"")</f>
        <v/>
      </c>
      <c r="G5" s="189"/>
      <c r="H5" s="190"/>
      <c r="I5" s="120" t="str">
        <f>IFERROR(VLOOKUP(I4,Abilities,7,FALSE),"")</f>
        <v/>
      </c>
      <c r="J5" s="115"/>
      <c r="K5" s="116"/>
      <c r="L5" s="115" t="str">
        <f>IFERROR(VLOOKUP(L4,Abilities,7,FALSE),"")</f>
        <v/>
      </c>
      <c r="M5" s="115"/>
      <c r="N5" s="122"/>
      <c r="O5" s="26" t="s">
        <v>456</v>
      </c>
      <c r="P5" s="27">
        <v>2</v>
      </c>
      <c r="Q5" s="28">
        <v>0</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4" t="s">
        <v>777</v>
      </c>
      <c r="W6" s="105"/>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0</v>
      </c>
      <c r="T7" s="27"/>
      <c r="U7" s="29"/>
      <c r="V7" s="102" t="s">
        <v>778</v>
      </c>
      <c r="W7" s="103"/>
      <c r="X7" s="102" t="s">
        <v>803</v>
      </c>
      <c r="Y7" s="103"/>
    </row>
    <row r="8" spans="1:25" ht="15" customHeight="1" thickBot="1" x14ac:dyDescent="0.3">
      <c r="A8" s="6"/>
      <c r="B8" s="5" t="b">
        <v>0</v>
      </c>
      <c r="C8" s="157" t="s">
        <v>317</v>
      </c>
      <c r="D8" s="158"/>
      <c r="E8" s="12"/>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4" t="s">
        <v>908</v>
      </c>
      <c r="W8" s="105"/>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0</v>
      </c>
      <c r="T9" s="27"/>
      <c r="U9" s="29"/>
      <c r="V9" s="102" t="s">
        <v>780</v>
      </c>
      <c r="W9" s="103"/>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4" t="s">
        <v>781</v>
      </c>
      <c r="W10" s="105"/>
      <c r="X10" s="104" t="s">
        <v>805</v>
      </c>
      <c r="Y10" s="105"/>
    </row>
    <row r="11" spans="1:25" ht="15.75" customHeight="1" thickBot="1" x14ac:dyDescent="0.3">
      <c r="A11" s="6"/>
      <c r="B11" s="5" t="b">
        <v>0</v>
      </c>
      <c r="C11" s="157" t="s">
        <v>320</v>
      </c>
      <c r="D11" s="158"/>
      <c r="E11" s="12">
        <v>4</v>
      </c>
      <c r="F11" s="164"/>
      <c r="G11" s="165"/>
      <c r="H11" s="166"/>
      <c r="I11" s="167"/>
      <c r="J11" s="165"/>
      <c r="K11" s="166"/>
      <c r="L11" s="165"/>
      <c r="M11" s="165"/>
      <c r="N11" s="168"/>
      <c r="O11" s="39" t="s">
        <v>460</v>
      </c>
      <c r="P11" s="40">
        <v>2</v>
      </c>
      <c r="Q11" s="41">
        <v>0</v>
      </c>
      <c r="R11" s="41"/>
      <c r="S11" s="40">
        <v>0</v>
      </c>
      <c r="T11" s="40"/>
      <c r="U11" s="42"/>
      <c r="V11" s="102" t="s">
        <v>823</v>
      </c>
      <c r="W11" s="103"/>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c r="G13" s="113"/>
      <c r="H13" s="4" t="str">
        <f>IFERROR(VLOOKUP(F13,Abilities,4,FALSE),"")</f>
        <v/>
      </c>
      <c r="I13" s="127" t="s">
        <v>340</v>
      </c>
      <c r="J13" s="113"/>
      <c r="K13" s="35" t="str">
        <f>IFERROR(VLOOKUP(I13,Abilities,4,FALSE),"")</f>
        <v/>
      </c>
      <c r="L13" s="112"/>
      <c r="M13" s="113"/>
      <c r="N13" s="10" t="str">
        <f>IFERROR(VLOOKUP(L13,Abilities,4,FALSE),"")</f>
        <v/>
      </c>
      <c r="O13" s="152"/>
      <c r="P13" s="153"/>
      <c r="Q13" s="153"/>
      <c r="R13" s="153"/>
      <c r="S13" s="153"/>
      <c r="T13" s="153"/>
      <c r="U13" s="154"/>
      <c r="V13" s="102" t="s">
        <v>817</v>
      </c>
      <c r="W13" s="103"/>
      <c r="X13" s="102" t="s">
        <v>808</v>
      </c>
      <c r="Y13" s="103"/>
    </row>
    <row r="14" spans="1:25" ht="15.75" thickBot="1" x14ac:dyDescent="0.3">
      <c r="A14" s="6"/>
      <c r="B14" s="7" t="b">
        <v>0</v>
      </c>
      <c r="F14" s="114" t="str">
        <f>IFERROR(VLOOKUP(F13,Abilities,7,FALSE),"")</f>
        <v/>
      </c>
      <c r="G14" s="115"/>
      <c r="H14" s="116"/>
      <c r="I14" s="120" t="str">
        <f>IFERROR(VLOOKUP(I13,Abilities,7,FALSE),"")</f>
        <v/>
      </c>
      <c r="J14" s="115"/>
      <c r="K14" s="116"/>
      <c r="L14" s="115" t="str">
        <f>IFERROR(VLOOKUP(L13,Abilities,7,FALSE),"")</f>
        <v/>
      </c>
      <c r="M14" s="115"/>
      <c r="N14" s="122"/>
      <c r="O14" s="22"/>
      <c r="P14" s="23" t="s">
        <v>331</v>
      </c>
      <c r="Q14" s="24" t="s">
        <v>332</v>
      </c>
      <c r="R14" s="24" t="s">
        <v>333</v>
      </c>
      <c r="S14" s="24" t="s">
        <v>334</v>
      </c>
      <c r="T14" s="24" t="s">
        <v>336</v>
      </c>
      <c r="U14" s="25" t="s">
        <v>335</v>
      </c>
      <c r="V14" s="104" t="s">
        <v>783</v>
      </c>
      <c r="W14" s="105"/>
      <c r="X14" s="124" t="s">
        <v>813</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3</v>
      </c>
      <c r="R16" s="28"/>
      <c r="S16" s="27"/>
      <c r="T16" s="27"/>
      <c r="U16" s="29"/>
      <c r="V16" s="104" t="s">
        <v>785</v>
      </c>
      <c r="W16" s="105"/>
    </row>
    <row r="17" spans="1:23" ht="16.5" thickTop="1" thickBot="1" x14ac:dyDescent="0.3">
      <c r="A17" s="8"/>
      <c r="B17" s="9" t="b">
        <v>0</v>
      </c>
      <c r="F17" s="126" t="s">
        <v>340</v>
      </c>
      <c r="G17" s="113"/>
      <c r="H17" s="4" t="str">
        <f>IFERROR(VLOOKUP(F17,Abilities,4,FALSE),"")</f>
        <v/>
      </c>
      <c r="I17" s="127"/>
      <c r="J17" s="113"/>
      <c r="K17" s="35" t="str">
        <f>IFERROR(VLOOKUP(I17,Abilities,4,FALSE),"")</f>
        <v/>
      </c>
      <c r="L17" s="112" t="s">
        <v>340</v>
      </c>
      <c r="M17" s="113"/>
      <c r="N17" s="10" t="str">
        <f>IFERROR(VLOOKUP(L17,Abilities,4,FALSE),"")</f>
        <v/>
      </c>
      <c r="O17" s="19" t="s">
        <v>15</v>
      </c>
      <c r="P17" s="4"/>
      <c r="Q17" s="20"/>
      <c r="R17" s="20"/>
      <c r="S17" s="4"/>
      <c r="T17" s="4"/>
      <c r="U17" s="10"/>
      <c r="V17" s="102" t="s">
        <v>909</v>
      </c>
      <c r="W17" s="103"/>
    </row>
    <row r="18" spans="1:23" x14ac:dyDescent="0.25">
      <c r="A18" s="131" t="s">
        <v>344</v>
      </c>
      <c r="B18" s="132"/>
      <c r="F18" s="114" t="str">
        <f>IFERROR(VLOOKUP(F17,Abilities,7,FALSE),"")</f>
        <v/>
      </c>
      <c r="G18" s="115"/>
      <c r="H18" s="116"/>
      <c r="I18" s="120" t="str">
        <f>IFERROR(VLOOKUP(I17,Abilities,7,FALSE),"")</f>
        <v/>
      </c>
      <c r="J18" s="115"/>
      <c r="K18" s="116"/>
      <c r="L18" s="115" t="str">
        <f>IFERROR(VLOOKUP(L17,Abilities,7,FALSE),"")</f>
        <v/>
      </c>
      <c r="M18" s="115"/>
      <c r="N18" s="122"/>
      <c r="O18" s="26" t="s">
        <v>21</v>
      </c>
      <c r="P18" s="27"/>
      <c r="Q18" s="28"/>
      <c r="R18" s="28"/>
      <c r="S18" s="27"/>
      <c r="T18" s="27"/>
      <c r="U18" s="29"/>
      <c r="V18" s="104" t="s">
        <v>787</v>
      </c>
      <c r="W18" s="105"/>
    </row>
    <row r="19" spans="1:23" ht="15.75" thickBot="1" x14ac:dyDescent="0.3">
      <c r="A19" s="133"/>
      <c r="B19" s="134"/>
      <c r="D19" s="3"/>
      <c r="F19" s="117"/>
      <c r="G19" s="118"/>
      <c r="H19" s="119"/>
      <c r="I19" s="121"/>
      <c r="J19" s="118"/>
      <c r="K19" s="119"/>
      <c r="L19" s="118"/>
      <c r="M19" s="118"/>
      <c r="N19" s="123"/>
      <c r="O19" s="21" t="s">
        <v>457</v>
      </c>
      <c r="P19" s="4"/>
      <c r="Q19" s="20"/>
      <c r="R19" s="20"/>
      <c r="S19" s="4"/>
      <c r="T19" s="4"/>
      <c r="U19" s="10"/>
      <c r="V19" s="102" t="s">
        <v>788</v>
      </c>
      <c r="W19" s="103"/>
    </row>
    <row r="20" spans="1:23" ht="18" thickBot="1" x14ac:dyDescent="0.35">
      <c r="A20" s="135"/>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c r="G21" s="113"/>
      <c r="H21" s="4" t="str">
        <f>IFERROR(VLOOKUP(F21,Abilities,4,FALSE),"")</f>
        <v/>
      </c>
      <c r="I21" s="127" t="s">
        <v>340</v>
      </c>
      <c r="J21" s="113"/>
      <c r="K21" s="35" t="str">
        <f>IFERROR(VLOOKUP(I21,Abilities,4,FALSE),"")</f>
        <v/>
      </c>
      <c r="L21" s="112"/>
      <c r="M21" s="113"/>
      <c r="N21" s="10" t="str">
        <f>IFERROR(VLOOKUP(L21,Abilities,4,FALSE),"")</f>
        <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
      </c>
      <c r="G22" s="115"/>
      <c r="H22" s="116"/>
      <c r="I22" s="120" t="str">
        <f>IFERROR(VLOOKUP(I21,Abilities,7,FALSE),"")</f>
        <v/>
      </c>
      <c r="J22" s="115"/>
      <c r="K22" s="116"/>
      <c r="L22" s="115" t="str">
        <f>IFERROR(VLOOKUP(L21,Abilities,7,FALSE),"")</f>
        <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t="s">
        <v>974</v>
      </c>
      <c r="B25" s="67"/>
      <c r="C25" s="67"/>
      <c r="D25" s="67"/>
      <c r="E25" s="68"/>
      <c r="F25" s="126"/>
      <c r="G25" s="113"/>
      <c r="H25" s="4" t="str">
        <f>IFERROR(VLOOKUP(F25,Abilities,4,FALSE),"")</f>
        <v/>
      </c>
      <c r="I25" s="127" t="s">
        <v>340</v>
      </c>
      <c r="J25" s="113"/>
      <c r="K25" s="35" t="str">
        <f>IFERROR(VLOOKUP(I25,Abilities,4,FALSE),"")</f>
        <v/>
      </c>
      <c r="L25" s="112"/>
      <c r="M25" s="113"/>
      <c r="N25" s="10" t="str">
        <f>IFERROR(VLOOKUP(L25,Abilities,4,FALSE),"")</f>
        <v/>
      </c>
      <c r="O25" s="14"/>
      <c r="P25" s="14"/>
      <c r="Q25" s="3"/>
      <c r="V25" s="102" t="s">
        <v>794</v>
      </c>
      <c r="W25" s="103"/>
    </row>
    <row r="26" spans="1:23" x14ac:dyDescent="0.25">
      <c r="A26" s="66"/>
      <c r="B26" s="67"/>
      <c r="C26" s="67"/>
      <c r="D26" s="67"/>
      <c r="E26" s="68"/>
      <c r="F26" s="114" t="str">
        <f>IFERROR(VLOOKUP(F25,Abilities,7,FALSE),"")</f>
        <v/>
      </c>
      <c r="G26" s="115"/>
      <c r="H26" s="116"/>
      <c r="I26" s="120" t="str">
        <f>IFERROR(VLOOKUP(I25,Abilities,7,FALSE),"")</f>
        <v/>
      </c>
      <c r="J26" s="115"/>
      <c r="K26" s="116"/>
      <c r="L26" s="115" t="str">
        <f>IFERROR(VLOOKUP(L25,Abilities,7,FALSE),"")</f>
        <v/>
      </c>
      <c r="M26" s="115"/>
      <c r="N26" s="122"/>
      <c r="O26" s="14"/>
      <c r="P26" s="14"/>
      <c r="Q26" s="3"/>
      <c r="V26" s="104" t="s">
        <v>796</v>
      </c>
      <c r="W26" s="105"/>
    </row>
    <row r="27" spans="1:23" ht="15.75" thickBot="1" x14ac:dyDescent="0.3">
      <c r="A27" s="66"/>
      <c r="B27" s="67"/>
      <c r="C27" s="67"/>
      <c r="D27" s="67"/>
      <c r="E27" s="68"/>
      <c r="F27" s="117"/>
      <c r="G27" s="118"/>
      <c r="H27" s="119"/>
      <c r="I27" s="121"/>
      <c r="J27" s="118"/>
      <c r="K27" s="119"/>
      <c r="L27" s="118"/>
      <c r="M27" s="118"/>
      <c r="N27" s="123"/>
      <c r="O27" s="14"/>
      <c r="P27" s="14"/>
      <c r="Q27" s="3"/>
      <c r="V27" s="102" t="s">
        <v>797</v>
      </c>
      <c r="W27" s="103"/>
    </row>
    <row r="28" spans="1:23" ht="18" thickBot="1" x14ac:dyDescent="0.35">
      <c r="A28" s="66"/>
      <c r="B28" s="67"/>
      <c r="C28" s="67"/>
      <c r="D28" s="67"/>
      <c r="E28" s="68"/>
      <c r="F28" s="128" t="s">
        <v>445</v>
      </c>
      <c r="G28" s="129"/>
      <c r="H28" s="129"/>
      <c r="I28" s="129"/>
      <c r="J28" s="129"/>
      <c r="K28" s="129"/>
      <c r="L28" s="129"/>
      <c r="M28" s="129"/>
      <c r="N28" s="130"/>
      <c r="O28" s="14"/>
      <c r="P28" s="14"/>
      <c r="Q28" s="3"/>
      <c r="V28" s="104" t="s">
        <v>798</v>
      </c>
      <c r="W28" s="105"/>
    </row>
    <row r="29" spans="1:23" ht="15.75" thickTop="1" x14ac:dyDescent="0.25">
      <c r="A29" s="66"/>
      <c r="B29" s="67"/>
      <c r="C29" s="67"/>
      <c r="D29" s="67"/>
      <c r="E29" s="68"/>
      <c r="F29" s="126"/>
      <c r="G29" s="113"/>
      <c r="H29" s="4" t="str">
        <f>IFERROR(VLOOKUP(F29,Abilities,4,FALSE),"")</f>
        <v/>
      </c>
      <c r="I29" s="127" t="s">
        <v>340</v>
      </c>
      <c r="J29" s="113"/>
      <c r="K29" s="35" t="str">
        <f>IFERROR(VLOOKUP(I29,Abilities,4,FALSE),"")</f>
        <v/>
      </c>
      <c r="L29" s="112"/>
      <c r="M29" s="113"/>
      <c r="N29" s="10" t="str">
        <f>IFERROR(VLOOKUP(L29,Abilities,4,FALSE),"")</f>
        <v/>
      </c>
      <c r="O29" s="14"/>
      <c r="P29" s="14"/>
      <c r="Q29" s="3"/>
      <c r="V29" s="102" t="s">
        <v>824</v>
      </c>
      <c r="W29" s="103"/>
    </row>
    <row r="30" spans="1:23" x14ac:dyDescent="0.25">
      <c r="A30" s="66"/>
      <c r="B30" s="67"/>
      <c r="C30" s="67"/>
      <c r="D30" s="67"/>
      <c r="E30" s="68"/>
      <c r="F30" s="114" t="str">
        <f>IFERROR(VLOOKUP(F29,Abilities,7,FALSE),"")</f>
        <v/>
      </c>
      <c r="G30" s="115"/>
      <c r="H30" s="116"/>
      <c r="I30" s="120" t="str">
        <f>IFERROR(VLOOKUP(I29,Abilities,7,FALSE),"")</f>
        <v/>
      </c>
      <c r="J30" s="115"/>
      <c r="K30" s="116"/>
      <c r="L30" s="115" t="str">
        <f>IFERROR(VLOOKUP(L29,Abilities,7,FALSE),"")</f>
        <v/>
      </c>
      <c r="M30" s="115"/>
      <c r="N30" s="122"/>
      <c r="O30" s="14"/>
      <c r="P30" s="14"/>
      <c r="Q30" s="3"/>
      <c r="V30" s="104" t="s">
        <v>818</v>
      </c>
      <c r="W30" s="105"/>
    </row>
    <row r="31" spans="1:23" ht="15.75" thickBot="1" x14ac:dyDescent="0.3">
      <c r="A31" s="66"/>
      <c r="B31" s="67"/>
      <c r="C31" s="67"/>
      <c r="D31" s="67"/>
      <c r="E31" s="68"/>
      <c r="F31" s="117"/>
      <c r="G31" s="118"/>
      <c r="H31" s="119"/>
      <c r="I31" s="121"/>
      <c r="J31" s="118"/>
      <c r="K31" s="119"/>
      <c r="L31" s="118"/>
      <c r="M31" s="118"/>
      <c r="N31" s="123"/>
      <c r="O31" s="14"/>
      <c r="P31" s="14"/>
      <c r="Q31" s="3"/>
      <c r="V31" s="102" t="s">
        <v>819</v>
      </c>
      <c r="W31" s="103"/>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6" t="s">
        <v>340</v>
      </c>
      <c r="G33" s="113"/>
      <c r="H33" s="4" t="str">
        <f>IFERROR(VLOOKUP(F33,Abilities,4,FALSE),"")</f>
        <v/>
      </c>
      <c r="I33" s="127"/>
      <c r="J33" s="113"/>
      <c r="K33" s="35" t="str">
        <f>IFERROR(VLOOKUP(I33,Abilities,4,FALSE),"")</f>
        <v/>
      </c>
      <c r="L33" s="112" t="s">
        <v>340</v>
      </c>
      <c r="M33" s="113"/>
      <c r="N33" s="10" t="str">
        <f>IFERROR(VLOOKUP(L33,Abilities,4,FALSE),"")</f>
        <v/>
      </c>
      <c r="O33" s="14"/>
      <c r="P33" s="14"/>
      <c r="Q33" s="3"/>
      <c r="V33" s="102" t="s">
        <v>821</v>
      </c>
      <c r="W33" s="103"/>
    </row>
    <row r="34" spans="1:23" x14ac:dyDescent="0.25">
      <c r="A34" s="66"/>
      <c r="B34" s="67"/>
      <c r="C34" s="67"/>
      <c r="D34" s="67"/>
      <c r="E34" s="68"/>
      <c r="F34" s="114" t="str">
        <f>IFERROR(VLOOKUP(F33,Abilities,7,FALSE),"")</f>
        <v/>
      </c>
      <c r="G34" s="115"/>
      <c r="H34" s="116"/>
      <c r="I34" s="120" t="str">
        <f>IFERROR(VLOOKUP(I33,Abilities,7,FALSE),"")</f>
        <v/>
      </c>
      <c r="J34" s="115"/>
      <c r="K34" s="116"/>
      <c r="L34" s="115" t="str">
        <f>IFERROR(VLOOKUP(L33,Abilities,7,FALSE),"")</f>
        <v/>
      </c>
      <c r="M34" s="115"/>
      <c r="N34" s="122"/>
      <c r="O34" s="14"/>
      <c r="P34" s="14"/>
      <c r="Q34" s="3"/>
      <c r="V34" s="104" t="s">
        <v>815</v>
      </c>
      <c r="W34" s="105"/>
    </row>
    <row r="35" spans="1:23" ht="15.75" thickBot="1" x14ac:dyDescent="0.3">
      <c r="A35" s="66"/>
      <c r="B35" s="67"/>
      <c r="C35" s="67"/>
      <c r="D35" s="67"/>
      <c r="E35" s="68"/>
      <c r="F35" s="117"/>
      <c r="G35" s="118"/>
      <c r="H35" s="119"/>
      <c r="I35" s="121"/>
      <c r="J35" s="118"/>
      <c r="K35" s="119"/>
      <c r="L35" s="118"/>
      <c r="M35" s="118"/>
      <c r="N35" s="123"/>
      <c r="O35" s="14"/>
      <c r="P35" s="14"/>
      <c r="Q35" s="3"/>
      <c r="V35" s="102" t="s">
        <v>799</v>
      </c>
      <c r="W35" s="103"/>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c r="G37" s="113"/>
      <c r="H37" s="4" t="str">
        <f>IFERROR(VLOOKUP(F37,Abilities,4,FALSE),"")</f>
        <v/>
      </c>
      <c r="I37" s="127" t="s">
        <v>340</v>
      </c>
      <c r="J37" s="113"/>
      <c r="K37" s="35" t="str">
        <f>IFERROR(VLOOKUP(I37,Abilities,4,FALSE),"")</f>
        <v/>
      </c>
      <c r="L37" s="112"/>
      <c r="M37" s="113"/>
      <c r="N37" s="10" t="str">
        <f>IFERROR(VLOOKUP(L37,Abilities,4,FALSE),"")</f>
        <v/>
      </c>
    </row>
    <row r="38" spans="1:23" x14ac:dyDescent="0.25">
      <c r="A38" s="66"/>
      <c r="B38" s="67"/>
      <c r="C38" s="67"/>
      <c r="D38" s="67"/>
      <c r="E38" s="68"/>
      <c r="F38" s="114" t="str">
        <f>IFERROR(VLOOKUP(F37,Abilities,7,FALSE),"")</f>
        <v/>
      </c>
      <c r="G38" s="115"/>
      <c r="H38" s="116"/>
      <c r="I38" s="120" t="str">
        <f>IFERROR(VLOOKUP(I37,Abilities,7,FALSE),"")</f>
        <v/>
      </c>
      <c r="J38" s="115"/>
      <c r="K38" s="116"/>
      <c r="L38" s="115" t="str">
        <f>IFERROR(VLOOKUP(L37,Abilities,7,FALSE),"")</f>
        <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898</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LWD_Artillery</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433</v>
      </c>
      <c r="G4" s="113"/>
      <c r="H4" s="4" t="str">
        <f>IFERROR(VLOOKUP(F4,Abilities,4,FALSE),"")</f>
        <v>LW2</v>
      </c>
      <c r="I4" s="127" t="s">
        <v>53</v>
      </c>
      <c r="J4" s="113"/>
      <c r="K4" s="35" t="str">
        <f>IFERROR(VLOOKUP(I4,Abilities,4,FALSE),"")</f>
        <v>XCOM2</v>
      </c>
      <c r="L4" s="112"/>
      <c r="M4" s="113"/>
      <c r="N4" s="10" t="str">
        <f>IFERROR(VLOOKUP(L4,Abilities,4,FALSE),"")</f>
        <v/>
      </c>
      <c r="O4" s="19" t="s">
        <v>12</v>
      </c>
      <c r="P4" s="4">
        <v>7</v>
      </c>
      <c r="Q4" s="20">
        <v>0</v>
      </c>
      <c r="R4" s="20"/>
      <c r="S4" s="4">
        <v>0</v>
      </c>
      <c r="T4" s="4">
        <v>1</v>
      </c>
      <c r="U4" s="10"/>
      <c r="V4" s="104" t="s">
        <v>776</v>
      </c>
      <c r="W4" s="105"/>
      <c r="X4" s="104" t="s">
        <v>800</v>
      </c>
      <c r="Y4" s="105"/>
    </row>
    <row r="5" spans="1:25" ht="15" customHeight="1" x14ac:dyDescent="0.25">
      <c r="A5" s="6"/>
      <c r="B5" s="5" t="b">
        <v>0</v>
      </c>
      <c r="C5" s="186"/>
      <c r="D5" s="187"/>
      <c r="E5" s="187"/>
      <c r="F5" s="188" t="str">
        <f>IFERROR(VLOOKUP(F4,Abilities,7,FALSE),"")</f>
        <v>This soldier is trained to use the XCOM gauntlet, a combination rocket launcher and flamethrower.</v>
      </c>
      <c r="G5" s="189"/>
      <c r="H5" s="190"/>
      <c r="I5" s="120" t="str">
        <f>IFERROR(VLOOKUP(I4,Abilities,7,FALSE),"")</f>
        <v>You can target enemies within squadmates' sight, provided there is line of sight to the target.</v>
      </c>
      <c r="J5" s="115"/>
      <c r="K5" s="116"/>
      <c r="L5" s="115" t="str">
        <f>IFERROR(VLOOKUP(L4,Abilities,7,FALSE),"")</f>
        <v/>
      </c>
      <c r="M5" s="115"/>
      <c r="N5" s="122"/>
      <c r="O5" s="26" t="s">
        <v>456</v>
      </c>
      <c r="P5" s="27">
        <v>3</v>
      </c>
      <c r="Q5" s="28">
        <v>0</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3</v>
      </c>
      <c r="Q6" s="20">
        <v>1</v>
      </c>
      <c r="R6" s="20"/>
      <c r="S6" s="4">
        <v>0</v>
      </c>
      <c r="T6" s="4"/>
      <c r="U6" s="10"/>
      <c r="V6" s="104" t="s">
        <v>777</v>
      </c>
      <c r="W6" s="105"/>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3</v>
      </c>
      <c r="Q7" s="28">
        <v>0</v>
      </c>
      <c r="R7" s="28"/>
      <c r="S7" s="27">
        <v>0</v>
      </c>
      <c r="T7" s="27"/>
      <c r="U7" s="29"/>
      <c r="V7" s="102" t="s">
        <v>778</v>
      </c>
      <c r="W7" s="103"/>
      <c r="X7" s="102" t="s">
        <v>803</v>
      </c>
      <c r="Y7" s="103"/>
    </row>
    <row r="8" spans="1:25" ht="15" customHeight="1" thickBot="1" x14ac:dyDescent="0.3">
      <c r="A8" s="6"/>
      <c r="B8" s="5" t="b">
        <v>1</v>
      </c>
      <c r="C8" s="157" t="s">
        <v>317</v>
      </c>
      <c r="D8" s="158"/>
      <c r="E8" s="12" t="s">
        <v>1148</v>
      </c>
      <c r="F8" s="114" t="str">
        <f>IFERROR(VLOOKUP(F7,Abilities,7,FALSE),"")</f>
        <v/>
      </c>
      <c r="G8" s="115"/>
      <c r="H8" s="116"/>
      <c r="I8" s="120" t="str">
        <f>IFERROR(VLOOKUP(I7,Abilities,7,FALSE),"")</f>
        <v/>
      </c>
      <c r="J8" s="115"/>
      <c r="K8" s="116"/>
      <c r="L8" s="115" t="str">
        <f>IFERROR(VLOOKUP(L7,Abilities,7,FALSE),"")</f>
        <v/>
      </c>
      <c r="M8" s="115"/>
      <c r="N8" s="122"/>
      <c r="O8" s="21" t="s">
        <v>457</v>
      </c>
      <c r="P8" s="4">
        <v>3</v>
      </c>
      <c r="Q8" s="20">
        <v>0</v>
      </c>
      <c r="R8" s="20"/>
      <c r="S8" s="4">
        <v>0</v>
      </c>
      <c r="T8" s="4"/>
      <c r="U8" s="10"/>
      <c r="V8" s="104" t="s">
        <v>908</v>
      </c>
      <c r="W8" s="105"/>
      <c r="X8" s="124" t="s">
        <v>804</v>
      </c>
      <c r="Y8" s="125"/>
    </row>
    <row r="9" spans="1:25" ht="15.75" thickBot="1" x14ac:dyDescent="0.3">
      <c r="A9" s="6"/>
      <c r="B9" s="5" t="b">
        <v>1</v>
      </c>
      <c r="C9" s="157" t="s">
        <v>319</v>
      </c>
      <c r="D9" s="158"/>
      <c r="E9" s="12">
        <v>1</v>
      </c>
      <c r="F9" s="223"/>
      <c r="G9" s="195"/>
      <c r="H9" s="196"/>
      <c r="I9" s="121"/>
      <c r="J9" s="118"/>
      <c r="K9" s="119"/>
      <c r="L9" s="195"/>
      <c r="M9" s="195"/>
      <c r="N9" s="197"/>
      <c r="O9" s="26" t="s">
        <v>458</v>
      </c>
      <c r="P9" s="27">
        <v>3</v>
      </c>
      <c r="Q9" s="28">
        <v>0</v>
      </c>
      <c r="R9" s="28"/>
      <c r="S9" s="27">
        <v>0</v>
      </c>
      <c r="T9" s="27"/>
      <c r="U9" s="29"/>
      <c r="V9" s="102" t="s">
        <v>780</v>
      </c>
      <c r="W9" s="103"/>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3</v>
      </c>
      <c r="Q10" s="37">
        <v>1</v>
      </c>
      <c r="R10" s="37"/>
      <c r="S10" s="37">
        <v>0</v>
      </c>
      <c r="T10" s="37"/>
      <c r="U10" s="38"/>
      <c r="V10" s="104" t="s">
        <v>781</v>
      </c>
      <c r="W10" s="105"/>
      <c r="X10" s="104" t="s">
        <v>805</v>
      </c>
      <c r="Y10" s="105"/>
    </row>
    <row r="11" spans="1:25" ht="15.75" customHeight="1" thickBot="1" x14ac:dyDescent="0.3">
      <c r="A11" s="6"/>
      <c r="B11" s="5" t="b">
        <v>0</v>
      </c>
      <c r="C11" s="157" t="s">
        <v>320</v>
      </c>
      <c r="D11" s="158"/>
      <c r="E11" s="12">
        <v>4</v>
      </c>
      <c r="F11" s="164" t="s">
        <v>1104</v>
      </c>
      <c r="G11" s="165"/>
      <c r="H11" s="166"/>
      <c r="I11" s="167"/>
      <c r="J11" s="165"/>
      <c r="K11" s="166"/>
      <c r="L11" s="165" t="s">
        <v>897</v>
      </c>
      <c r="M11" s="165"/>
      <c r="N11" s="168"/>
      <c r="O11" s="39" t="s">
        <v>460</v>
      </c>
      <c r="P11" s="40">
        <v>3</v>
      </c>
      <c r="Q11" s="41">
        <v>0</v>
      </c>
      <c r="R11" s="41"/>
      <c r="S11" s="40">
        <v>0</v>
      </c>
      <c r="T11" s="40"/>
      <c r="U11" s="42"/>
      <c r="V11" s="102" t="s">
        <v>823</v>
      </c>
      <c r="W11" s="103"/>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1105</v>
      </c>
      <c r="G13" s="113"/>
      <c r="H13" s="4" t="str">
        <f>IFERROR(VLOOKUP(F13,Abilities,4,FALSE),"")</f>
        <v>LWD</v>
      </c>
      <c r="I13" s="127" t="s">
        <v>961</v>
      </c>
      <c r="J13" s="113"/>
      <c r="K13" s="35" t="str">
        <f>IFERROR(VLOOKUP(I13,Abilities,4,FALSE),"")</f>
        <v>BLANK</v>
      </c>
      <c r="L13" s="112" t="s">
        <v>437</v>
      </c>
      <c r="M13" s="113"/>
      <c r="N13" s="10" t="str">
        <f>IFERROR(VLOOKUP(L13,Abilities,4,FALSE),"")</f>
        <v>LW2</v>
      </c>
      <c r="O13" s="152"/>
      <c r="P13" s="153"/>
      <c r="Q13" s="153"/>
      <c r="R13" s="153"/>
      <c r="S13" s="153"/>
      <c r="T13" s="153"/>
      <c r="U13" s="154"/>
      <c r="V13" s="102" t="s">
        <v>817</v>
      </c>
      <c r="W13" s="103"/>
      <c r="X13" s="102" t="s">
        <v>808</v>
      </c>
      <c r="Y13" s="103"/>
    </row>
    <row r="14" spans="1:25" ht="15.75" thickBot="1" x14ac:dyDescent="0.3">
      <c r="A14" s="6"/>
      <c r="B14" s="7" t="b">
        <v>0</v>
      </c>
      <c r="F14" s="114" t="str">
        <f>IFERROR(VLOOKUP(F13,Abilities,7,FALSE),"")</f>
        <v>Your attacks pierce armor. Higher tier weapons pierce more armor and shred.</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4" t="s">
        <v>783</v>
      </c>
      <c r="W14" s="105"/>
      <c r="X14" s="124" t="s">
        <v>813</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3</v>
      </c>
      <c r="R16" s="28"/>
      <c r="S16" s="27"/>
      <c r="T16" s="27"/>
      <c r="U16" s="29"/>
      <c r="V16" s="104" t="s">
        <v>785</v>
      </c>
      <c r="W16" s="105"/>
    </row>
    <row r="17" spans="1:23" ht="16.5" thickTop="1" thickBot="1" x14ac:dyDescent="0.3">
      <c r="A17" s="8"/>
      <c r="B17" s="9" t="b">
        <v>0</v>
      </c>
      <c r="F17" s="127" t="s">
        <v>961</v>
      </c>
      <c r="G17" s="113"/>
      <c r="H17" s="4" t="str">
        <f>IFERROR(VLOOKUP(F17,Abilities,4,FALSE),"")</f>
        <v>BLANK</v>
      </c>
      <c r="I17" s="127" t="s">
        <v>441</v>
      </c>
      <c r="J17" s="113"/>
      <c r="K17" s="35" t="str">
        <f>IFERROR(VLOOKUP(I17,Abilities,4,FALSE),"")</f>
        <v>LW2</v>
      </c>
      <c r="L17" s="127" t="s">
        <v>961</v>
      </c>
      <c r="M17" s="113"/>
      <c r="N17" s="10" t="str">
        <f>IFERROR(VLOOKUP(L17,Abilities,4,FALSE),"")</f>
        <v>BLANK</v>
      </c>
      <c r="O17" s="19" t="s">
        <v>15</v>
      </c>
      <c r="P17" s="4"/>
      <c r="Q17" s="20"/>
      <c r="R17" s="20"/>
      <c r="S17" s="4"/>
      <c r="T17" s="4"/>
      <c r="U17" s="10"/>
      <c r="V17" s="102" t="s">
        <v>909</v>
      </c>
      <c r="W17" s="103"/>
    </row>
    <row r="18" spans="1:23" x14ac:dyDescent="0.25">
      <c r="A18" s="224" t="s">
        <v>344</v>
      </c>
      <c r="B18" s="225"/>
      <c r="F18" s="114" t="str">
        <f>IFERROR(VLOOKUP(F17,Abilities,7,FALSE),"")</f>
        <v xml:space="preserve"> </v>
      </c>
      <c r="G18" s="115"/>
      <c r="H18" s="116"/>
      <c r="I18" s="120" t="str">
        <f>IFERROR(VLOOKUP(I17,Abilities,7,FALSE),"")</f>
        <v>Your rockets are more accurate.</v>
      </c>
      <c r="J18" s="115"/>
      <c r="K18" s="116"/>
      <c r="L18" s="115" t="str">
        <f>IFERROR(VLOOKUP(L17,Abilities,7,FALSE),"")</f>
        <v xml:space="preserve"> </v>
      </c>
      <c r="M18" s="115"/>
      <c r="N18" s="122"/>
      <c r="O18" s="26" t="s">
        <v>21</v>
      </c>
      <c r="P18" s="27"/>
      <c r="Q18" s="28"/>
      <c r="R18" s="28"/>
      <c r="S18" s="27"/>
      <c r="T18" s="27"/>
      <c r="U18" s="29"/>
      <c r="V18" s="104" t="s">
        <v>787</v>
      </c>
      <c r="W18" s="105"/>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2" t="s">
        <v>788</v>
      </c>
      <c r="W19" s="103"/>
    </row>
    <row r="20" spans="1:23" ht="18" thickBot="1" x14ac:dyDescent="0.35">
      <c r="A20" s="135" t="s">
        <v>1106</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987</v>
      </c>
      <c r="G21" s="113"/>
      <c r="H21" s="4" t="str">
        <f>IFERROR(VLOOKUP(F21,Abilities,4,FALSE),"")</f>
        <v>LWD</v>
      </c>
      <c r="I21" s="127" t="s">
        <v>961</v>
      </c>
      <c r="J21" s="113"/>
      <c r="K21" s="35" t="str">
        <f>IFERROR(VLOOKUP(I21,Abilities,4,FALSE),"")</f>
        <v>BLANK</v>
      </c>
      <c r="L21" s="112" t="s">
        <v>297</v>
      </c>
      <c r="M21" s="113"/>
      <c r="N21" s="10" t="str">
        <f>IFERROR(VLOOKUP(L21,Abilities,4,FALSE),"")</f>
        <v>LW2</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Activate at the start of your turn; you gain an extra action, but all of your actions must be spent on movement.</v>
      </c>
      <c r="G22" s="115"/>
      <c r="H22" s="116"/>
      <c r="I22" s="120" t="str">
        <f>IFERROR(VLOOKUP(I21,Abilities,7,FALSE),"")</f>
        <v xml:space="preserve"> </v>
      </c>
      <c r="J22" s="115"/>
      <c r="K22" s="116"/>
      <c r="L22" s="115" t="str">
        <f>IFERROR(VLOOKUP(L21,Abilities,7,FALSE),"")</f>
        <v>Your grenades and standard rockets can inflict critical damage (50% chance for +2 damage)</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55</v>
      </c>
      <c r="G25" s="113"/>
      <c r="H25" s="4" t="str">
        <f>IFERROR(VLOOKUP(F25,Abilities,4,FALSE),"")</f>
        <v>XCOM2</v>
      </c>
      <c r="I25" s="127" t="s">
        <v>961</v>
      </c>
      <c r="J25" s="113"/>
      <c r="K25" s="35" t="str">
        <f>IFERROR(VLOOKUP(I25,Abilities,4,FALSE),"")</f>
        <v>BLANK</v>
      </c>
      <c r="L25" s="112" t="s">
        <v>1109</v>
      </c>
      <c r="M25" s="113"/>
      <c r="N25" s="10" t="str">
        <f>IFERROR(VLOOKUP(L25,Abilities,4,FALSE),"")</f>
        <v>LWD</v>
      </c>
      <c r="O25" s="14"/>
      <c r="P25" s="14"/>
      <c r="Q25" s="3"/>
      <c r="V25" s="102" t="s">
        <v>794</v>
      </c>
      <c r="W25" s="103"/>
    </row>
    <row r="26" spans="1:23" x14ac:dyDescent="0.25">
      <c r="A26" s="66"/>
      <c r="B26" s="67"/>
      <c r="C26" s="67"/>
      <c r="D26" s="67"/>
      <c r="E26" s="68"/>
      <c r="F26" s="114" t="str">
        <f>IFERROR(VLOOKUP(F25,Abilities,7,FALSE),"")</f>
        <v>Allow Overwatch to trigger with Squadsight.</v>
      </c>
      <c r="G26" s="115"/>
      <c r="H26" s="116"/>
      <c r="I26" s="120" t="str">
        <f>IFERROR(VLOOKUP(I25,Abilities,7,FALSE),"")</f>
        <v xml:space="preserve"> </v>
      </c>
      <c r="J26" s="115"/>
      <c r="K26" s="116"/>
      <c r="L26" s="115" t="str">
        <f>IFERROR(VLOOKUP(L25,Abilities,7,FALSE),"")</f>
        <v>You carry an additional rocket into battle.</v>
      </c>
      <c r="M26" s="115"/>
      <c r="N26" s="122"/>
      <c r="O26" s="14"/>
      <c r="P26" s="14"/>
      <c r="Q26" s="3"/>
      <c r="V26" s="104" t="s">
        <v>796</v>
      </c>
      <c r="W26" s="105"/>
    </row>
    <row r="27" spans="1:23" ht="15.75" thickBot="1" x14ac:dyDescent="0.3">
      <c r="A27" s="66"/>
      <c r="B27" s="67"/>
      <c r="C27" s="67"/>
      <c r="D27" s="67"/>
      <c r="E27" s="68"/>
      <c r="F27" s="117"/>
      <c r="G27" s="118"/>
      <c r="H27" s="119"/>
      <c r="I27" s="121"/>
      <c r="J27" s="118"/>
      <c r="K27" s="119"/>
      <c r="L27" s="118"/>
      <c r="M27" s="118"/>
      <c r="N27" s="123"/>
      <c r="O27" s="14"/>
      <c r="P27" s="14"/>
      <c r="Q27" s="3"/>
      <c r="V27" s="102" t="s">
        <v>797</v>
      </c>
      <c r="W27" s="103"/>
    </row>
    <row r="28" spans="1:23" ht="18" thickBot="1" x14ac:dyDescent="0.35">
      <c r="A28" s="66"/>
      <c r="B28" s="67"/>
      <c r="C28" s="67"/>
      <c r="D28" s="67"/>
      <c r="E28" s="68"/>
      <c r="F28" s="128" t="s">
        <v>445</v>
      </c>
      <c r="G28" s="129"/>
      <c r="H28" s="129"/>
      <c r="I28" s="129"/>
      <c r="J28" s="129"/>
      <c r="K28" s="129"/>
      <c r="L28" s="129"/>
      <c r="M28" s="129"/>
      <c r="N28" s="130"/>
      <c r="O28" s="14"/>
      <c r="P28" s="14"/>
      <c r="Q28" s="3"/>
      <c r="V28" s="104" t="s">
        <v>798</v>
      </c>
      <c r="W28" s="105"/>
    </row>
    <row r="29" spans="1:23" ht="15.75" thickTop="1" x14ac:dyDescent="0.25">
      <c r="A29" s="66"/>
      <c r="B29" s="67"/>
      <c r="C29" s="67"/>
      <c r="D29" s="67"/>
      <c r="E29" s="68"/>
      <c r="F29" s="126" t="s">
        <v>61</v>
      </c>
      <c r="G29" s="113"/>
      <c r="H29" s="4" t="str">
        <f>IFERROR(VLOOKUP(F29,Abilities,4,FALSE),"")</f>
        <v>XCOM2</v>
      </c>
      <c r="I29" s="127" t="s">
        <v>961</v>
      </c>
      <c r="J29" s="113"/>
      <c r="K29" s="35" t="str">
        <f>IFERROR(VLOOKUP(I29,Abilities,4,FALSE),"")</f>
        <v>BLANK</v>
      </c>
      <c r="L29" s="112" t="s">
        <v>418</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Take a shot with a small aim penalty for a significant damage boost. 2 turn cooldown.</v>
      </c>
      <c r="G30" s="115"/>
      <c r="H30" s="116"/>
      <c r="I30" s="120" t="str">
        <f>IFERROR(VLOOKUP(I29,Abilities,7,FALSE),"")</f>
        <v xml:space="preserve"> </v>
      </c>
      <c r="J30" s="115"/>
      <c r="K30" s="116"/>
      <c r="L30" s="115">
        <f>IFERROR(VLOOKUP(L29,Abilities,7,FALSE),"")</f>
        <v>0</v>
      </c>
      <c r="M30" s="115"/>
      <c r="N30" s="122"/>
      <c r="O30" s="14"/>
      <c r="P30" s="14"/>
      <c r="Q30" s="3"/>
      <c r="V30" s="104" t="s">
        <v>818</v>
      </c>
      <c r="W30" s="105"/>
    </row>
    <row r="31" spans="1:23" ht="15.75" thickBot="1" x14ac:dyDescent="0.3">
      <c r="A31" s="66"/>
      <c r="B31" s="67"/>
      <c r="C31" s="67"/>
      <c r="D31" s="67"/>
      <c r="E31" s="68"/>
      <c r="F31" s="117"/>
      <c r="G31" s="118"/>
      <c r="H31" s="119"/>
      <c r="I31" s="121"/>
      <c r="J31" s="118"/>
      <c r="K31" s="119"/>
      <c r="L31" s="118"/>
      <c r="M31" s="118"/>
      <c r="N31" s="123"/>
      <c r="O31" s="14"/>
      <c r="P31" s="14"/>
      <c r="Q31" s="3"/>
      <c r="V31" s="102" t="s">
        <v>819</v>
      </c>
      <c r="W31" s="103"/>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439</v>
      </c>
      <c r="J33" s="113"/>
      <c r="K33" s="35" t="str">
        <f>IFERROR(VLOOKUP(I33,Abilities,4,FALSE),"")</f>
        <v>LW2</v>
      </c>
      <c r="L33" s="127" t="s">
        <v>961</v>
      </c>
      <c r="M33" s="113"/>
      <c r="N33" s="10" t="str">
        <f>IFERROR(VLOOKUP(L33,Abilities,4,FALSE),"")</f>
        <v>BLANK</v>
      </c>
      <c r="O33" s="14"/>
      <c r="P33" s="14"/>
      <c r="Q33" s="3"/>
      <c r="V33" s="102" t="s">
        <v>821</v>
      </c>
      <c r="W33" s="103"/>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4" t="s">
        <v>815</v>
      </c>
      <c r="W34" s="105"/>
    </row>
    <row r="35" spans="1:23" ht="15.75" thickBot="1" x14ac:dyDescent="0.3">
      <c r="A35" s="66"/>
      <c r="B35" s="67"/>
      <c r="C35" s="67"/>
      <c r="D35" s="67"/>
      <c r="E35" s="68"/>
      <c r="F35" s="117"/>
      <c r="G35" s="118"/>
      <c r="H35" s="119"/>
      <c r="I35" s="121"/>
      <c r="J35" s="118"/>
      <c r="K35" s="119"/>
      <c r="L35" s="118"/>
      <c r="M35" s="118"/>
      <c r="N35" s="123"/>
      <c r="O35" s="14"/>
      <c r="P35" s="14"/>
      <c r="Q35" s="3"/>
      <c r="V35" s="102" t="s">
        <v>799</v>
      </c>
      <c r="W35" s="103"/>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431</v>
      </c>
      <c r="G37" s="113"/>
      <c r="H37" s="4" t="str">
        <f>IFERROR(VLOOKUP(F37,Abilities,4,FALSE),"")</f>
        <v>LW2</v>
      </c>
      <c r="I37" s="127" t="s">
        <v>961</v>
      </c>
      <c r="J37" s="113"/>
      <c r="K37" s="35" t="str">
        <f>IFERROR(VLOOKUP(I37,Abilities,4,FALSE),"")</f>
        <v>BLANK</v>
      </c>
      <c r="L37" s="112" t="s">
        <v>436</v>
      </c>
      <c r="M37" s="113"/>
      <c r="N37" s="10" t="str">
        <f>IFERROR(VLOOKUP(L37,Abilities,4,FALSE),"")</f>
        <v>LW2</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Artillery</v>
      </c>
      <c r="D40" s="201"/>
      <c r="E40" s="201"/>
      <c r="F40" s="53"/>
      <c r="G40" s="53"/>
      <c r="H40" s="52"/>
      <c r="I40" s="52"/>
      <c r="J40" s="52"/>
    </row>
    <row r="41" spans="1:23" ht="15.7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30:W30"/>
    <mergeCell ref="V31:W31"/>
    <mergeCell ref="V34:W34"/>
    <mergeCell ref="V35:W35"/>
    <mergeCell ref="F36:N36"/>
    <mergeCell ref="F32:N32"/>
    <mergeCell ref="V32:W32"/>
    <mergeCell ref="F33:G33"/>
    <mergeCell ref="I33:J33"/>
    <mergeCell ref="L33:M33"/>
    <mergeCell ref="V33:W33"/>
    <mergeCell ref="V20:W20"/>
    <mergeCell ref="F21:G21"/>
    <mergeCell ref="I21:J21"/>
    <mergeCell ref="L21:M21"/>
    <mergeCell ref="V21:W21"/>
    <mergeCell ref="F29:G29"/>
    <mergeCell ref="I29:J29"/>
    <mergeCell ref="L29:M29"/>
    <mergeCell ref="V29:W29"/>
    <mergeCell ref="V23:W23"/>
    <mergeCell ref="F24:N24"/>
    <mergeCell ref="V24:W24"/>
    <mergeCell ref="F25:G25"/>
    <mergeCell ref="I25:J25"/>
    <mergeCell ref="L25:M25"/>
    <mergeCell ref="V25:W25"/>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Abilities!$A:$A</xm:f>
          </x14:formula1>
          <xm:sqref>I13 F17 L17 I21 I25 I29 L33 F33 I37 F4 L37 F37 L29 L25 L21 L4 L7 L13 I33 F29 F25 F21 I17 I4 I7 F7 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210</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LWD_Assault</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410</v>
      </c>
      <c r="G4" s="113"/>
      <c r="H4" s="4" t="str">
        <f>IFERROR(VLOOKUP(F4,Abilities,4,FALSE),"")</f>
        <v>LW2</v>
      </c>
      <c r="I4" s="127" t="s">
        <v>29</v>
      </c>
      <c r="J4" s="113"/>
      <c r="K4" s="35" t="str">
        <f>IFERROR(VLOOKUP(I4,Abilities,4,FALSE),"")</f>
        <v>LW2</v>
      </c>
      <c r="L4" s="112"/>
      <c r="M4" s="113"/>
      <c r="N4" s="10" t="str">
        <f>IFERROR(VLOOKUP(L4,Abilities,4,FALSE),"")</f>
        <v/>
      </c>
      <c r="O4" s="19" t="s">
        <v>12</v>
      </c>
      <c r="P4" s="4">
        <v>2</v>
      </c>
      <c r="Q4" s="20">
        <v>0</v>
      </c>
      <c r="R4" s="20"/>
      <c r="S4" s="4">
        <v>0</v>
      </c>
      <c r="T4" s="4">
        <v>1</v>
      </c>
      <c r="U4" s="10"/>
      <c r="V4" s="104" t="s">
        <v>776</v>
      </c>
      <c r="W4" s="105"/>
      <c r="X4" s="104" t="s">
        <v>800</v>
      </c>
      <c r="Y4" s="105"/>
    </row>
    <row r="5" spans="1:25" ht="15" customHeight="1" x14ac:dyDescent="0.25">
      <c r="A5" s="6"/>
      <c r="B5" s="5" t="b">
        <v>0</v>
      </c>
      <c r="C5" s="186"/>
      <c r="D5" s="187"/>
      <c r="E5" s="187"/>
      <c r="F5" s="188">
        <f>IFERROR(VLOOKUP(F4,Abilities,7,FALSE),"")</f>
        <v>0</v>
      </c>
      <c r="G5" s="189"/>
      <c r="H5" s="190"/>
      <c r="I5" s="120">
        <f>IFERROR(VLOOKUP(I4,Abilities,7,FALSE),"")</f>
        <v>0</v>
      </c>
      <c r="J5" s="115"/>
      <c r="K5" s="116"/>
      <c r="L5" s="115" t="str">
        <f>IFERROR(VLOOKUP(L4,Abilities,7,FALSE),"")</f>
        <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1</v>
      </c>
      <c r="R7" s="28"/>
      <c r="S7" s="27">
        <v>0</v>
      </c>
      <c r="T7" s="27"/>
      <c r="U7" s="29"/>
      <c r="V7" s="104" t="s">
        <v>778</v>
      </c>
      <c r="W7" s="105"/>
      <c r="X7" s="102" t="s">
        <v>903</v>
      </c>
      <c r="Y7" s="103"/>
    </row>
    <row r="8" spans="1:25" ht="15" customHeight="1" thickBot="1" x14ac:dyDescent="0.3">
      <c r="A8" s="6"/>
      <c r="B8" s="5" t="b">
        <v>0</v>
      </c>
      <c r="C8" s="157" t="s">
        <v>317</v>
      </c>
      <c r="D8" s="158"/>
      <c r="E8" s="12" t="s">
        <v>638</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2" t="s">
        <v>904</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1</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5</v>
      </c>
      <c r="F11" s="164" t="s">
        <v>754</v>
      </c>
      <c r="G11" s="165"/>
      <c r="H11" s="166"/>
      <c r="I11" s="167"/>
      <c r="J11" s="165"/>
      <c r="K11" s="166"/>
      <c r="L11" s="165" t="s">
        <v>1135</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396</v>
      </c>
      <c r="G13" s="113"/>
      <c r="H13" s="4" t="str">
        <f>IFERROR(VLOOKUP(F13,Abilities,4,FALSE),"")</f>
        <v>LW2</v>
      </c>
      <c r="I13" s="127" t="s">
        <v>961</v>
      </c>
      <c r="J13" s="113"/>
      <c r="K13" s="35" t="str">
        <f>IFERROR(VLOOKUP(I13,Abilities,4,FALSE),"")</f>
        <v>BLANK</v>
      </c>
      <c r="L13" s="112" t="s">
        <v>204</v>
      </c>
      <c r="M13" s="113"/>
      <c r="N13" s="10" t="str">
        <f>IFERROR(VLOOKUP(L13,Abilities,4,FALSE),"")</f>
        <v>LW2</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2" t="s">
        <v>783</v>
      </c>
      <c r="W14" s="103"/>
      <c r="X14" s="124" t="s">
        <v>907</v>
      </c>
      <c r="Y14" s="125"/>
    </row>
    <row r="15" spans="1:25" ht="15.75" thickBot="1" x14ac:dyDescent="0.3">
      <c r="A15" s="6"/>
      <c r="B15" s="7" t="b">
        <v>1</v>
      </c>
      <c r="F15" s="117"/>
      <c r="G15" s="118"/>
      <c r="H15" s="119"/>
      <c r="I15" s="121"/>
      <c r="J15" s="118"/>
      <c r="K15" s="119"/>
      <c r="L15" s="118"/>
      <c r="M15" s="118"/>
      <c r="N15" s="123"/>
      <c r="O15" s="19" t="s">
        <v>12</v>
      </c>
      <c r="P15" s="4"/>
      <c r="Q15" s="20">
        <v>5</v>
      </c>
      <c r="R15" s="20">
        <v>1</v>
      </c>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5</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217</v>
      </c>
      <c r="J17" s="113"/>
      <c r="K17" s="35" t="str">
        <f>IFERROR(VLOOKUP(I17,Abilities,4,FALSE),"")</f>
        <v>LW2</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905</v>
      </c>
      <c r="W19" s="105"/>
    </row>
    <row r="20" spans="1:23" ht="18" thickBot="1" x14ac:dyDescent="0.35">
      <c r="A20" s="135" t="s">
        <v>1108</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223</v>
      </c>
      <c r="G21" s="113"/>
      <c r="H21" s="4" t="str">
        <f>IFERROR(VLOOKUP(F21,Abilities,4,FALSE),"")</f>
        <v>LW2</v>
      </c>
      <c r="I21" s="127" t="s">
        <v>961</v>
      </c>
      <c r="J21" s="113"/>
      <c r="K21" s="35" t="str">
        <f>IFERROR(VLOOKUP(I21,Abilities,4,FALSE),"")</f>
        <v>BLANK</v>
      </c>
      <c r="L21" s="112" t="s">
        <v>937</v>
      </c>
      <c r="M21" s="113"/>
      <c r="N21" s="10" t="str">
        <f>IFERROR(VLOOKUP(L21,Abilities,4,FALSE),"")</f>
        <v>LWD</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t="str">
        <f>IFERROR(VLOOKUP(L21,Abilities,7,FALSE),"")</f>
        <v>Whenever you spend all your actions on movement, reload your weapon for free.</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228</v>
      </c>
      <c r="G25" s="113"/>
      <c r="H25" s="4" t="str">
        <f>IFERROR(VLOOKUP(F25,Abilities,4,FALSE),"")</f>
        <v>LW2</v>
      </c>
      <c r="I25" s="127" t="s">
        <v>961</v>
      </c>
      <c r="J25" s="113"/>
      <c r="K25" s="35" t="str">
        <f>IFERROR(VLOOKUP(I25,Abilities,4,FALSE),"")</f>
        <v>BLANK</v>
      </c>
      <c r="L25" s="112" t="s">
        <v>231</v>
      </c>
      <c r="M25" s="113"/>
      <c r="N25" s="10" t="str">
        <f>IFERROR(VLOOKUP(L25,Abilities,4,FALSE),"")</f>
        <v>LW2</v>
      </c>
      <c r="O25" s="14"/>
      <c r="P25" s="14"/>
      <c r="Q25" s="3"/>
      <c r="V25" s="102" t="s">
        <v>794</v>
      </c>
      <c r="W25" s="103"/>
    </row>
    <row r="26" spans="1:23" x14ac:dyDescent="0.25">
      <c r="A26" s="66"/>
      <c r="B26" s="67"/>
      <c r="C26" s="67"/>
      <c r="D26" s="67"/>
      <c r="E26" s="68"/>
      <c r="F26" s="114">
        <f>IFERROR(VLOOKUP(F25,Abilities,7,FALSE),"")</f>
        <v>0</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906</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411</v>
      </c>
      <c r="G29" s="113"/>
      <c r="H29" s="4" t="str">
        <f>IFERROR(VLOOKUP(F29,Abilities,4,FALSE),"")</f>
        <v>LW2</v>
      </c>
      <c r="I29" s="127" t="s">
        <v>961</v>
      </c>
      <c r="J29" s="113"/>
      <c r="K29" s="35" t="str">
        <f>IFERROR(VLOOKUP(I29,Abilities,4,FALSE),"")</f>
        <v>BLANK</v>
      </c>
      <c r="L29" s="112" t="s">
        <v>152</v>
      </c>
      <c r="M29" s="113"/>
      <c r="N29" s="10" t="str">
        <f>IFERROR(VLOOKUP(L29,Abilities,4,FALSE),"")</f>
        <v>XCOM2</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t="str">
        <f>IFERROR(VLOOKUP(L29,Abilities,7,FALSE),"")</f>
        <v>If you spend all of your actions on moves, you are granted an automatic overwatch shot at the end of the turn.</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212</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414</v>
      </c>
      <c r="G37" s="113"/>
      <c r="H37" s="4" t="str">
        <f>IFERROR(VLOOKUP(F37,Abilities,4,FALSE),"")</f>
        <v>LW2</v>
      </c>
      <c r="I37" s="127" t="s">
        <v>961</v>
      </c>
      <c r="J37" s="113"/>
      <c r="K37" s="35" t="str">
        <f>IFERROR(VLOOKUP(I37,Abilities,4,FALSE),"")</f>
        <v>BLANK</v>
      </c>
      <c r="L37" s="112" t="s">
        <v>592</v>
      </c>
      <c r="M37" s="113"/>
      <c r="N37" s="10" t="str">
        <f>IFERROR(VLOOKUP(L37,Abilities,4,FALSE),"")</f>
        <v>SOLW</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t="str">
        <f>IFERROR(VLOOKUP(L37,Abilities,7,FALSE),"")</f>
        <v>For the rest of the turn, whenever you get a critical hit with your &lt;Ability:WeaponName/&gt;, your actions are refunded.</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Assault</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5.75" customHeight="1" thickBot="1" x14ac:dyDescent="0.3">
      <c r="A42" s="203" t="s">
        <v>339</v>
      </c>
      <c r="B42" s="204"/>
      <c r="C42" s="205" t="s">
        <v>342</v>
      </c>
      <c r="D42" s="206"/>
      <c r="E42" s="207" t="s">
        <v>343</v>
      </c>
      <c r="F42" s="208"/>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992</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LWD_Chemist</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88</v>
      </c>
      <c r="G4" s="113"/>
      <c r="H4" s="4" t="str">
        <f>IFERROR(VLOOKUP(F4,Abilities,4,FALSE),"")</f>
        <v>XCOM2</v>
      </c>
      <c r="I4" s="127" t="s">
        <v>990</v>
      </c>
      <c r="J4" s="113"/>
      <c r="K4" s="35" t="str">
        <f>IFERROR(VLOOKUP(I4,Abilities,4,FALSE),"")</f>
        <v>LWD</v>
      </c>
      <c r="L4" s="112"/>
      <c r="M4" s="113"/>
      <c r="N4" s="10" t="str">
        <f>IFERROR(VLOOKUP(L4,Abilities,4,FALSE),"")</f>
        <v/>
      </c>
      <c r="O4" s="19" t="s">
        <v>12</v>
      </c>
      <c r="P4" s="4">
        <v>2</v>
      </c>
      <c r="Q4" s="20">
        <v>0</v>
      </c>
      <c r="R4" s="20"/>
      <c r="S4" s="4">
        <v>0</v>
      </c>
      <c r="T4" s="4">
        <v>1</v>
      </c>
      <c r="U4" s="10"/>
      <c r="V4" s="104" t="s">
        <v>1174</v>
      </c>
      <c r="W4" s="105"/>
      <c r="X4" s="104" t="s">
        <v>800</v>
      </c>
      <c r="Y4" s="105"/>
    </row>
    <row r="5" spans="1:25" ht="15" customHeight="1" x14ac:dyDescent="0.25">
      <c r="A5" s="6"/>
      <c r="B5" s="5" t="b">
        <v>1</v>
      </c>
      <c r="C5" s="186"/>
      <c r="D5" s="187"/>
      <c r="E5" s="187"/>
      <c r="F5" s="188" t="str">
        <f>IFERROR(VLOOKUP(F4,Abilities,7,FALSE),"")</f>
        <v>The Grenadier uses a grenade launcher to fire grenades rather than throwing them. This allows for greater grenade range and grenade capacity.The grenadier gains an extra inventory slot that may only be used for grenades.</v>
      </c>
      <c r="G5" s="189"/>
      <c r="H5" s="190"/>
      <c r="I5" s="120" t="str">
        <f>IFERROR(VLOOKUP(I4,Abilities,7,FALSE),"")</f>
        <v>Grants 1 free gas grenade item to your inventory</v>
      </c>
      <c r="J5" s="115"/>
      <c r="K5" s="116"/>
      <c r="L5" s="115" t="str">
        <f>IFERROR(VLOOKUP(L4,Abilities,7,FALSE),"")</f>
        <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4" t="s">
        <v>1175</v>
      </c>
      <c r="W6" s="105"/>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0</v>
      </c>
      <c r="T7" s="27"/>
      <c r="U7" s="29"/>
      <c r="V7" s="102" t="s">
        <v>778</v>
      </c>
      <c r="W7" s="103"/>
      <c r="X7" s="102" t="s">
        <v>803</v>
      </c>
      <c r="Y7" s="103"/>
    </row>
    <row r="8" spans="1:25" ht="15" customHeight="1" thickBot="1" x14ac:dyDescent="0.3">
      <c r="A8" s="6"/>
      <c r="B8" s="5" t="b">
        <v>0</v>
      </c>
      <c r="C8" s="157" t="s">
        <v>317</v>
      </c>
      <c r="D8" s="158"/>
      <c r="E8" s="12" t="s">
        <v>1149</v>
      </c>
      <c r="F8" s="114" t="str">
        <f>IFERROR(VLOOKUP(F7,Abilities,7,FALSE),"")</f>
        <v/>
      </c>
      <c r="G8" s="115"/>
      <c r="H8" s="116"/>
      <c r="I8" s="120" t="str">
        <f>IFERROR(VLOOKUP(I7,Abilities,7,FALSE),"")</f>
        <v/>
      </c>
      <c r="J8" s="115"/>
      <c r="K8" s="116"/>
      <c r="L8" s="115" t="str">
        <f>IFERROR(VLOOKUP(L7,Abilities,7,FALSE),"")</f>
        <v/>
      </c>
      <c r="M8" s="115"/>
      <c r="N8" s="122"/>
      <c r="O8" s="21" t="s">
        <v>457</v>
      </c>
      <c r="P8" s="4">
        <v>2</v>
      </c>
      <c r="Q8" s="20">
        <v>1</v>
      </c>
      <c r="R8" s="20"/>
      <c r="S8" s="4">
        <v>0</v>
      </c>
      <c r="T8" s="4"/>
      <c r="U8" s="10"/>
      <c r="V8" s="104" t="s">
        <v>1176</v>
      </c>
      <c r="W8" s="105"/>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0</v>
      </c>
      <c r="T9" s="27"/>
      <c r="U9" s="29"/>
      <c r="V9" s="102" t="s">
        <v>780</v>
      </c>
      <c r="W9" s="103"/>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4" t="s">
        <v>781</v>
      </c>
      <c r="W10" s="105"/>
      <c r="X10" s="104" t="s">
        <v>805</v>
      </c>
      <c r="Y10" s="105"/>
    </row>
    <row r="11" spans="1:25" ht="15.75" customHeight="1" thickBot="1" x14ac:dyDescent="0.3">
      <c r="A11" s="6"/>
      <c r="B11" s="5" t="b">
        <v>1</v>
      </c>
      <c r="C11" s="157" t="s">
        <v>320</v>
      </c>
      <c r="D11" s="158"/>
      <c r="E11" s="12">
        <v>3</v>
      </c>
      <c r="F11" s="164"/>
      <c r="G11" s="165"/>
      <c r="H11" s="166"/>
      <c r="I11" s="167"/>
      <c r="J11" s="165"/>
      <c r="K11" s="166"/>
      <c r="L11" s="165"/>
      <c r="M11" s="165"/>
      <c r="N11" s="168"/>
      <c r="O11" s="39" t="s">
        <v>460</v>
      </c>
      <c r="P11" s="40">
        <v>2</v>
      </c>
      <c r="Q11" s="41">
        <v>1</v>
      </c>
      <c r="R11" s="41"/>
      <c r="S11" s="40">
        <v>0</v>
      </c>
      <c r="T11" s="40"/>
      <c r="U11" s="42"/>
      <c r="V11" s="102" t="s">
        <v>823</v>
      </c>
      <c r="W11" s="103"/>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1075</v>
      </c>
      <c r="G13" s="113"/>
      <c r="H13" s="4" t="str">
        <f>IFERROR(VLOOKUP(F13,Abilities,4,FALSE),"")</f>
        <v>LWD</v>
      </c>
      <c r="I13" s="127" t="s">
        <v>961</v>
      </c>
      <c r="J13" s="113"/>
      <c r="K13" s="35" t="str">
        <f>IFERROR(VLOOKUP(I13,Abilities,4,FALSE),"")</f>
        <v>BLANK</v>
      </c>
      <c r="L13" s="112" t="s">
        <v>997</v>
      </c>
      <c r="M13" s="113"/>
      <c r="N13" s="10" t="str">
        <f>IFERROR(VLOOKUP(L13,Abilities,4,FALSE),"")</f>
        <v>LWD</v>
      </c>
      <c r="O13" s="152"/>
      <c r="P13" s="153"/>
      <c r="Q13" s="153"/>
      <c r="R13" s="153"/>
      <c r="S13" s="153"/>
      <c r="T13" s="153"/>
      <c r="U13" s="154"/>
      <c r="V13" s="102" t="s">
        <v>817</v>
      </c>
      <c r="W13" s="103"/>
      <c r="X13" s="102" t="s">
        <v>808</v>
      </c>
      <c r="Y13" s="103"/>
    </row>
    <row r="14" spans="1:25" ht="15.75" thickBot="1" x14ac:dyDescent="0.3">
      <c r="A14" s="6"/>
      <c r="B14" s="7" t="b">
        <v>0</v>
      </c>
      <c r="F14" s="114" t="str">
        <f>IFERROR(VLOOKUP(F13,Abilities,7,FALSE),"")</f>
        <v>You gain bonus HP, immunity to poison, and have reduced recovery times.</v>
      </c>
      <c r="G14" s="115"/>
      <c r="H14" s="116"/>
      <c r="I14" s="120" t="str">
        <f>IFERROR(VLOOKUP(I13,Abilities,7,FALSE),"")</f>
        <v xml:space="preserve"> </v>
      </c>
      <c r="J14" s="115"/>
      <c r="K14" s="116"/>
      <c r="L14" s="115" t="str">
        <f>IFERROR(VLOOKUP(L13,Abilities,7,FALSE),"")</f>
        <v>Your gas grenades have significantly increased area.</v>
      </c>
      <c r="M14" s="115"/>
      <c r="N14" s="122"/>
      <c r="O14" s="22"/>
      <c r="P14" s="23" t="s">
        <v>331</v>
      </c>
      <c r="Q14" s="24" t="s">
        <v>332</v>
      </c>
      <c r="R14" s="24" t="s">
        <v>333</v>
      </c>
      <c r="S14" s="24" t="s">
        <v>334</v>
      </c>
      <c r="T14" s="24" t="s">
        <v>336</v>
      </c>
      <c r="U14" s="25" t="s">
        <v>335</v>
      </c>
      <c r="V14" s="104" t="s">
        <v>783</v>
      </c>
      <c r="W14" s="105"/>
      <c r="X14" s="124" t="s">
        <v>813</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3</v>
      </c>
      <c r="R16" s="28"/>
      <c r="S16" s="27"/>
      <c r="T16" s="27"/>
      <c r="U16" s="29"/>
      <c r="V16" s="104" t="s">
        <v>785</v>
      </c>
      <c r="W16" s="105"/>
    </row>
    <row r="17" spans="1:23" ht="16.5" thickTop="1" thickBot="1" x14ac:dyDescent="0.3">
      <c r="A17" s="8"/>
      <c r="B17" s="9" t="b">
        <v>0</v>
      </c>
      <c r="F17" s="127" t="s">
        <v>961</v>
      </c>
      <c r="G17" s="113"/>
      <c r="H17" s="4" t="str">
        <f>IFERROR(VLOOKUP(F17,Abilities,4,FALSE),"")</f>
        <v>BLANK</v>
      </c>
      <c r="I17" s="127" t="s">
        <v>620</v>
      </c>
      <c r="J17" s="113"/>
      <c r="K17" s="35" t="str">
        <f>IFERROR(VLOOKUP(I17,Abilities,4,FALSE),"")</f>
        <v>SOLW</v>
      </c>
      <c r="L17" s="127" t="s">
        <v>961</v>
      </c>
      <c r="M17" s="113"/>
      <c r="N17" s="10" t="str">
        <f>IFERROR(VLOOKUP(L17,Abilities,4,FALSE),"")</f>
        <v>BLANK</v>
      </c>
      <c r="O17" s="19" t="s">
        <v>15</v>
      </c>
      <c r="P17" s="4"/>
      <c r="Q17" s="20"/>
      <c r="R17" s="20"/>
      <c r="S17" s="4"/>
      <c r="T17" s="4"/>
      <c r="U17" s="10"/>
      <c r="V17" s="102" t="s">
        <v>909</v>
      </c>
      <c r="W17" s="103"/>
    </row>
    <row r="18" spans="1:23" x14ac:dyDescent="0.25">
      <c r="A18" s="224" t="s">
        <v>344</v>
      </c>
      <c r="B18" s="225"/>
      <c r="F18" s="114" t="str">
        <f>IFERROR(VLOOKUP(F17,Abilities,7,FALSE),"")</f>
        <v xml:space="preserve"> </v>
      </c>
      <c r="G18" s="115"/>
      <c r="H18" s="116"/>
      <c r="I18" s="120" t="str">
        <f>IFERROR(VLOOKUP(I17,Abilities,7,FALSE),"")</f>
        <v>Grants 1 free incendiary grenade item to your inventory.</v>
      </c>
      <c r="J18" s="115"/>
      <c r="K18" s="116"/>
      <c r="L18" s="115" t="str">
        <f>IFERROR(VLOOKUP(L17,Abilities,7,FALSE),"")</f>
        <v xml:space="preserve"> </v>
      </c>
      <c r="M18" s="115"/>
      <c r="N18" s="122"/>
      <c r="O18" s="26" t="s">
        <v>21</v>
      </c>
      <c r="P18" s="27"/>
      <c r="Q18" s="28"/>
      <c r="R18" s="28"/>
      <c r="S18" s="27"/>
      <c r="T18" s="27"/>
      <c r="U18" s="29"/>
      <c r="V18" s="104" t="s">
        <v>787</v>
      </c>
      <c r="W18" s="105"/>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2" t="s">
        <v>788</v>
      </c>
      <c r="W19" s="103"/>
    </row>
    <row r="20" spans="1:23" ht="18" thickBot="1" x14ac:dyDescent="0.35">
      <c r="A20" s="135"/>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1000</v>
      </c>
      <c r="G21" s="113"/>
      <c r="H21" s="4" t="str">
        <f>IFERROR(VLOOKUP(F21,Abilities,4,FALSE),"")</f>
        <v>LWD</v>
      </c>
      <c r="I21" s="127" t="s">
        <v>961</v>
      </c>
      <c r="J21" s="113"/>
      <c r="K21" s="35" t="str">
        <f>IFERROR(VLOOKUP(I21,Abilities,4,FALSE),"")</f>
        <v>BLANK</v>
      </c>
      <c r="L21" s="112" t="s">
        <v>1003</v>
      </c>
      <c r="M21" s="113"/>
      <c r="N21" s="10" t="str">
        <f>IFERROR(VLOOKUP(L21,Abilities,4,FALSE),"")</f>
        <v>LWD</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You are immune to fire damage; your incendiary grenades ignore armor</v>
      </c>
      <c r="G22" s="115"/>
      <c r="H22" s="116"/>
      <c r="I22" s="120" t="str">
        <f>IFERROR(VLOOKUP(I21,Abilities,7,FALSE),"")</f>
        <v xml:space="preserve"> </v>
      </c>
      <c r="J22" s="115"/>
      <c r="K22" s="116"/>
      <c r="L22" s="115" t="str">
        <f>IFERROR(VLOOKUP(L21,Abilities,7,FALSE),"")</f>
        <v>Your incendiary grenades deal more damage over time</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1177</v>
      </c>
      <c r="W24" s="105"/>
    </row>
    <row r="25" spans="1:23" ht="15.75" thickTop="1" x14ac:dyDescent="0.25">
      <c r="A25" s="66"/>
      <c r="B25" s="67"/>
      <c r="C25" s="67"/>
      <c r="D25" s="67"/>
      <c r="E25" s="68"/>
      <c r="F25" s="127" t="s">
        <v>961</v>
      </c>
      <c r="G25" s="113"/>
      <c r="H25" s="4" t="str">
        <f>IFERROR(VLOOKUP(F25,Abilities,4,FALSE),"")</f>
        <v>BLANK</v>
      </c>
      <c r="I25" s="127" t="s">
        <v>1006</v>
      </c>
      <c r="J25" s="113"/>
      <c r="K25" s="35" t="str">
        <f>IFERROR(VLOOKUP(I25,Abilities,4,FALSE),"")</f>
        <v>LWD</v>
      </c>
      <c r="L25" s="127" t="s">
        <v>961</v>
      </c>
      <c r="M25" s="113"/>
      <c r="N25" s="10" t="str">
        <f>IFERROR(VLOOKUP(L25,Abilities,4,FALSE),"")</f>
        <v>BLANK</v>
      </c>
      <c r="O25" s="14"/>
      <c r="P25" s="14"/>
      <c r="Q25" s="3"/>
      <c r="V25" s="102" t="s">
        <v>794</v>
      </c>
      <c r="W25" s="103"/>
    </row>
    <row r="26" spans="1:23" x14ac:dyDescent="0.25">
      <c r="A26" s="66"/>
      <c r="B26" s="67"/>
      <c r="C26" s="67"/>
      <c r="D26" s="67"/>
      <c r="E26" s="68"/>
      <c r="F26" s="114" t="str">
        <f>IFERROR(VLOOKUP(F25,Abilities,7,FALSE),"")</f>
        <v xml:space="preserve"> </v>
      </c>
      <c r="G26" s="115"/>
      <c r="H26" s="116"/>
      <c r="I26" s="120" t="str">
        <f>IFERROR(VLOOKUP(I25,Abilities,7,FALSE),"")</f>
        <v>Grants 1 free acid grenade item to your inventory</v>
      </c>
      <c r="J26" s="115"/>
      <c r="K26" s="116"/>
      <c r="L26" s="115" t="str">
        <f>IFERROR(VLOOKUP(L25,Abilities,7,FALSE),"")</f>
        <v xml:space="preserve"> </v>
      </c>
      <c r="M26" s="115"/>
      <c r="N26" s="122"/>
      <c r="O26" s="14"/>
      <c r="P26" s="14"/>
      <c r="Q26" s="3"/>
      <c r="V26" s="104" t="s">
        <v>1178</v>
      </c>
      <c r="W26" s="105"/>
    </row>
    <row r="27" spans="1:23" ht="15.75" thickBot="1" x14ac:dyDescent="0.3">
      <c r="A27" s="66"/>
      <c r="B27" s="67"/>
      <c r="C27" s="67"/>
      <c r="D27" s="67"/>
      <c r="E27" s="68"/>
      <c r="F27" s="117"/>
      <c r="G27" s="118"/>
      <c r="H27" s="119"/>
      <c r="I27" s="121"/>
      <c r="J27" s="118"/>
      <c r="K27" s="119"/>
      <c r="L27" s="118"/>
      <c r="M27" s="118"/>
      <c r="N27" s="123"/>
      <c r="O27" s="14"/>
      <c r="P27" s="14"/>
      <c r="Q27" s="3"/>
      <c r="V27" s="102" t="s">
        <v>797</v>
      </c>
      <c r="W27" s="103"/>
    </row>
    <row r="28" spans="1:23" ht="18" thickBot="1" x14ac:dyDescent="0.35">
      <c r="A28" s="66"/>
      <c r="B28" s="67"/>
      <c r="C28" s="67"/>
      <c r="D28" s="67"/>
      <c r="E28" s="68"/>
      <c r="F28" s="128" t="s">
        <v>445</v>
      </c>
      <c r="G28" s="129"/>
      <c r="H28" s="129"/>
      <c r="I28" s="129"/>
      <c r="J28" s="129"/>
      <c r="K28" s="129"/>
      <c r="L28" s="129"/>
      <c r="M28" s="129"/>
      <c r="N28" s="130"/>
      <c r="O28" s="14"/>
      <c r="P28" s="14"/>
      <c r="Q28" s="3"/>
      <c r="V28" s="104" t="s">
        <v>798</v>
      </c>
      <c r="W28" s="105"/>
    </row>
    <row r="29" spans="1:23" ht="15.75" thickTop="1" x14ac:dyDescent="0.25">
      <c r="A29" s="66"/>
      <c r="B29" s="67"/>
      <c r="C29" s="67"/>
      <c r="D29" s="67"/>
      <c r="E29" s="68"/>
      <c r="F29" s="126" t="s">
        <v>1012</v>
      </c>
      <c r="G29" s="113"/>
      <c r="H29" s="4" t="str">
        <f>IFERROR(VLOOKUP(F29,Abilities,4,FALSE),"")</f>
        <v>LWD</v>
      </c>
      <c r="I29" s="127" t="s">
        <v>961</v>
      </c>
      <c r="J29" s="113"/>
      <c r="K29" s="35" t="str">
        <f>IFERROR(VLOOKUP(I29,Abilities,4,FALSE),"")</f>
        <v>BLANK</v>
      </c>
      <c r="L29" s="112" t="s">
        <v>1009</v>
      </c>
      <c r="M29" s="113"/>
      <c r="N29" s="10" t="str">
        <f>IFERROR(VLOOKUP(L29,Abilities,4,FALSE),"")</f>
        <v>LWD</v>
      </c>
      <c r="O29" s="14"/>
      <c r="P29" s="14"/>
      <c r="Q29" s="3"/>
      <c r="V29" s="102" t="s">
        <v>824</v>
      </c>
      <c r="W29" s="103"/>
    </row>
    <row r="30" spans="1:23" x14ac:dyDescent="0.25">
      <c r="A30" s="66"/>
      <c r="B30" s="67"/>
      <c r="C30" s="67"/>
      <c r="D30" s="67"/>
      <c r="E30" s="68"/>
      <c r="F30" s="114" t="str">
        <f>IFERROR(VLOOKUP(F29,Abilities,7,FALSE),"")</f>
        <v>You are immune to acid damage; enemies who attack you in melee take heavy acid damage.</v>
      </c>
      <c r="G30" s="115"/>
      <c r="H30" s="116"/>
      <c r="I30" s="120" t="str">
        <f>IFERROR(VLOOKUP(I29,Abilities,7,FALSE),"")</f>
        <v xml:space="preserve"> </v>
      </c>
      <c r="J30" s="115"/>
      <c r="K30" s="116"/>
      <c r="L30" s="115" t="str">
        <f>IFERROR(VLOOKUP(L29,Abilities,7,FALSE),"")</f>
        <v>Your acid grenades deal bonus damage to unarmored targets</v>
      </c>
      <c r="M30" s="115"/>
      <c r="N30" s="122"/>
      <c r="O30" s="14"/>
      <c r="P30" s="14"/>
      <c r="Q30" s="3"/>
      <c r="V30" s="104" t="s">
        <v>818</v>
      </c>
      <c r="W30" s="105"/>
    </row>
    <row r="31" spans="1:23" ht="15.75" thickBot="1" x14ac:dyDescent="0.3">
      <c r="A31" s="66"/>
      <c r="B31" s="67"/>
      <c r="C31" s="67"/>
      <c r="D31" s="67"/>
      <c r="E31" s="68"/>
      <c r="F31" s="117"/>
      <c r="G31" s="118"/>
      <c r="H31" s="119"/>
      <c r="I31" s="121"/>
      <c r="J31" s="118"/>
      <c r="K31" s="119"/>
      <c r="L31" s="118"/>
      <c r="M31" s="118"/>
      <c r="N31" s="123"/>
      <c r="O31" s="14"/>
      <c r="P31" s="14"/>
      <c r="Q31" s="3"/>
      <c r="V31" s="102" t="s">
        <v>819</v>
      </c>
      <c r="W31" s="103"/>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107</v>
      </c>
      <c r="J33" s="113"/>
      <c r="K33" s="35" t="str">
        <f>IFERROR(VLOOKUP(I33,Abilities,4,FALSE),"")</f>
        <v>XCOM2</v>
      </c>
      <c r="L33" s="127" t="s">
        <v>961</v>
      </c>
      <c r="M33" s="113"/>
      <c r="N33" s="10" t="str">
        <f>IFERROR(VLOOKUP(L33,Abilities,4,FALSE),"")</f>
        <v>BLANK</v>
      </c>
      <c r="O33" s="14"/>
      <c r="P33" s="14"/>
      <c r="Q33" s="3"/>
      <c r="V33" s="102" t="s">
        <v>821</v>
      </c>
      <c r="W33" s="103"/>
    </row>
    <row r="34" spans="1:23" x14ac:dyDescent="0.25">
      <c r="A34" s="66"/>
      <c r="B34" s="67"/>
      <c r="C34" s="67"/>
      <c r="D34" s="67"/>
      <c r="E34" s="68"/>
      <c r="F34" s="114" t="str">
        <f>IFERROR(VLOOKUP(F33,Abilities,7,FALSE),"")</f>
        <v xml:space="preserve"> </v>
      </c>
      <c r="G34" s="115"/>
      <c r="H34" s="116"/>
      <c r="I34" s="120" t="str">
        <f>IFERROR(VLOOKUP(I33,Abilities,7,FALSE),"")</f>
        <v>Grenades gain +1 tile to their radius and deal +2 damage. Does not increase environment damage.</v>
      </c>
      <c r="J34" s="115"/>
      <c r="K34" s="116"/>
      <c r="L34" s="115" t="str">
        <f>IFERROR(VLOOKUP(L33,Abilities,7,FALSE),"")</f>
        <v xml:space="preserve"> </v>
      </c>
      <c r="M34" s="115"/>
      <c r="N34" s="122"/>
      <c r="O34" s="14"/>
      <c r="P34" s="14"/>
      <c r="Q34" s="3"/>
      <c r="V34" s="104" t="s">
        <v>815</v>
      </c>
      <c r="W34" s="105"/>
    </row>
    <row r="35" spans="1:23" ht="15.75" thickBot="1" x14ac:dyDescent="0.3">
      <c r="A35" s="66"/>
      <c r="B35" s="67"/>
      <c r="C35" s="67"/>
      <c r="D35" s="67"/>
      <c r="E35" s="68"/>
      <c r="F35" s="117"/>
      <c r="G35" s="118"/>
      <c r="H35" s="119"/>
      <c r="I35" s="121"/>
      <c r="J35" s="118"/>
      <c r="K35" s="119"/>
      <c r="L35" s="118"/>
      <c r="M35" s="118"/>
      <c r="N35" s="123"/>
      <c r="O35" s="14"/>
      <c r="P35" s="14"/>
      <c r="Q35" s="3"/>
      <c r="V35" s="102" t="s">
        <v>1179</v>
      </c>
      <c r="W35" s="103"/>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1018</v>
      </c>
      <c r="G37" s="113"/>
      <c r="H37" s="4" t="str">
        <f>IFERROR(VLOOKUP(F37,Abilities,4,FALSE),"")</f>
        <v>LWD</v>
      </c>
      <c r="I37" s="127" t="s">
        <v>961</v>
      </c>
      <c r="J37" s="113"/>
      <c r="K37" s="35" t="str">
        <f>IFERROR(VLOOKUP(I37,Abilities,4,FALSE),"")</f>
        <v>BLANK</v>
      </c>
      <c r="L37" s="112" t="s">
        <v>1015</v>
      </c>
      <c r="M37" s="113"/>
      <c r="N37" s="10" t="str">
        <f>IFERROR(VLOOKUP(L37,Abilities,4,FALSE),"")</f>
        <v>LWD</v>
      </c>
    </row>
    <row r="38" spans="1:23" x14ac:dyDescent="0.25">
      <c r="A38" s="66"/>
      <c r="B38" s="67"/>
      <c r="C38" s="67"/>
      <c r="D38" s="67"/>
      <c r="E38" s="68"/>
      <c r="F38" s="114" t="str">
        <f>IFERROR(VLOOKUP(F37,Abilities,7,FALSE),"")</f>
        <v>Your grenades deal less damage, but you carry an extra gas, poison, and incendiary grenade.</v>
      </c>
      <c r="G38" s="115"/>
      <c r="H38" s="116"/>
      <c r="I38" s="120" t="str">
        <f>IFERROR(VLOOKUP(I37,Abilities,7,FALSE),"")</f>
        <v xml:space="preserve"> </v>
      </c>
      <c r="J38" s="115"/>
      <c r="K38" s="116"/>
      <c r="L38" s="115" t="str">
        <f>IFERROR(VLOOKUP(L37,Abilities,7,FALSE),"")</f>
        <v>Grants 1 free frost grenade item to your inventory</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Chemist</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30:W30"/>
    <mergeCell ref="V31:W31"/>
    <mergeCell ref="V34:W34"/>
    <mergeCell ref="V35:W35"/>
    <mergeCell ref="F36:N36"/>
    <mergeCell ref="F32:N32"/>
    <mergeCell ref="V32:W32"/>
    <mergeCell ref="F33:G33"/>
    <mergeCell ref="I33:J33"/>
    <mergeCell ref="L33:M33"/>
    <mergeCell ref="V33:W33"/>
    <mergeCell ref="V20:W20"/>
    <mergeCell ref="F21:G21"/>
    <mergeCell ref="I21:J21"/>
    <mergeCell ref="L21:M21"/>
    <mergeCell ref="V21:W21"/>
    <mergeCell ref="F29:G29"/>
    <mergeCell ref="I29:J29"/>
    <mergeCell ref="L29:M29"/>
    <mergeCell ref="V29:W29"/>
    <mergeCell ref="V23:W23"/>
    <mergeCell ref="F24:N24"/>
    <mergeCell ref="V24:W24"/>
    <mergeCell ref="F25:G25"/>
    <mergeCell ref="I25:J25"/>
    <mergeCell ref="L25:M25"/>
    <mergeCell ref="V25:W25"/>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14:formula1>
            <xm:f>Abilities!$A:$A</xm:f>
          </x14:formula1>
          <xm:sqref>I13 L17 F17 I21 L25 F25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304</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LWD_CombatEngineer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440</v>
      </c>
      <c r="G4" s="113"/>
      <c r="H4" s="4" t="str">
        <f>IFERROR(VLOOKUP(F4,Abilities,4,FALSE),"")</f>
        <v>LW2</v>
      </c>
      <c r="I4" s="127" t="s">
        <v>131</v>
      </c>
      <c r="J4" s="113"/>
      <c r="K4" s="35" t="str">
        <f>IFERROR(VLOOKUP(I4,Abilities,4,FALSE),"")</f>
        <v>XCOM2</v>
      </c>
      <c r="L4" s="112" t="s">
        <v>593</v>
      </c>
      <c r="M4" s="113"/>
      <c r="N4" s="10" t="str">
        <f>IFERROR(VLOOKUP(L4,Abilities,4,FALSE),"")</f>
        <v>SOLW</v>
      </c>
      <c r="O4" s="19" t="s">
        <v>12</v>
      </c>
      <c r="P4" s="4">
        <v>2</v>
      </c>
      <c r="Q4" s="20">
        <v>0</v>
      </c>
      <c r="R4" s="20"/>
      <c r="S4" s="4">
        <v>40</v>
      </c>
      <c r="T4" s="4">
        <v>1</v>
      </c>
      <c r="U4" s="10"/>
      <c r="V4" s="104" t="s">
        <v>1181</v>
      </c>
      <c r="W4" s="105"/>
      <c r="X4" s="104" t="s">
        <v>827</v>
      </c>
      <c r="Y4" s="105"/>
    </row>
    <row r="5" spans="1:25" ht="15" customHeight="1" x14ac:dyDescent="0.25">
      <c r="A5" s="6"/>
      <c r="B5" s="5" t="b">
        <v>1</v>
      </c>
      <c r="C5" s="186"/>
      <c r="D5" s="187"/>
      <c r="E5" s="187"/>
      <c r="F5" s="188">
        <f>IFERROR(VLOOKUP(F4,Abilities,7,FALSE),"")</f>
        <v>0</v>
      </c>
      <c r="G5" s="189"/>
      <c r="H5" s="190"/>
      <c r="I5" s="120" t="str">
        <f>IFERROR(VLOOKUP(I4,Abilities,7,FALSE),"")</f>
        <v>Send the GREMLIN to an enemy to jolt them, dealing guaranteed damage, which is increased against robotic enemies. Twice per mission.</v>
      </c>
      <c r="J5" s="115"/>
      <c r="K5" s="116"/>
      <c r="L5" s="115" t="str">
        <f>IFERROR(VLOOKUP(L4,Abilities,7,FALSE),"")</f>
        <v>Give a friendly unit an energy shield which will absorb &lt;Ability:Shield/&gt; points of damage. The shield lasts until the end of the mission or until it is destroyed, and also grants poison immunity.</v>
      </c>
      <c r="M5" s="115"/>
      <c r="N5" s="122"/>
      <c r="O5" s="26" t="s">
        <v>456</v>
      </c>
      <c r="P5" s="27">
        <v>2</v>
      </c>
      <c r="Q5" s="28">
        <v>1</v>
      </c>
      <c r="R5" s="28"/>
      <c r="S5" s="27">
        <v>5</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5</v>
      </c>
      <c r="T6" s="4"/>
      <c r="U6" s="10"/>
      <c r="V6" s="104" t="s">
        <v>777</v>
      </c>
      <c r="W6" s="105"/>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5</v>
      </c>
      <c r="T7" s="27"/>
      <c r="U7" s="29"/>
      <c r="V7" s="102" t="s">
        <v>778</v>
      </c>
      <c r="W7" s="103"/>
      <c r="X7" s="102" t="s">
        <v>803</v>
      </c>
      <c r="Y7" s="103"/>
    </row>
    <row r="8" spans="1:25" ht="15" customHeight="1" thickBot="1" x14ac:dyDescent="0.3">
      <c r="A8" s="6"/>
      <c r="B8" s="5" t="b">
        <v>0</v>
      </c>
      <c r="C8" s="157" t="s">
        <v>317</v>
      </c>
      <c r="D8" s="158"/>
      <c r="E8" s="12" t="s">
        <v>634</v>
      </c>
      <c r="F8" s="114" t="str">
        <f>IFERROR(VLOOKUP(F7,Abilities,7,FALSE),"")</f>
        <v/>
      </c>
      <c r="G8" s="115"/>
      <c r="H8" s="116"/>
      <c r="I8" s="120" t="str">
        <f>IFERROR(VLOOKUP(I7,Abilities,7,FALSE),"")</f>
        <v/>
      </c>
      <c r="J8" s="115"/>
      <c r="K8" s="116"/>
      <c r="L8" s="115" t="str">
        <f>IFERROR(VLOOKUP(L7,Abilities,7,FALSE),"")</f>
        <v/>
      </c>
      <c r="M8" s="115"/>
      <c r="N8" s="122"/>
      <c r="O8" s="21" t="s">
        <v>457</v>
      </c>
      <c r="P8" s="4">
        <v>2</v>
      </c>
      <c r="Q8" s="20">
        <v>1</v>
      </c>
      <c r="R8" s="20"/>
      <c r="S8" s="4">
        <v>5</v>
      </c>
      <c r="T8" s="4"/>
      <c r="U8" s="10"/>
      <c r="V8" s="104" t="s">
        <v>908</v>
      </c>
      <c r="W8" s="105"/>
      <c r="X8" s="124" t="s">
        <v>804</v>
      </c>
      <c r="Y8" s="12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5</v>
      </c>
      <c r="T9" s="27"/>
      <c r="U9" s="29"/>
      <c r="V9" s="102" t="s">
        <v>780</v>
      </c>
      <c r="W9" s="103"/>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5</v>
      </c>
      <c r="T10" s="37"/>
      <c r="U10" s="38"/>
      <c r="V10" s="104" t="s">
        <v>781</v>
      </c>
      <c r="W10" s="105"/>
      <c r="X10" s="104" t="s">
        <v>805</v>
      </c>
      <c r="Y10" s="105"/>
    </row>
    <row r="11" spans="1:25" ht="15.75" customHeight="1" thickBot="1" x14ac:dyDescent="0.3">
      <c r="A11" s="6"/>
      <c r="B11" s="5" t="b">
        <v>0</v>
      </c>
      <c r="C11" s="157" t="s">
        <v>320</v>
      </c>
      <c r="D11" s="158"/>
      <c r="E11" s="12">
        <v>4</v>
      </c>
      <c r="F11" s="164" t="s">
        <v>911</v>
      </c>
      <c r="G11" s="165"/>
      <c r="H11" s="166"/>
      <c r="I11" s="167"/>
      <c r="J11" s="165"/>
      <c r="K11" s="166"/>
      <c r="L11" s="165" t="s">
        <v>747</v>
      </c>
      <c r="M11" s="165"/>
      <c r="N11" s="168"/>
      <c r="O11" s="39" t="s">
        <v>460</v>
      </c>
      <c r="P11" s="40">
        <v>2</v>
      </c>
      <c r="Q11" s="41">
        <v>1</v>
      </c>
      <c r="R11" s="41"/>
      <c r="S11" s="40">
        <v>5</v>
      </c>
      <c r="T11" s="40"/>
      <c r="U11" s="42"/>
      <c r="V11" s="102" t="s">
        <v>823</v>
      </c>
      <c r="W11" s="103"/>
      <c r="X11" s="102" t="s">
        <v>806</v>
      </c>
      <c r="Y11" s="103"/>
    </row>
    <row r="12" spans="1:25" ht="18" customHeight="1" thickBot="1" x14ac:dyDescent="0.35">
      <c r="A12" s="6"/>
      <c r="B12" s="5" t="b">
        <v>1</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124</v>
      </c>
      <c r="G13" s="113"/>
      <c r="H13" s="4" t="str">
        <f>IFERROR(VLOOKUP(F13,Abilities,4,FALSE),"")</f>
        <v>XCOM2</v>
      </c>
      <c r="I13" s="127" t="s">
        <v>961</v>
      </c>
      <c r="J13" s="113"/>
      <c r="K13" s="35" t="str">
        <f>IFERROR(VLOOKUP(I13,Abilities,4,FALSE),"")</f>
        <v>BLANK</v>
      </c>
      <c r="L13" s="112" t="s">
        <v>1071</v>
      </c>
      <c r="M13" s="113"/>
      <c r="N13" s="10" t="str">
        <f>IFERROR(VLOOKUP(L13,Abilities,4,FALSE),"")</f>
        <v>LWD</v>
      </c>
      <c r="O13" s="152"/>
      <c r="P13" s="153"/>
      <c r="Q13" s="153"/>
      <c r="R13" s="153"/>
      <c r="S13" s="153"/>
      <c r="T13" s="153"/>
      <c r="U13" s="154"/>
      <c r="V13" s="102" t="s">
        <v>817</v>
      </c>
      <c r="W13" s="103"/>
      <c r="X13" s="102" t="s">
        <v>808</v>
      </c>
      <c r="Y13" s="103"/>
    </row>
    <row r="14" spans="1:25" ht="15.75" thickBot="1" x14ac:dyDescent="0.3">
      <c r="A14" s="6"/>
      <c r="B14" s="7" t="b">
        <v>0</v>
      </c>
      <c r="F14" s="114" t="str">
        <f>IFERROR(VLOOKUP(F13,Abilities,7,FALSE),"")</f>
        <v>Give +20 defense to an ally.</v>
      </c>
      <c r="G14" s="115"/>
      <c r="H14" s="116"/>
      <c r="I14" s="120" t="str">
        <f>IFERROR(VLOOKUP(I13,Abilities,7,FALSE),"")</f>
        <v xml:space="preserve"> </v>
      </c>
      <c r="J14" s="115"/>
      <c r="K14" s="116"/>
      <c r="L14" s="115" t="str">
        <f>IFERROR(VLOOKUP(L13,Abilities,7,FALSE),"")</f>
        <v>Your GREMLIN assists an ally, increasing their Aim.</v>
      </c>
      <c r="M14" s="115"/>
      <c r="N14" s="122"/>
      <c r="O14" s="22"/>
      <c r="P14" s="23" t="s">
        <v>331</v>
      </c>
      <c r="Q14" s="24" t="s">
        <v>332</v>
      </c>
      <c r="R14" s="24" t="s">
        <v>333</v>
      </c>
      <c r="S14" s="24" t="s">
        <v>334</v>
      </c>
      <c r="T14" s="24" t="s">
        <v>336</v>
      </c>
      <c r="U14" s="25" t="s">
        <v>335</v>
      </c>
      <c r="V14" s="104" t="s">
        <v>1182</v>
      </c>
      <c r="W14" s="105"/>
      <c r="X14" s="124" t="s">
        <v>813</v>
      </c>
      <c r="Y14" s="125"/>
    </row>
    <row r="15" spans="1:25" ht="15.75" thickBot="1" x14ac:dyDescent="0.3">
      <c r="A15" s="6"/>
      <c r="B15" s="7" t="b">
        <v>0</v>
      </c>
      <c r="F15" s="117"/>
      <c r="G15" s="118"/>
      <c r="H15" s="119"/>
      <c r="I15" s="121"/>
      <c r="J15" s="118"/>
      <c r="K15" s="119"/>
      <c r="L15" s="118"/>
      <c r="M15" s="118"/>
      <c r="N15" s="123"/>
      <c r="O15" s="19" t="s">
        <v>12</v>
      </c>
      <c r="P15" s="4"/>
      <c r="Q15" s="20">
        <v>5</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5</v>
      </c>
      <c r="R16" s="28"/>
      <c r="S16" s="27"/>
      <c r="T16" s="27"/>
      <c r="U16" s="29"/>
      <c r="V16" s="104" t="s">
        <v>785</v>
      </c>
      <c r="W16" s="105"/>
    </row>
    <row r="17" spans="1:23" ht="16.5" thickTop="1" thickBot="1" x14ac:dyDescent="0.3">
      <c r="A17" s="8"/>
      <c r="B17" s="9" t="b">
        <v>0</v>
      </c>
      <c r="F17" s="127" t="s">
        <v>961</v>
      </c>
      <c r="G17" s="113"/>
      <c r="H17" s="4" t="str">
        <f>IFERROR(VLOOKUP(F17,Abilities,4,FALSE),"")</f>
        <v>BLANK</v>
      </c>
      <c r="I17" s="127" t="s">
        <v>1068</v>
      </c>
      <c r="J17" s="113"/>
      <c r="K17" s="35" t="str">
        <f>IFERROR(VLOOKUP(I17,Abilities,4,FALSE),"")</f>
        <v>LWD</v>
      </c>
      <c r="L17" s="127" t="s">
        <v>961</v>
      </c>
      <c r="M17" s="113"/>
      <c r="N17" s="10" t="str">
        <f>IFERROR(VLOOKUP(L17,Abilities,4,FALSE),"")</f>
        <v>BLANK</v>
      </c>
      <c r="O17" s="19" t="s">
        <v>15</v>
      </c>
      <c r="P17" s="4"/>
      <c r="Q17" s="20"/>
      <c r="R17" s="20"/>
      <c r="S17" s="4"/>
      <c r="T17" s="4"/>
      <c r="U17" s="10"/>
      <c r="V17" s="102" t="s">
        <v>1183</v>
      </c>
      <c r="W17" s="103"/>
    </row>
    <row r="18" spans="1:23" x14ac:dyDescent="0.25">
      <c r="A18" s="224" t="s">
        <v>344</v>
      </c>
      <c r="B18" s="225"/>
      <c r="F18" s="114" t="str">
        <f>IFERROR(VLOOKUP(F17,Abilities,7,FALSE),"")</f>
        <v xml:space="preserve"> </v>
      </c>
      <c r="G18" s="115"/>
      <c r="H18" s="116"/>
      <c r="I18" s="120" t="str">
        <f>IFERROR(VLOOKUP(I17,Abilities,7,FALSE),"")</f>
        <v>Your first GREMLIN ability each turn doesn't cost an action.</v>
      </c>
      <c r="J18" s="115"/>
      <c r="K18" s="116"/>
      <c r="L18" s="115" t="str">
        <f>IFERROR(VLOOKUP(L17,Abilities,7,FALSE),"")</f>
        <v xml:space="preserve"> </v>
      </c>
      <c r="M18" s="115"/>
      <c r="N18" s="122"/>
      <c r="O18" s="26" t="s">
        <v>21</v>
      </c>
      <c r="P18" s="27"/>
      <c r="Q18" s="28"/>
      <c r="R18" s="28"/>
      <c r="S18" s="27"/>
      <c r="T18" s="27"/>
      <c r="U18" s="29"/>
      <c r="V18" s="104" t="s">
        <v>1184</v>
      </c>
      <c r="W18" s="105"/>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2" t="s">
        <v>1185</v>
      </c>
      <c r="W19" s="103"/>
    </row>
    <row r="20" spans="1:23" ht="18" thickBot="1" x14ac:dyDescent="0.35">
      <c r="A20" s="135" t="s">
        <v>964</v>
      </c>
      <c r="B20" s="136"/>
      <c r="C20" s="137"/>
      <c r="D20" s="137"/>
      <c r="E20" s="138"/>
      <c r="F20" s="128" t="s">
        <v>21</v>
      </c>
      <c r="G20" s="129"/>
      <c r="H20" s="129"/>
      <c r="I20" s="129"/>
      <c r="J20" s="129"/>
      <c r="K20" s="129"/>
      <c r="L20" s="129"/>
      <c r="M20" s="129"/>
      <c r="N20" s="130"/>
      <c r="O20" s="26" t="s">
        <v>458</v>
      </c>
      <c r="P20" s="27"/>
      <c r="Q20" s="28"/>
      <c r="R20" s="28"/>
      <c r="S20" s="27"/>
      <c r="T20" s="27"/>
      <c r="U20" s="29"/>
      <c r="V20" s="104" t="s">
        <v>1186</v>
      </c>
      <c r="W20" s="105"/>
    </row>
    <row r="21" spans="1:23" ht="15.75" thickTop="1" x14ac:dyDescent="0.25">
      <c r="A21" s="135"/>
      <c r="B21" s="136"/>
      <c r="C21" s="136"/>
      <c r="D21" s="136"/>
      <c r="E21" s="139"/>
      <c r="F21" s="126" t="s">
        <v>583</v>
      </c>
      <c r="G21" s="113"/>
      <c r="H21" s="4" t="str">
        <f>IFERROR(VLOOKUP(F21,Abilities,4,FALSE),"")</f>
        <v>SOLW</v>
      </c>
      <c r="I21" s="127" t="s">
        <v>961</v>
      </c>
      <c r="J21" s="113"/>
      <c r="K21" s="35" t="str">
        <f>IFERROR(VLOOKUP(I21,Abilities,4,FALSE),"")</f>
        <v>BLANK</v>
      </c>
      <c r="L21" s="112" t="s">
        <v>274</v>
      </c>
      <c r="M21" s="113"/>
      <c r="N21" s="10" t="str">
        <f>IFERROR(VLOOKUP(L21,Abilities,4,FALSE),"")</f>
        <v>LW2</v>
      </c>
      <c r="O21" s="36" t="s">
        <v>459</v>
      </c>
      <c r="P21" s="37"/>
      <c r="Q21" s="37"/>
      <c r="R21" s="37"/>
      <c r="S21" s="37"/>
      <c r="T21" s="37"/>
      <c r="U21" s="38"/>
      <c r="V21" s="102" t="s">
        <v>734</v>
      </c>
      <c r="W21" s="103"/>
    </row>
    <row r="22" spans="1:23" ht="15.75" thickBot="1" x14ac:dyDescent="0.3">
      <c r="A22" s="140"/>
      <c r="B22" s="141"/>
      <c r="C22" s="141"/>
      <c r="D22" s="141"/>
      <c r="E22" s="142"/>
      <c r="F22" s="114" t="str">
        <f>IFERROR(VLOOKUP(F21,Abilities,7,FALSE),"")</f>
        <v>There is a chance of an extra loot drop whenever you are on a mission.</v>
      </c>
      <c r="G22" s="115"/>
      <c r="H22" s="116"/>
      <c r="I22" s="120" t="str">
        <f>IFERROR(VLOOKUP(I21,Abilities,7,FALSE),"")</f>
        <v xml:space="preserve"> </v>
      </c>
      <c r="J22" s="115"/>
      <c r="K22" s="116"/>
      <c r="L22" s="115">
        <f>IFERROR(VLOOKUP(L21,Abilities,7,FALSE),"")</f>
        <v>0</v>
      </c>
      <c r="M22" s="115"/>
      <c r="N22" s="122"/>
      <c r="O22" s="39" t="s">
        <v>460</v>
      </c>
      <c r="P22" s="40"/>
      <c r="Q22" s="41"/>
      <c r="R22" s="41"/>
      <c r="S22" s="40"/>
      <c r="T22" s="40"/>
      <c r="U22" s="42"/>
      <c r="V22" s="104" t="s">
        <v>1187</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t="s">
        <v>962</v>
      </c>
      <c r="B25" s="67"/>
      <c r="C25" s="67"/>
      <c r="D25" s="67"/>
      <c r="E25" s="68"/>
      <c r="F25" s="126" t="s">
        <v>628</v>
      </c>
      <c r="G25" s="113"/>
      <c r="H25" s="4" t="str">
        <f>IFERROR(VLOOKUP(F25,Abilities,4,FALSE),"")</f>
        <v>SOLW</v>
      </c>
      <c r="I25" s="127" t="s">
        <v>961</v>
      </c>
      <c r="J25" s="113"/>
      <c r="K25" s="35" t="str">
        <f>IFERROR(VLOOKUP(I25,Abilities,4,FALSE),"")</f>
        <v>BLANK</v>
      </c>
      <c r="L25" s="112" t="s">
        <v>668</v>
      </c>
      <c r="M25" s="113"/>
      <c r="N25" s="10" t="str">
        <f>IFERROR(VLOOKUP(L25,Abilities,4,FALSE),"")</f>
        <v>SOLW</v>
      </c>
      <c r="O25" s="14"/>
      <c r="P25" s="14"/>
      <c r="Q25" s="3"/>
      <c r="V25" s="102" t="s">
        <v>794</v>
      </c>
      <c r="W25" s="103"/>
    </row>
    <row r="26" spans="1:23" x14ac:dyDescent="0.25">
      <c r="A26" s="66"/>
      <c r="B26" s="67"/>
      <c r="C26" s="67"/>
      <c r="D26" s="67"/>
      <c r="E26" s="68"/>
      <c r="F26" s="114" t="str">
        <f>IFERROR(VLOOKUP(F25,Abilities,7,FALSE),"")</f>
        <v>Shield Protocol no longer costs an action to use.</v>
      </c>
      <c r="G26" s="115"/>
      <c r="H26" s="116"/>
      <c r="I26" s="120" t="str">
        <f>IFERROR(VLOOKUP(I25,Abilities,7,FALSE),"")</f>
        <v xml:space="preserve"> </v>
      </c>
      <c r="J26" s="115"/>
      <c r="K26" s="116"/>
      <c r="L26" s="115" t="str">
        <f>IFERROR(VLOOKUP(L25,Abilities,7,FALSE),"")</f>
        <v>Grants a unit &lt;Ability:Heal/&gt; points of HP regeneration every turn, to a maximum of &lt;Ability:MaxHeal/&gt; points. Also stabilizes and revives bleeding out or unconscious units and removes some debuffs.</v>
      </c>
      <c r="M26" s="115"/>
      <c r="N26" s="122"/>
      <c r="O26" s="14"/>
      <c r="P26" s="14"/>
      <c r="Q26" s="3"/>
      <c r="V26" s="104" t="s">
        <v>796</v>
      </c>
      <c r="W26" s="105"/>
    </row>
    <row r="27" spans="1:23" ht="15.75" thickBot="1" x14ac:dyDescent="0.3">
      <c r="A27" s="66"/>
      <c r="B27" s="67"/>
      <c r="C27" s="67"/>
      <c r="D27" s="67"/>
      <c r="E27" s="68"/>
      <c r="F27" s="117"/>
      <c r="G27" s="118"/>
      <c r="H27" s="119"/>
      <c r="I27" s="121"/>
      <c r="J27" s="118"/>
      <c r="K27" s="119"/>
      <c r="L27" s="118"/>
      <c r="M27" s="118"/>
      <c r="N27" s="123"/>
      <c r="O27" s="14"/>
      <c r="P27" s="14"/>
      <c r="Q27" s="3"/>
      <c r="V27" s="102" t="s">
        <v>797</v>
      </c>
      <c r="W27" s="103"/>
    </row>
    <row r="28" spans="1:23" ht="18" thickBot="1" x14ac:dyDescent="0.35">
      <c r="A28" s="66"/>
      <c r="B28" s="67"/>
      <c r="C28" s="67"/>
      <c r="D28" s="67"/>
      <c r="E28" s="68"/>
      <c r="F28" s="128" t="s">
        <v>445</v>
      </c>
      <c r="G28" s="129"/>
      <c r="H28" s="129"/>
      <c r="I28" s="129"/>
      <c r="J28" s="129"/>
      <c r="K28" s="129"/>
      <c r="L28" s="129"/>
      <c r="M28" s="129"/>
      <c r="N28" s="130"/>
      <c r="O28" s="14"/>
      <c r="P28" s="14"/>
      <c r="Q28" s="3"/>
      <c r="V28" s="104" t="s">
        <v>1188</v>
      </c>
      <c r="W28" s="105"/>
    </row>
    <row r="29" spans="1:23" ht="15.75" thickTop="1" x14ac:dyDescent="0.25">
      <c r="A29" s="66"/>
      <c r="B29" s="67"/>
      <c r="C29" s="67"/>
      <c r="D29" s="67"/>
      <c r="E29" s="68"/>
      <c r="F29" s="126" t="s">
        <v>599</v>
      </c>
      <c r="G29" s="113"/>
      <c r="H29" s="4" t="str">
        <f>IFERROR(VLOOKUP(F29,Abilities,4,FALSE),"")</f>
        <v>SOLW</v>
      </c>
      <c r="I29" s="127" t="s">
        <v>961</v>
      </c>
      <c r="J29" s="113"/>
      <c r="K29" s="35" t="str">
        <f>IFERROR(VLOOKUP(I29,Abilities,4,FALSE),"")</f>
        <v>BLANK</v>
      </c>
      <c r="L29" s="112" t="s">
        <v>143</v>
      </c>
      <c r="M29" s="113"/>
      <c r="N29" s="10" t="str">
        <f>IFERROR(VLOOKUP(L29,Abilities,4,FALSE),"")</f>
        <v>XCOM2</v>
      </c>
      <c r="O29" s="14"/>
      <c r="P29" s="14"/>
      <c r="Q29" s="3"/>
      <c r="V29" s="102" t="s">
        <v>824</v>
      </c>
      <c r="W29" s="103"/>
    </row>
    <row r="30" spans="1:23" x14ac:dyDescent="0.25">
      <c r="A30" s="66"/>
      <c r="B30" s="67"/>
      <c r="C30" s="67"/>
      <c r="D30" s="67"/>
      <c r="E30" s="68"/>
      <c r="F30" s="114" t="str">
        <f>IFERROR(VLOOKUP(F29,Abilities,7,FALSE),"")</f>
        <v>All squad members begin play with an energy shield that will absorb &lt;Ability:Shield/&gt; damage.</v>
      </c>
      <c r="G30" s="115"/>
      <c r="H30" s="116"/>
      <c r="I30" s="120" t="str">
        <f>IFERROR(VLOOKUP(I29,Abilities,7,FALSE),"")</f>
        <v xml:space="preserve"> </v>
      </c>
      <c r="J30" s="115"/>
      <c r="K30" s="116"/>
      <c r="L30" s="115" t="str">
        <f>IFERROR(VLOOKUP(L29,Abilities,7,FALSE),"")</f>
        <v>The GREMLIN can trigger an instant scan of the area, increasing the Specialist's sight radius substantially for one turn and revealing any hidden enemies.</v>
      </c>
      <c r="M30" s="115"/>
      <c r="N30" s="122"/>
      <c r="O30" s="14"/>
      <c r="P30" s="14"/>
      <c r="Q30" s="3"/>
      <c r="V30" s="104" t="s">
        <v>1189</v>
      </c>
      <c r="W30" s="105"/>
    </row>
    <row r="31" spans="1:23" ht="15.75" thickBot="1" x14ac:dyDescent="0.3">
      <c r="A31" s="66"/>
      <c r="B31" s="67"/>
      <c r="C31" s="67"/>
      <c r="D31" s="67"/>
      <c r="E31" s="68"/>
      <c r="F31" s="117"/>
      <c r="G31" s="118"/>
      <c r="H31" s="119"/>
      <c r="I31" s="121"/>
      <c r="J31" s="118"/>
      <c r="K31" s="119"/>
      <c r="L31" s="118"/>
      <c r="M31" s="118"/>
      <c r="N31" s="123"/>
      <c r="O31" s="14"/>
      <c r="P31" s="14"/>
      <c r="Q31" s="3"/>
      <c r="V31" s="102" t="s">
        <v>819</v>
      </c>
      <c r="W31" s="103"/>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588</v>
      </c>
      <c r="J33" s="113"/>
      <c r="K33" s="35" t="str">
        <f>IFERROR(VLOOKUP(I33,Abilities,4,FALSE),"")</f>
        <v>SOLW</v>
      </c>
      <c r="L33" s="127" t="s">
        <v>961</v>
      </c>
      <c r="M33" s="113"/>
      <c r="N33" s="10" t="str">
        <f>IFERROR(VLOOKUP(L33,Abilities,4,FALSE),"")</f>
        <v>BLANK</v>
      </c>
      <c r="O33" s="14"/>
      <c r="P33" s="14"/>
      <c r="Q33" s="3"/>
      <c r="V33" s="102" t="s">
        <v>821</v>
      </c>
      <c r="W33" s="103"/>
    </row>
    <row r="34" spans="1:23" x14ac:dyDescent="0.25">
      <c r="A34" s="66"/>
      <c r="B34" s="67"/>
      <c r="C34" s="67"/>
      <c r="D34" s="67"/>
      <c r="E34" s="68"/>
      <c r="F34" s="114" t="str">
        <f>IFERROR(VLOOKUP(F33,Abilities,7,FALSE),"")</f>
        <v xml:space="preserve"> </v>
      </c>
      <c r="G34" s="115"/>
      <c r="H34" s="116"/>
      <c r="I34" s="120" t="str">
        <f>IFERROR(VLOOKUP(I33,Abilities,7,FALSE),"")</f>
        <v>Shield Protocol also reduces all incoming damage by 33%.</v>
      </c>
      <c r="J34" s="115"/>
      <c r="K34" s="116"/>
      <c r="L34" s="115" t="str">
        <f>IFERROR(VLOOKUP(L33,Abilities,7,FALSE),"")</f>
        <v xml:space="preserve"> </v>
      </c>
      <c r="M34" s="115"/>
      <c r="N34" s="122"/>
      <c r="O34" s="14"/>
      <c r="P34" s="14"/>
      <c r="Q34" s="3"/>
      <c r="V34" s="104" t="s">
        <v>815</v>
      </c>
      <c r="W34" s="105"/>
    </row>
    <row r="35" spans="1:23" ht="15.75" thickBot="1" x14ac:dyDescent="0.3">
      <c r="A35" s="66"/>
      <c r="B35" s="67"/>
      <c r="C35" s="67"/>
      <c r="D35" s="67"/>
      <c r="E35" s="68"/>
      <c r="F35" s="117"/>
      <c r="G35" s="118"/>
      <c r="H35" s="119"/>
      <c r="I35" s="121"/>
      <c r="J35" s="118"/>
      <c r="K35" s="119"/>
      <c r="L35" s="118"/>
      <c r="M35" s="118"/>
      <c r="N35" s="123"/>
      <c r="O35" s="14"/>
      <c r="P35" s="14"/>
      <c r="Q35" s="3"/>
      <c r="V35" s="102" t="s">
        <v>1190</v>
      </c>
      <c r="W35" s="103"/>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602</v>
      </c>
      <c r="G37" s="113"/>
      <c r="H37" s="4" t="str">
        <f>IFERROR(VLOOKUP(F37,Abilities,4,FALSE),"")</f>
        <v>SOLW</v>
      </c>
      <c r="I37" s="127" t="s">
        <v>961</v>
      </c>
      <c r="J37" s="113"/>
      <c r="K37" s="35" t="str">
        <f>IFERROR(VLOOKUP(I37,Abilities,4,FALSE),"")</f>
        <v>BLANK</v>
      </c>
      <c r="L37" s="112" t="s">
        <v>161</v>
      </c>
      <c r="M37" s="113"/>
      <c r="N37" s="10" t="str">
        <f>IFERROR(VLOOKUP(L37,Abilities,4,FALSE),"")</f>
        <v>XCOM2</v>
      </c>
    </row>
    <row r="38" spans="1:23" x14ac:dyDescent="0.25">
      <c r="A38" s="66"/>
      <c r="B38" s="67"/>
      <c r="C38" s="67"/>
      <c r="D38" s="67"/>
      <c r="E38" s="68"/>
      <c r="F38" s="114" t="str">
        <f>IFERROR(VLOOKUP(F37,Abilities,7,FALSE),"")</f>
        <v>All GREMLIN abilities gain an additional charge.</v>
      </c>
      <c r="G38" s="115"/>
      <c r="H38" s="116"/>
      <c r="I38" s="120" t="str">
        <f>IFERROR(VLOOKUP(I37,Abilities,7,FALSE),"")</f>
        <v xml:space="preserve"> </v>
      </c>
      <c r="J38" s="115"/>
      <c r="K38" s="116"/>
      <c r="L38" s="115" t="str">
        <f>IFERROR(VLOOKUP(L37,Abilities,7,FALSE),"")</f>
        <v>Send the GREMLIN to a location where it emits a substantial electric discharge, damaging and potentially stunning all nearby units. Robotic units take more damage. Once per mission.</v>
      </c>
      <c r="M38" s="115"/>
      <c r="N38" s="122"/>
    </row>
    <row r="39" spans="1:23" ht="15.75" thickBot="1" x14ac:dyDescent="0.3">
      <c r="A39" s="66"/>
      <c r="B39" s="67"/>
      <c r="C39" s="67"/>
      <c r="D39" s="67"/>
      <c r="E39" s="68"/>
      <c r="F39" s="117"/>
      <c r="G39" s="118"/>
      <c r="H39" s="119"/>
      <c r="I39" s="121"/>
      <c r="J39" s="118"/>
      <c r="K39" s="119"/>
      <c r="L39" s="118"/>
      <c r="M39" s="118"/>
      <c r="N39" s="123"/>
    </row>
    <row r="40" spans="1:23" ht="15" customHeight="1" x14ac:dyDescent="0.25">
      <c r="A40" s="199" t="s">
        <v>1198</v>
      </c>
      <c r="B40" s="199"/>
      <c r="C40" s="201" t="str">
        <f>SUBSTITUTE(C1," ","")</f>
        <v>CombatEngineer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769</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LWD_Courser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104</v>
      </c>
      <c r="G4" s="113"/>
      <c r="H4" s="4" t="str">
        <f>IFERROR(VLOOKUP(F4,Abilities,4,FALSE),"")</f>
        <v>Spark</v>
      </c>
      <c r="I4" s="127" t="s">
        <v>238</v>
      </c>
      <c r="J4" s="113"/>
      <c r="K4" s="35" t="str">
        <f>IFERROR(VLOOKUP(I4,Abilities,4,FALSE),"")</f>
        <v>LW2</v>
      </c>
      <c r="L4" s="112" t="s">
        <v>242</v>
      </c>
      <c r="M4" s="113"/>
      <c r="N4" s="10" t="str">
        <f>IFERROR(VLOOKUP(L4,Abilities,4,FALSE),"")</f>
        <v>LW2</v>
      </c>
      <c r="O4" s="19" t="s">
        <v>12</v>
      </c>
      <c r="P4" s="4">
        <v>3</v>
      </c>
      <c r="Q4" s="20">
        <v>0</v>
      </c>
      <c r="R4" s="20"/>
      <c r="S4" s="4">
        <v>0</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f>IFERROR(VLOOKUP(I4,Abilities,7,FALSE),"")</f>
        <v>0</v>
      </c>
      <c r="J5" s="115"/>
      <c r="K5" s="116"/>
      <c r="L5" s="115">
        <f>IFERROR(VLOOKUP(L4,Abilities,7,FALSE),"")</f>
        <v>0</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3</v>
      </c>
      <c r="Q6" s="20">
        <v>0</v>
      </c>
      <c r="R6" s="20"/>
      <c r="S6" s="4">
        <v>0</v>
      </c>
      <c r="T6" s="4"/>
      <c r="U6" s="10"/>
      <c r="V6" s="102" t="s">
        <v>777</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1</v>
      </c>
      <c r="R7" s="28"/>
      <c r="S7" s="27">
        <v>0</v>
      </c>
      <c r="T7" s="27"/>
      <c r="U7" s="29"/>
      <c r="V7" s="104" t="s">
        <v>778</v>
      </c>
      <c r="W7" s="105"/>
      <c r="X7" s="102" t="s">
        <v>803</v>
      </c>
      <c r="Y7" s="103"/>
    </row>
    <row r="8" spans="1:25" ht="15" customHeight="1" thickBot="1" x14ac:dyDescent="0.3">
      <c r="A8" s="6"/>
      <c r="B8" s="5" t="b">
        <v>0</v>
      </c>
      <c r="C8" s="157" t="s">
        <v>317</v>
      </c>
      <c r="D8" s="158"/>
      <c r="E8" s="12" t="s">
        <v>773</v>
      </c>
      <c r="F8" s="114" t="str">
        <f>IFERROR(VLOOKUP(F7,Abilities,7,FALSE),"")</f>
        <v/>
      </c>
      <c r="G8" s="115"/>
      <c r="H8" s="116"/>
      <c r="I8" s="120" t="str">
        <f>IFERROR(VLOOKUP(I7,Abilities,7,FALSE),"")</f>
        <v/>
      </c>
      <c r="J8" s="115"/>
      <c r="K8" s="116"/>
      <c r="L8" s="115" t="str">
        <f>IFERROR(VLOOKUP(L7,Abilities,7,FALSE),"")</f>
        <v/>
      </c>
      <c r="M8" s="115"/>
      <c r="N8" s="122"/>
      <c r="O8" s="21" t="s">
        <v>457</v>
      </c>
      <c r="P8" s="4">
        <v>3</v>
      </c>
      <c r="Q8" s="20">
        <v>0</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0</v>
      </c>
      <c r="T9" s="27"/>
      <c r="U9" s="29"/>
      <c r="V9" s="104" t="s">
        <v>828</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3</v>
      </c>
      <c r="Q10" s="37">
        <v>1</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770</v>
      </c>
      <c r="G11" s="165"/>
      <c r="H11" s="166"/>
      <c r="I11" s="167"/>
      <c r="J11" s="165"/>
      <c r="K11" s="166"/>
      <c r="L11" s="165" t="s">
        <v>740</v>
      </c>
      <c r="M11" s="165"/>
      <c r="N11" s="168"/>
      <c r="O11" s="39" t="s">
        <v>460</v>
      </c>
      <c r="P11" s="40">
        <v>2</v>
      </c>
      <c r="Q11" s="41">
        <v>0</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217</v>
      </c>
      <c r="G13" s="113"/>
      <c r="H13" s="4" t="str">
        <f>IFERROR(VLOOKUP(F13,Abilities,4,FALSE),"")</f>
        <v>LW2</v>
      </c>
      <c r="I13" s="127" t="s">
        <v>961</v>
      </c>
      <c r="J13" s="113"/>
      <c r="K13" s="35" t="str">
        <f>IFERROR(VLOOKUP(I13,Abilities,4,FALSE),"")</f>
        <v>BLANK</v>
      </c>
      <c r="L13" s="112" t="s">
        <v>625</v>
      </c>
      <c r="M13" s="113"/>
      <c r="N13" s="10" t="str">
        <f>IFERROR(VLOOKUP(L13,Abilities,4,FALSE),"")</f>
        <v>SOLW</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t="str">
        <f>IFERROR(VLOOKUP(L13,Abilities,7,FALSE),"")</f>
        <v>Gain &lt;Ability:+Defense/&gt; Defense and &lt;Ability:+Crit/&gt; Crit chance while injured.</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5</v>
      </c>
      <c r="R15" s="20"/>
      <c r="S15" s="4"/>
      <c r="T15" s="4"/>
      <c r="U15" s="10"/>
      <c r="V15" s="102" t="s">
        <v>822</v>
      </c>
      <c r="W15" s="103"/>
    </row>
    <row r="16" spans="1:25" ht="18" thickBot="1" x14ac:dyDescent="0.35">
      <c r="A16" s="6"/>
      <c r="B16" s="7" t="b">
        <v>1</v>
      </c>
      <c r="F16" s="128" t="s">
        <v>15</v>
      </c>
      <c r="G16" s="129"/>
      <c r="H16" s="129"/>
      <c r="I16" s="129"/>
      <c r="J16" s="129"/>
      <c r="K16" s="129"/>
      <c r="L16" s="129"/>
      <c r="M16" s="129"/>
      <c r="N16" s="130"/>
      <c r="O16" s="26" t="s">
        <v>456</v>
      </c>
      <c r="P16" s="27"/>
      <c r="Q16" s="28">
        <v>5</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425</v>
      </c>
      <c r="J17" s="113"/>
      <c r="K17" s="35" t="str">
        <f>IFERROR(VLOOKUP(I17,Abilities,4,FALSE),"")</f>
        <v>LW2</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965</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228</v>
      </c>
      <c r="G21" s="113"/>
      <c r="H21" s="4" t="str">
        <f>IFERROR(VLOOKUP(F21,Abilities,4,FALSE),"")</f>
        <v>LW2</v>
      </c>
      <c r="I21" s="127" t="s">
        <v>961</v>
      </c>
      <c r="J21" s="113"/>
      <c r="K21" s="35" t="str">
        <f>IFERROR(VLOOKUP(I21,Abilities,4,FALSE),"")</f>
        <v>BLANK</v>
      </c>
      <c r="L21" s="112" t="s">
        <v>633</v>
      </c>
      <c r="M21" s="113"/>
      <c r="N21" s="10" t="str">
        <f>IFERROR(VLOOKUP(L21,Abilities,4,FALSE),"")</f>
        <v>SOLW</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t="str">
        <f>IFERROR(VLOOKUP(L21,Abilities,7,FALSE),"")</f>
        <v>You get &lt;Ability:+ToHit/&gt; Aim and &lt;Ability:+Crit/&gt; Crit chance on attacks against the closest visible enemy.</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t="s">
        <v>924</v>
      </c>
      <c r="B25" s="67"/>
      <c r="C25" s="67"/>
      <c r="D25" s="67"/>
      <c r="E25" s="68"/>
      <c r="F25" s="126" t="s">
        <v>269</v>
      </c>
      <c r="G25" s="113"/>
      <c r="H25" s="4" t="str">
        <f>IFERROR(VLOOKUP(F25,Abilities,4,FALSE),"")</f>
        <v>LW2</v>
      </c>
      <c r="I25" s="127" t="s">
        <v>961</v>
      </c>
      <c r="J25" s="113"/>
      <c r="K25" s="35" t="str">
        <f>IFERROR(VLOOKUP(I25,Abilities,4,FALSE),"")</f>
        <v>BLANK</v>
      </c>
      <c r="L25" s="112" t="s">
        <v>616</v>
      </c>
      <c r="M25" s="113"/>
      <c r="N25" s="10" t="str">
        <f>IFERROR(VLOOKUP(L25,Abilities,4,FALSE),"")</f>
        <v>SOLW</v>
      </c>
      <c r="O25" s="14"/>
      <c r="P25" s="14"/>
      <c r="Q25" s="3"/>
      <c r="V25" s="102" t="s">
        <v>794</v>
      </c>
      <c r="W25" s="103"/>
    </row>
    <row r="26" spans="1:23" x14ac:dyDescent="0.25">
      <c r="A26" s="66"/>
      <c r="B26" s="67"/>
      <c r="C26" s="67"/>
      <c r="D26" s="67"/>
      <c r="E26" s="68"/>
      <c r="F26" s="114">
        <f>IFERROR(VLOOKUP(F25,Abilities,7,FALSE),"")</f>
        <v>0</v>
      </c>
      <c r="G26" s="115"/>
      <c r="H26" s="116"/>
      <c r="I26" s="120" t="str">
        <f>IFERROR(VLOOKUP(I25,Abilities,7,FALSE),"")</f>
        <v xml:space="preserve"> </v>
      </c>
      <c r="J26" s="115"/>
      <c r="K26" s="116"/>
      <c r="L26" s="115" t="str">
        <f>IFERROR(VLOOKUP(L25,Abilities,7,FALSE),"")</f>
        <v>You get an additional &lt;Ability:+Defense/&gt; Defense and &lt;Ability:+Dodge/&gt; Dodge against attacks by the closest visible enemy while not flanked.</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393</v>
      </c>
      <c r="G29" s="113"/>
      <c r="H29" s="4" t="str">
        <f>IFERROR(VLOOKUP(F29,Abilities,4,FALSE),"")</f>
        <v>LW2</v>
      </c>
      <c r="I29" s="127" t="s">
        <v>961</v>
      </c>
      <c r="J29" s="113"/>
      <c r="K29" s="35" t="str">
        <f>IFERROR(VLOOKUP(I29,Abilities,4,FALSE),"")</f>
        <v>BLANK</v>
      </c>
      <c r="L29" s="112" t="s">
        <v>426</v>
      </c>
      <c r="M29" s="113"/>
      <c r="N29" s="10" t="str">
        <f>IFERROR(VLOOKUP(L29,Abilities,4,FALSE),"")</f>
        <v>LW2</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f>IFERROR(VLOOKUP(L29,Abilities,7,FALSE),"")</f>
        <v>0</v>
      </c>
      <c r="M30" s="115"/>
      <c r="N30" s="122"/>
      <c r="O30" s="14"/>
      <c r="P30" s="14"/>
      <c r="Q30" s="3"/>
      <c r="V30" s="102" t="s">
        <v>829</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413</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772</v>
      </c>
      <c r="G37" s="113"/>
      <c r="H37" s="4" t="str">
        <f>IFERROR(VLOOKUP(F37,Abilities,4,FALSE),"")</f>
        <v>SOLW</v>
      </c>
      <c r="I37" s="127" t="s">
        <v>961</v>
      </c>
      <c r="J37" s="113"/>
      <c r="K37" s="35" t="str">
        <f>IFERROR(VLOOKUP(I37,Abilities,4,FALSE),"")</f>
        <v>BLANK</v>
      </c>
      <c r="L37" s="112" t="s">
        <v>431</v>
      </c>
      <c r="M37" s="113"/>
      <c r="N37" s="10" t="str">
        <f>IFERROR(VLOOKUP(L37,Abilities,4,FALSE),"")</f>
        <v>LW2</v>
      </c>
    </row>
    <row r="38" spans="1:23" x14ac:dyDescent="0.25">
      <c r="A38" s="66"/>
      <c r="B38" s="67"/>
      <c r="C38" s="67"/>
      <c r="D38" s="67"/>
      <c r="E38" s="68"/>
      <c r="F38" s="114" t="str">
        <f>IFERROR(VLOOKUP(F37,Abilities,7,FALSE),"")</f>
        <v>Gain &lt;Ability:+ToHit/&gt; Aim per enemy the squad can see (max &lt;Ability:+MaxToHit/&gt;).</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Courser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1021</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LWD_Cowboy</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1099</v>
      </c>
      <c r="G4" s="113"/>
      <c r="H4" s="4" t="str">
        <f>IFERROR(VLOOKUP(F4,Abilities,4,FALSE),"")</f>
        <v>LW2</v>
      </c>
      <c r="I4" s="127" t="s">
        <v>1085</v>
      </c>
      <c r="J4" s="113"/>
      <c r="K4" s="35" t="str">
        <f>IFERROR(VLOOKUP(I4,Abilities,4,FALSE),"")</f>
        <v>LWD</v>
      </c>
      <c r="L4" s="112" t="s">
        <v>1094</v>
      </c>
      <c r="M4" s="113"/>
      <c r="N4" s="10" t="str">
        <f>IFERROR(VLOOKUP(L4,Abilities,4,FALSE),"")</f>
        <v>LWD</v>
      </c>
      <c r="O4" s="19" t="s">
        <v>12</v>
      </c>
      <c r="P4" s="4">
        <v>3</v>
      </c>
      <c r="Q4" s="20">
        <v>0</v>
      </c>
      <c r="R4" s="20"/>
      <c r="S4" s="4">
        <v>0</v>
      </c>
      <c r="T4" s="4">
        <v>1</v>
      </c>
      <c r="U4" s="10"/>
      <c r="V4" s="104" t="s">
        <v>1150</v>
      </c>
      <c r="W4" s="105"/>
      <c r="X4" s="104" t="s">
        <v>1151</v>
      </c>
      <c r="Y4" s="105"/>
    </row>
    <row r="5" spans="1:25" ht="15" customHeight="1" x14ac:dyDescent="0.25">
      <c r="A5" s="6"/>
      <c r="B5" s="5" t="b">
        <v>0</v>
      </c>
      <c r="C5" s="186"/>
      <c r="D5" s="187"/>
      <c r="E5" s="187"/>
      <c r="F5" s="188" t="str">
        <f>IFERROR(VLOOKUP(F4,Abilities,7,FALSE),"")</f>
        <v>Halves officer and AWC training times</v>
      </c>
      <c r="G5" s="189"/>
      <c r="H5" s="190"/>
      <c r="I5" s="120" t="str">
        <f>IFERROR(VLOOKUP(I4,Abilities,7,FALSE),"")</f>
        <v>Fire your sawed-off shotgun in a cone.</v>
      </c>
      <c r="J5" s="115"/>
      <c r="K5" s="116"/>
      <c r="L5" s="115" t="str">
        <f>IFERROR(VLOOKUP(L4,Abilities,7,FALSE),"")</f>
        <v>Pick one enemy. You suffer no range penalties against them, but range penalties against other enemies are doubled. Lasts until the end of your next turn.</v>
      </c>
      <c r="M5" s="115"/>
      <c r="N5" s="122"/>
      <c r="O5" s="26" t="s">
        <v>456</v>
      </c>
      <c r="P5" s="27">
        <v>3</v>
      </c>
      <c r="Q5" s="28">
        <v>1</v>
      </c>
      <c r="R5" s="28"/>
      <c r="S5" s="27">
        <v>0</v>
      </c>
      <c r="T5" s="27"/>
      <c r="U5" s="29"/>
      <c r="V5" s="102" t="s">
        <v>820</v>
      </c>
      <c r="W5" s="103"/>
      <c r="X5" s="102" t="s">
        <v>1152</v>
      </c>
      <c r="Y5" s="103"/>
    </row>
    <row r="6" spans="1:25" ht="15" customHeight="1" x14ac:dyDescent="0.25">
      <c r="A6" s="6"/>
      <c r="B6" s="5" t="b">
        <v>0</v>
      </c>
      <c r="C6" s="157" t="s">
        <v>315</v>
      </c>
      <c r="D6" s="198"/>
      <c r="E6" s="11">
        <v>0</v>
      </c>
      <c r="F6" s="191"/>
      <c r="G6" s="192"/>
      <c r="H6" s="193"/>
      <c r="I6" s="194"/>
      <c r="J6" s="195"/>
      <c r="K6" s="196"/>
      <c r="L6" s="195"/>
      <c r="M6" s="195"/>
      <c r="N6" s="197"/>
      <c r="O6" s="19" t="s">
        <v>15</v>
      </c>
      <c r="P6" s="4">
        <v>3</v>
      </c>
      <c r="Q6" s="20">
        <v>0</v>
      </c>
      <c r="R6" s="20"/>
      <c r="S6" s="4">
        <v>0</v>
      </c>
      <c r="T6" s="4"/>
      <c r="U6" s="10"/>
      <c r="V6" s="104" t="s">
        <v>1153</v>
      </c>
      <c r="W6" s="105"/>
      <c r="X6" s="104" t="s">
        <v>1154</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3</v>
      </c>
      <c r="Q7" s="28">
        <v>0</v>
      </c>
      <c r="R7" s="28"/>
      <c r="S7" s="27">
        <v>0</v>
      </c>
      <c r="T7" s="27"/>
      <c r="U7" s="29"/>
      <c r="V7" s="102" t="s">
        <v>1155</v>
      </c>
      <c r="W7" s="103"/>
      <c r="X7" s="102" t="s">
        <v>1156</v>
      </c>
      <c r="Y7" s="103"/>
    </row>
    <row r="8" spans="1:25" ht="15" customHeight="1" thickBot="1" x14ac:dyDescent="0.3">
      <c r="A8" s="6"/>
      <c r="B8" s="5" t="b">
        <v>1</v>
      </c>
      <c r="C8" s="157" t="s">
        <v>317</v>
      </c>
      <c r="D8" s="158"/>
      <c r="E8" s="12" t="s">
        <v>1147</v>
      </c>
      <c r="F8" s="114" t="str">
        <f>IFERROR(VLOOKUP(F7,Abilities,7,FALSE),"")</f>
        <v/>
      </c>
      <c r="G8" s="115"/>
      <c r="H8" s="116"/>
      <c r="I8" s="120" t="str">
        <f>IFERROR(VLOOKUP(I7,Abilities,7,FALSE),"")</f>
        <v/>
      </c>
      <c r="J8" s="115"/>
      <c r="K8" s="116"/>
      <c r="L8" s="115" t="str">
        <f>IFERROR(VLOOKUP(L7,Abilities,7,FALSE),"")</f>
        <v/>
      </c>
      <c r="M8" s="115"/>
      <c r="N8" s="122"/>
      <c r="O8" s="21" t="s">
        <v>457</v>
      </c>
      <c r="P8" s="4">
        <v>3</v>
      </c>
      <c r="Q8" s="20">
        <v>1</v>
      </c>
      <c r="R8" s="20"/>
      <c r="S8" s="4">
        <v>0</v>
      </c>
      <c r="T8" s="4"/>
      <c r="U8" s="10"/>
      <c r="V8" s="104" t="s">
        <v>908</v>
      </c>
      <c r="W8" s="105"/>
      <c r="X8" s="104" t="s">
        <v>1157</v>
      </c>
      <c r="Y8" s="105"/>
    </row>
    <row r="9" spans="1:25" ht="15.75" thickBot="1" x14ac:dyDescent="0.3">
      <c r="A9" s="6"/>
      <c r="B9" s="5" t="b">
        <v>0</v>
      </c>
      <c r="C9" s="157" t="s">
        <v>319</v>
      </c>
      <c r="D9" s="158"/>
      <c r="E9" s="12">
        <v>1</v>
      </c>
      <c r="F9" s="223"/>
      <c r="G9" s="195"/>
      <c r="H9" s="196"/>
      <c r="I9" s="121"/>
      <c r="J9" s="118"/>
      <c r="K9" s="119"/>
      <c r="L9" s="195"/>
      <c r="M9" s="195"/>
      <c r="N9" s="197"/>
      <c r="O9" s="26" t="s">
        <v>458</v>
      </c>
      <c r="P9" s="27">
        <v>3</v>
      </c>
      <c r="Q9" s="28">
        <v>0</v>
      </c>
      <c r="R9" s="28"/>
      <c r="S9" s="27">
        <v>0</v>
      </c>
      <c r="T9" s="27"/>
      <c r="U9" s="29"/>
      <c r="V9" s="102" t="s">
        <v>780</v>
      </c>
      <c r="W9" s="103"/>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3</v>
      </c>
      <c r="Q10" s="37">
        <v>0</v>
      </c>
      <c r="R10" s="37"/>
      <c r="S10" s="37">
        <v>0</v>
      </c>
      <c r="T10" s="37"/>
      <c r="U10" s="38"/>
      <c r="V10" s="104" t="s">
        <v>781</v>
      </c>
      <c r="W10" s="105"/>
      <c r="X10" s="104" t="s">
        <v>1158</v>
      </c>
      <c r="Y10" s="105"/>
    </row>
    <row r="11" spans="1:25" ht="15.75" customHeight="1" thickBot="1" x14ac:dyDescent="0.3">
      <c r="A11" s="6"/>
      <c r="B11" s="5" t="b">
        <v>0</v>
      </c>
      <c r="C11" s="157" t="s">
        <v>320</v>
      </c>
      <c r="D11" s="158"/>
      <c r="E11" s="12">
        <v>4</v>
      </c>
      <c r="F11" s="164" t="s">
        <v>1102</v>
      </c>
      <c r="G11" s="165"/>
      <c r="H11" s="166"/>
      <c r="I11" s="167"/>
      <c r="J11" s="165"/>
      <c r="K11" s="166"/>
      <c r="L11" s="165" t="s">
        <v>960</v>
      </c>
      <c r="M11" s="165"/>
      <c r="N11" s="168"/>
      <c r="O11" s="39" t="s">
        <v>460</v>
      </c>
      <c r="P11" s="40">
        <v>3</v>
      </c>
      <c r="Q11" s="41">
        <v>1</v>
      </c>
      <c r="R11" s="41"/>
      <c r="S11" s="40">
        <v>0</v>
      </c>
      <c r="T11" s="40"/>
      <c r="U11" s="42"/>
      <c r="V11" s="102" t="s">
        <v>823</v>
      </c>
      <c r="W11" s="103"/>
      <c r="X11" s="102" t="s">
        <v>1159</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1160</v>
      </c>
      <c r="W12" s="105"/>
      <c r="X12" s="104" t="s">
        <v>807</v>
      </c>
      <c r="Y12" s="105"/>
    </row>
    <row r="13" spans="1:25" ht="16.5" thickTop="1" thickBot="1" x14ac:dyDescent="0.3">
      <c r="A13" s="6"/>
      <c r="B13" s="5" t="b">
        <v>0</v>
      </c>
      <c r="C13" s="155" t="s">
        <v>322</v>
      </c>
      <c r="D13" s="156"/>
      <c r="E13" s="13" t="s">
        <v>323</v>
      </c>
      <c r="F13" s="126" t="s">
        <v>1022</v>
      </c>
      <c r="G13" s="113"/>
      <c r="H13" s="4" t="str">
        <f>IFERROR(VLOOKUP(F13,Abilities,4,FALSE),"")</f>
        <v>LWD</v>
      </c>
      <c r="I13" s="127" t="s">
        <v>961</v>
      </c>
      <c r="J13" s="113"/>
      <c r="K13" s="35" t="str">
        <f>IFERROR(VLOOKUP(I13,Abilities,4,FALSE),"")</f>
        <v>BLANK</v>
      </c>
      <c r="L13" s="112" t="s">
        <v>952</v>
      </c>
      <c r="M13" s="113"/>
      <c r="N13" s="10" t="str">
        <f>IFERROR(VLOOKUP(L13,Abilities,4,FALSE),"")</f>
        <v>LWD</v>
      </c>
      <c r="O13" s="152"/>
      <c r="P13" s="153"/>
      <c r="Q13" s="153"/>
      <c r="R13" s="153"/>
      <c r="S13" s="153"/>
      <c r="T13" s="153"/>
      <c r="U13" s="154"/>
      <c r="V13" s="102" t="s">
        <v>817</v>
      </c>
      <c r="W13" s="103"/>
      <c r="X13" s="102" t="s">
        <v>808</v>
      </c>
      <c r="Y13" s="103"/>
    </row>
    <row r="14" spans="1:25" ht="15.75" thickBot="1" x14ac:dyDescent="0.3">
      <c r="A14" s="6"/>
      <c r="B14" s="7" t="b">
        <v>1</v>
      </c>
      <c r="F14" s="114" t="str">
        <f>IFERROR(VLOOKUP(F13,Abilities,7,FALSE),"")</f>
        <v>You gain +10 bonus to aim and crit chance with pistols</v>
      </c>
      <c r="G14" s="115"/>
      <c r="H14" s="116"/>
      <c r="I14" s="120" t="str">
        <f>IFERROR(VLOOKUP(I13,Abilities,7,FALSE),"")</f>
        <v xml:space="preserve"> </v>
      </c>
      <c r="J14" s="115"/>
      <c r="K14" s="116"/>
      <c r="L14" s="115" t="str">
        <f>IFERROR(VLOOKUP(L13,Abilities,7,FALSE),"")</f>
        <v>Reload your sawed-off shotgun. Each shell requires a separate action.</v>
      </c>
      <c r="M14" s="115"/>
      <c r="N14" s="122"/>
      <c r="O14" s="22"/>
      <c r="P14" s="23" t="s">
        <v>331</v>
      </c>
      <c r="Q14" s="24" t="s">
        <v>332</v>
      </c>
      <c r="R14" s="24" t="s">
        <v>333</v>
      </c>
      <c r="S14" s="24" t="s">
        <v>334</v>
      </c>
      <c r="T14" s="24" t="s">
        <v>336</v>
      </c>
      <c r="U14" s="25" t="s">
        <v>335</v>
      </c>
      <c r="V14" s="104" t="s">
        <v>1161</v>
      </c>
      <c r="W14" s="105"/>
      <c r="X14" s="124" t="s">
        <v>1162</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3</v>
      </c>
      <c r="R16" s="28"/>
      <c r="S16" s="27"/>
      <c r="T16" s="27"/>
      <c r="U16" s="29"/>
      <c r="V16" s="104" t="s">
        <v>1163</v>
      </c>
      <c r="W16" s="105"/>
    </row>
    <row r="17" spans="1:23" ht="16.5" thickTop="1" thickBot="1" x14ac:dyDescent="0.3">
      <c r="A17" s="8"/>
      <c r="B17" s="9" t="b">
        <v>0</v>
      </c>
      <c r="F17" s="127" t="s">
        <v>961</v>
      </c>
      <c r="G17" s="113"/>
      <c r="H17" s="4" t="str">
        <f>IFERROR(VLOOKUP(F17,Abilities,4,FALSE),"")</f>
        <v>BLANK</v>
      </c>
      <c r="I17" s="127" t="s">
        <v>1095</v>
      </c>
      <c r="J17" s="113"/>
      <c r="K17" s="35" t="str">
        <f>IFERROR(VLOOKUP(I17,Abilities,4,FALSE),"")</f>
        <v>LWD</v>
      </c>
      <c r="L17" s="127" t="s">
        <v>961</v>
      </c>
      <c r="M17" s="113"/>
      <c r="N17" s="10" t="str">
        <f>IFERROR(VLOOKUP(L17,Abilities,4,FALSE),"")</f>
        <v>BLANK</v>
      </c>
      <c r="O17" s="19" t="s">
        <v>15</v>
      </c>
      <c r="P17" s="4"/>
      <c r="Q17" s="20"/>
      <c r="R17" s="20"/>
      <c r="S17" s="4"/>
      <c r="T17" s="4"/>
      <c r="U17" s="10"/>
      <c r="V17" s="102" t="s">
        <v>1164</v>
      </c>
      <c r="W17" s="103"/>
    </row>
    <row r="18" spans="1:23" x14ac:dyDescent="0.25">
      <c r="A18" s="224" t="s">
        <v>344</v>
      </c>
      <c r="B18" s="225"/>
      <c r="F18" s="114" t="str">
        <f>IFERROR(VLOOKUP(F17,Abilities,7,FALSE),"")</f>
        <v xml:space="preserve"> </v>
      </c>
      <c r="G18" s="115"/>
      <c r="H18" s="116"/>
      <c r="I18" s="120" t="str">
        <f>IFERROR(VLOOKUP(I17,Abilities,7,FALSE),"")</f>
        <v>Whenever you take damage, you gain 2 armor until the start of your next turn. This ability stacks with itself.</v>
      </c>
      <c r="J18" s="115"/>
      <c r="K18" s="116"/>
      <c r="L18" s="115" t="str">
        <f>IFERROR(VLOOKUP(L17,Abilities,7,FALSE),"")</f>
        <v xml:space="preserve"> </v>
      </c>
      <c r="M18" s="115"/>
      <c r="N18" s="122"/>
      <c r="O18" s="26" t="s">
        <v>21</v>
      </c>
      <c r="P18" s="27"/>
      <c r="Q18" s="28"/>
      <c r="R18" s="28"/>
      <c r="S18" s="27"/>
      <c r="T18" s="27"/>
      <c r="U18" s="29"/>
      <c r="V18" s="104" t="s">
        <v>787</v>
      </c>
      <c r="W18" s="105"/>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2" t="s">
        <v>1165</v>
      </c>
      <c r="W19" s="103"/>
    </row>
    <row r="20" spans="1:23" ht="18" thickBot="1" x14ac:dyDescent="0.35">
      <c r="A20" s="135" t="s">
        <v>1103</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1026</v>
      </c>
      <c r="G21" s="113"/>
      <c r="H21" s="4" t="str">
        <f>IFERROR(VLOOKUP(F21,Abilities,4,FALSE),"")</f>
        <v>LWD</v>
      </c>
      <c r="I21" s="127" t="s">
        <v>961</v>
      </c>
      <c r="J21" s="113"/>
      <c r="K21" s="35" t="str">
        <f>IFERROR(VLOOKUP(I21,Abilities,4,FALSE),"")</f>
        <v>BLANK</v>
      </c>
      <c r="L21" s="112" t="s">
        <v>1097</v>
      </c>
      <c r="M21" s="113"/>
      <c r="N21" s="10" t="str">
        <f>IFERROR(VLOOKUP(L21,Abilities,4,FALSE),"")</f>
        <v>LWD</v>
      </c>
      <c r="O21" s="36" t="s">
        <v>459</v>
      </c>
      <c r="P21" s="37"/>
      <c r="Q21" s="37"/>
      <c r="R21" s="37"/>
      <c r="S21" s="37"/>
      <c r="T21" s="37"/>
      <c r="U21" s="38"/>
      <c r="V21" s="102" t="s">
        <v>1166</v>
      </c>
      <c r="W21" s="103"/>
    </row>
    <row r="22" spans="1:23" ht="15.75" thickBot="1" x14ac:dyDescent="0.3">
      <c r="A22" s="140"/>
      <c r="B22" s="141"/>
      <c r="C22" s="141"/>
      <c r="D22" s="141"/>
      <c r="E22" s="142"/>
      <c r="F22" s="114" t="str">
        <f>IFERROR(VLOOKUP(F21,Abilities,7,FALSE),"")</f>
        <v>Your pistol shots never graze.</v>
      </c>
      <c r="G22" s="115"/>
      <c r="H22" s="116"/>
      <c r="I22" s="120" t="str">
        <f>IFERROR(VLOOKUP(I21,Abilities,7,FALSE),"")</f>
        <v xml:space="preserve"> </v>
      </c>
      <c r="J22" s="115"/>
      <c r="K22" s="116"/>
      <c r="L22" s="115" t="str">
        <f>IFERROR(VLOOKUP(L21,Abilities,7,FALSE),"")</f>
        <v>Your sawed-off shotgun has +100 Aim while concealed or flanking.</v>
      </c>
      <c r="M22" s="115"/>
      <c r="N22" s="122"/>
      <c r="O22" s="39" t="s">
        <v>460</v>
      </c>
      <c r="P22" s="40"/>
      <c r="Q22" s="41"/>
      <c r="R22" s="41"/>
      <c r="S22" s="40"/>
      <c r="T22" s="40"/>
      <c r="U22" s="42"/>
      <c r="V22" s="104" t="s">
        <v>1167</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1168</v>
      </c>
      <c r="W24" s="105"/>
    </row>
    <row r="25" spans="1:23" ht="15.75" thickTop="1" x14ac:dyDescent="0.25">
      <c r="A25" s="66"/>
      <c r="B25" s="67"/>
      <c r="C25" s="67"/>
      <c r="D25" s="67"/>
      <c r="E25" s="68"/>
      <c r="F25" s="126" t="s">
        <v>1032</v>
      </c>
      <c r="G25" s="113"/>
      <c r="H25" s="4" t="str">
        <f>IFERROR(VLOOKUP(F25,Abilities,4,FALSE),"")</f>
        <v>LWD</v>
      </c>
      <c r="I25" s="127" t="s">
        <v>961</v>
      </c>
      <c r="J25" s="113"/>
      <c r="K25" s="35" t="str">
        <f>IFERROR(VLOOKUP(I25,Abilities,4,FALSE),"")</f>
        <v>BLANK</v>
      </c>
      <c r="L25" s="112" t="s">
        <v>1029</v>
      </c>
      <c r="M25" s="113"/>
      <c r="N25" s="10" t="str">
        <f>IFERROR(VLOOKUP(L25,Abilities,4,FALSE),"")</f>
        <v>LWD</v>
      </c>
      <c r="O25" s="14"/>
      <c r="P25" s="14"/>
      <c r="Q25" s="3"/>
      <c r="V25" s="102" t="s">
        <v>794</v>
      </c>
      <c r="W25" s="103"/>
    </row>
    <row r="26" spans="1:23" x14ac:dyDescent="0.25">
      <c r="A26" s="66"/>
      <c r="B26" s="67"/>
      <c r="C26" s="67"/>
      <c r="D26" s="67"/>
      <c r="E26" s="68"/>
      <c r="F26" s="114" t="str">
        <f>IFERROR(VLOOKUP(F25,Abilities,7,FALSE),"")</f>
        <v>Getting a critical hit with your pistol disables your target's weapon.</v>
      </c>
      <c r="G26" s="115"/>
      <c r="H26" s="116"/>
      <c r="I26" s="120" t="str">
        <f>IFERROR(VLOOKUP(I25,Abilities,7,FALSE),"")</f>
        <v xml:space="preserve"> </v>
      </c>
      <c r="J26" s="115"/>
      <c r="K26" s="116"/>
      <c r="L26" s="115" t="str">
        <f>IFERROR(VLOOKUP(L25,Abilities,7,FALSE),"")</f>
        <v>Hitting an enemy with your sawed-off disorients them.</v>
      </c>
      <c r="M26" s="115"/>
      <c r="N26" s="122"/>
      <c r="O26" s="14"/>
      <c r="P26" s="14"/>
      <c r="Q26" s="3"/>
      <c r="V26" s="104" t="s">
        <v>796</v>
      </c>
      <c r="W26" s="105"/>
    </row>
    <row r="27" spans="1:23" ht="15.75" thickBot="1" x14ac:dyDescent="0.3">
      <c r="A27" s="66"/>
      <c r="B27" s="67"/>
      <c r="C27" s="67"/>
      <c r="D27" s="67"/>
      <c r="E27" s="68"/>
      <c r="F27" s="117"/>
      <c r="G27" s="118"/>
      <c r="H27" s="119"/>
      <c r="I27" s="121"/>
      <c r="J27" s="118"/>
      <c r="K27" s="119"/>
      <c r="L27" s="118"/>
      <c r="M27" s="118"/>
      <c r="N27" s="123"/>
      <c r="O27" s="14"/>
      <c r="P27" s="14"/>
      <c r="Q27" s="3"/>
      <c r="V27" s="102" t="s">
        <v>797</v>
      </c>
      <c r="W27" s="103"/>
    </row>
    <row r="28" spans="1:23" ht="18" thickBot="1" x14ac:dyDescent="0.35">
      <c r="A28" s="66"/>
      <c r="B28" s="67"/>
      <c r="C28" s="67"/>
      <c r="D28" s="67"/>
      <c r="E28" s="68"/>
      <c r="F28" s="128" t="s">
        <v>445</v>
      </c>
      <c r="G28" s="129"/>
      <c r="H28" s="129"/>
      <c r="I28" s="129"/>
      <c r="J28" s="129"/>
      <c r="K28" s="129"/>
      <c r="L28" s="129"/>
      <c r="M28" s="129"/>
      <c r="N28" s="130"/>
      <c r="O28" s="14"/>
      <c r="P28" s="14"/>
      <c r="Q28" s="3"/>
      <c r="V28" s="104" t="s">
        <v>1169</v>
      </c>
      <c r="W28" s="105"/>
    </row>
    <row r="29" spans="1:23" ht="15.75" thickTop="1" x14ac:dyDescent="0.25">
      <c r="A29" s="66"/>
      <c r="B29" s="67"/>
      <c r="C29" s="67"/>
      <c r="D29" s="67"/>
      <c r="E29" s="68"/>
      <c r="F29" s="126" t="s">
        <v>1035</v>
      </c>
      <c r="G29" s="113"/>
      <c r="H29" s="4" t="str">
        <f>IFERROR(VLOOKUP(F29,Abilities,4,FALSE),"")</f>
        <v>LWD</v>
      </c>
      <c r="I29" s="127" t="s">
        <v>961</v>
      </c>
      <c r="J29" s="113"/>
      <c r="K29" s="35" t="str">
        <f>IFERROR(VLOOKUP(I29,Abilities,4,FALSE),"")</f>
        <v>BLANK</v>
      </c>
      <c r="L29" s="112" t="s">
        <v>1092</v>
      </c>
      <c r="M29" s="113"/>
      <c r="N29" s="10" t="str">
        <f>IFERROR(VLOOKUP(L29,Abilities,4,FALSE),"")</f>
        <v>LWD</v>
      </c>
      <c r="O29" s="14"/>
      <c r="P29" s="14"/>
      <c r="Q29" s="3"/>
      <c r="V29" s="102" t="s">
        <v>824</v>
      </c>
      <c r="W29" s="103"/>
    </row>
    <row r="30" spans="1:23" x14ac:dyDescent="0.25">
      <c r="A30" s="66"/>
      <c r="B30" s="67"/>
      <c r="C30" s="67"/>
      <c r="D30" s="67"/>
      <c r="E30" s="68"/>
      <c r="F30" s="114" t="str">
        <f>IFERROR(VLOOKUP(F29,Abilities,7,FALSE),"")</f>
        <v>Gain +10 crit chance with your pistol each time you hit with it. Resets on a crit.</v>
      </c>
      <c r="G30" s="115"/>
      <c r="H30" s="116"/>
      <c r="I30" s="120" t="str">
        <f>IFERROR(VLOOKUP(I29,Abilities,7,FALSE),"")</f>
        <v xml:space="preserve"> </v>
      </c>
      <c r="J30" s="115"/>
      <c r="K30" s="116"/>
      <c r="L30" s="115" t="str">
        <f>IFERROR(VLOOKUP(L29,Abilities,7,FALSE),"")</f>
        <v>Massively increased crit chance with your sawed-off shotgun against flanked enemies.</v>
      </c>
      <c r="M30" s="115"/>
      <c r="N30" s="122"/>
      <c r="O30" s="14"/>
      <c r="P30" s="14"/>
      <c r="Q30" s="3"/>
      <c r="V30" s="104" t="s">
        <v>1170</v>
      </c>
      <c r="W30" s="105"/>
    </row>
    <row r="31" spans="1:23" ht="15.75" thickBot="1" x14ac:dyDescent="0.3">
      <c r="A31" s="66"/>
      <c r="B31" s="67"/>
      <c r="C31" s="67"/>
      <c r="D31" s="67"/>
      <c r="E31" s="68"/>
      <c r="F31" s="117"/>
      <c r="G31" s="118"/>
      <c r="H31" s="119"/>
      <c r="I31" s="121"/>
      <c r="J31" s="118"/>
      <c r="K31" s="119"/>
      <c r="L31" s="118"/>
      <c r="M31" s="118"/>
      <c r="N31" s="123"/>
      <c r="O31" s="14"/>
      <c r="P31" s="14"/>
      <c r="Q31" s="3"/>
      <c r="V31" s="102" t="s">
        <v>1171</v>
      </c>
      <c r="W31" s="103"/>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1087</v>
      </c>
      <c r="J33" s="113"/>
      <c r="K33" s="35" t="str">
        <f>IFERROR(VLOOKUP(I33,Abilities,4,FALSE),"")</f>
        <v>LWD</v>
      </c>
      <c r="L33" s="127" t="s">
        <v>961</v>
      </c>
      <c r="M33" s="113"/>
      <c r="N33" s="10" t="str">
        <f>IFERROR(VLOOKUP(L33,Abilities,4,FALSE),"")</f>
        <v>BLANK</v>
      </c>
      <c r="O33" s="14"/>
      <c r="P33" s="14"/>
      <c r="Q33" s="3"/>
      <c r="V33" s="102" t="s">
        <v>1172</v>
      </c>
      <c r="W33" s="103"/>
    </row>
    <row r="34" spans="1:23" x14ac:dyDescent="0.25">
      <c r="A34" s="66"/>
      <c r="B34" s="67"/>
      <c r="C34" s="67"/>
      <c r="D34" s="67"/>
      <c r="E34" s="68"/>
      <c r="F34" s="114" t="str">
        <f>IFERROR(VLOOKUP(F33,Abilities,7,FALSE),"")</f>
        <v xml:space="preserve"> </v>
      </c>
      <c r="G34" s="115"/>
      <c r="H34" s="116"/>
      <c r="I34" s="120" t="str">
        <f>IFERROR(VLOOKUP(I33,Abilities,7,FALSE),"")</f>
        <v>You deal +1 damage with your pistol, +2 damage with your sniper rifle, and +3 damage with your sawed-off shotgun.</v>
      </c>
      <c r="J34" s="115"/>
      <c r="K34" s="116"/>
      <c r="L34" s="115" t="str">
        <f>IFERROR(VLOOKUP(L33,Abilities,7,FALSE),"")</f>
        <v xml:space="preserve"> </v>
      </c>
      <c r="M34" s="115"/>
      <c r="N34" s="122"/>
      <c r="O34" s="14"/>
      <c r="P34" s="14"/>
      <c r="Q34" s="3"/>
      <c r="V34" s="104" t="s">
        <v>1173</v>
      </c>
      <c r="W34" s="105"/>
    </row>
    <row r="35" spans="1:23" ht="15.75" thickBot="1" x14ac:dyDescent="0.3">
      <c r="A35" s="66"/>
      <c r="B35" s="67"/>
      <c r="C35" s="67"/>
      <c r="D35" s="67"/>
      <c r="E35" s="68"/>
      <c r="F35" s="117"/>
      <c r="G35" s="118"/>
      <c r="H35" s="119"/>
      <c r="I35" s="121"/>
      <c r="J35" s="118"/>
      <c r="K35" s="119"/>
      <c r="L35" s="118"/>
      <c r="M35" s="118"/>
      <c r="N35" s="123"/>
      <c r="O35" s="14"/>
      <c r="P35" s="14"/>
      <c r="Q35" s="3"/>
      <c r="V35" s="102" t="s">
        <v>1097</v>
      </c>
      <c r="W35" s="103"/>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1089</v>
      </c>
      <c r="G37" s="113"/>
      <c r="H37" s="4" t="str">
        <f>IFERROR(VLOOKUP(F37,Abilities,4,FALSE),"")</f>
        <v>LWD</v>
      </c>
      <c r="I37" s="127" t="s">
        <v>961</v>
      </c>
      <c r="J37" s="113"/>
      <c r="K37" s="35" t="str">
        <f>IFERROR(VLOOKUP(I37,Abilities,4,FALSE),"")</f>
        <v>BLANK</v>
      </c>
      <c r="L37" s="112" t="s">
        <v>1041</v>
      </c>
      <c r="M37" s="113"/>
      <c r="N37" s="10" t="str">
        <f>IFERROR(VLOOKUP(L37,Abilities,4,FALSE),"")</f>
        <v>LWD</v>
      </c>
    </row>
    <row r="38" spans="1:23" x14ac:dyDescent="0.25">
      <c r="A38" s="66"/>
      <c r="B38" s="67"/>
      <c r="C38" s="67"/>
      <c r="D38" s="67"/>
      <c r="E38" s="68"/>
      <c r="F38" s="114" t="str">
        <f>IFERROR(VLOOKUP(F37,Abilities,7,FALSE),"")</f>
        <v>Once per battle, take six shots with your pistol. Takes two actions.</v>
      </c>
      <c r="G38" s="115"/>
      <c r="H38" s="116"/>
      <c r="I38" s="120" t="str">
        <f>IFERROR(VLOOKUP(I37,Abilities,7,FALSE),"")</f>
        <v xml:space="preserve"> </v>
      </c>
      <c r="J38" s="115"/>
      <c r="K38" s="116"/>
      <c r="L38" s="115" t="str">
        <f>IFERROR(VLOOKUP(L37,Abilities,7,FALSE),"")</f>
        <v>Firing your shotgun doesn't end your turn. The first time you reload or use Spare Shells each round doesn't cost an action.</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Cowboy</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ApplyToWeaponSlot=eInvSlot_Utility, UtilityCat="pistol"),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30:W30"/>
    <mergeCell ref="V31:W31"/>
    <mergeCell ref="V34:W34"/>
    <mergeCell ref="V35:W35"/>
    <mergeCell ref="F36:N36"/>
    <mergeCell ref="F32:N32"/>
    <mergeCell ref="V32:W32"/>
    <mergeCell ref="F33:G33"/>
    <mergeCell ref="I33:J33"/>
    <mergeCell ref="L33:M33"/>
    <mergeCell ref="V33:W33"/>
    <mergeCell ref="V20:W20"/>
    <mergeCell ref="F21:G21"/>
    <mergeCell ref="I21:J21"/>
    <mergeCell ref="L21:M21"/>
    <mergeCell ref="V21:W21"/>
    <mergeCell ref="F29:G29"/>
    <mergeCell ref="I29:J29"/>
    <mergeCell ref="L29:M29"/>
    <mergeCell ref="V29:W29"/>
    <mergeCell ref="V23:W23"/>
    <mergeCell ref="F24:N24"/>
    <mergeCell ref="V24:W24"/>
    <mergeCell ref="F25:G25"/>
    <mergeCell ref="I25:J25"/>
    <mergeCell ref="L25:M25"/>
    <mergeCell ref="V25:W25"/>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9">
        <x14:dataValidation type="list" allowBlank="1" showInputMessage="1" showErrorMessage="1">
          <x14:formula1>
            <xm:f>Abilities!$A:$A</xm:f>
          </x14:formula1>
          <xm:sqref>I13 L17 F17 I21 I25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480</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LWD_Dreadnought</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433</v>
      </c>
      <c r="G4" s="113"/>
      <c r="H4" s="4" t="str">
        <f>IFERROR(VLOOKUP(F4,Abilities,4,FALSE),"")</f>
        <v>LW2</v>
      </c>
      <c r="I4" s="127"/>
      <c r="J4" s="113"/>
      <c r="K4" s="35" t="str">
        <f>IFERROR(VLOOKUP(I4,Abilities,4,FALSE),"")</f>
        <v/>
      </c>
      <c r="L4" s="112"/>
      <c r="M4" s="113"/>
      <c r="N4" s="10" t="str">
        <f>IFERROR(VLOOKUP(L4,Abilities,4,FALSE),"")</f>
        <v/>
      </c>
      <c r="O4" s="19" t="s">
        <v>12</v>
      </c>
      <c r="P4" s="4">
        <v>2</v>
      </c>
      <c r="Q4" s="20">
        <v>1</v>
      </c>
      <c r="R4" s="20"/>
      <c r="S4" s="4">
        <v>0</v>
      </c>
      <c r="T4" s="4">
        <v>1</v>
      </c>
      <c r="U4" s="10"/>
      <c r="V4" s="104" t="s">
        <v>776</v>
      </c>
      <c r="W4" s="105"/>
      <c r="X4" s="104" t="s">
        <v>800</v>
      </c>
      <c r="Y4" s="105"/>
    </row>
    <row r="5" spans="1:25" ht="15" customHeight="1" x14ac:dyDescent="0.25">
      <c r="A5" s="6"/>
      <c r="B5" s="5" t="b">
        <v>0</v>
      </c>
      <c r="C5" s="186"/>
      <c r="D5" s="187"/>
      <c r="E5" s="187"/>
      <c r="F5" s="188" t="str">
        <f>IFERROR(VLOOKUP(F4,Abilities,7,FALSE),"")</f>
        <v>This soldier is trained to use the XCOM gauntlet, a combination rocket launcher and flamethrower.</v>
      </c>
      <c r="G5" s="189"/>
      <c r="H5" s="190"/>
      <c r="I5" s="120" t="str">
        <f>IFERROR(VLOOKUP(I4,Abilities,7,FALSE),"")</f>
        <v/>
      </c>
      <c r="J5" s="115"/>
      <c r="K5" s="116"/>
      <c r="L5" s="115" t="str">
        <f>IFERROR(VLOOKUP(L4,Abilities,7,FALSE),"")</f>
        <v/>
      </c>
      <c r="M5" s="115"/>
      <c r="N5" s="122"/>
      <c r="O5" s="26" t="s">
        <v>456</v>
      </c>
      <c r="P5" s="27">
        <v>2</v>
      </c>
      <c r="Q5" s="28">
        <v>0</v>
      </c>
      <c r="R5" s="28"/>
      <c r="S5" s="27">
        <v>0</v>
      </c>
      <c r="T5" s="27"/>
      <c r="U5" s="29"/>
      <c r="V5" s="102" t="s">
        <v>820</v>
      </c>
      <c r="W5" s="103"/>
      <c r="X5" s="102" t="s">
        <v>801</v>
      </c>
      <c r="Y5" s="103"/>
    </row>
    <row r="6" spans="1:25" ht="15" customHeight="1" x14ac:dyDescent="0.25">
      <c r="A6" s="6"/>
      <c r="B6" s="5" t="b">
        <v>1</v>
      </c>
      <c r="C6" s="157" t="s">
        <v>315</v>
      </c>
      <c r="D6" s="198"/>
      <c r="E6" s="11">
        <v>0</v>
      </c>
      <c r="F6" s="191"/>
      <c r="G6" s="192"/>
      <c r="H6" s="193"/>
      <c r="I6" s="194"/>
      <c r="J6" s="195"/>
      <c r="K6" s="196"/>
      <c r="L6" s="195"/>
      <c r="M6" s="195"/>
      <c r="N6" s="197"/>
      <c r="O6" s="19" t="s">
        <v>15</v>
      </c>
      <c r="P6" s="4">
        <v>2</v>
      </c>
      <c r="Q6" s="20">
        <v>1</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0</v>
      </c>
      <c r="T7" s="27"/>
      <c r="U7" s="29"/>
      <c r="V7" s="104" t="s">
        <v>778</v>
      </c>
      <c r="W7" s="105"/>
      <c r="X7" s="102" t="s">
        <v>803</v>
      </c>
      <c r="Y7" s="103"/>
    </row>
    <row r="8" spans="1:25" ht="15" customHeight="1" thickBot="1" x14ac:dyDescent="0.3">
      <c r="A8" s="6"/>
      <c r="B8" s="5" t="b">
        <v>0</v>
      </c>
      <c r="C8" s="157" t="s">
        <v>317</v>
      </c>
      <c r="D8" s="158"/>
      <c r="E8" s="12" t="s">
        <v>756</v>
      </c>
      <c r="F8" s="114" t="str">
        <f>IFERROR(VLOOKUP(F7,Abilities,7,FALSE),"")</f>
        <v/>
      </c>
      <c r="G8" s="115"/>
      <c r="H8" s="116"/>
      <c r="I8" s="120" t="str">
        <f>IFERROR(VLOOKUP(I7,Abilities,7,FALSE),"")</f>
        <v/>
      </c>
      <c r="J8" s="115"/>
      <c r="K8" s="116"/>
      <c r="L8" s="115" t="str">
        <f>IFERROR(VLOOKUP(L7,Abilities,7,FALSE),"")</f>
        <v/>
      </c>
      <c r="M8" s="115"/>
      <c r="N8" s="122"/>
      <c r="O8" s="21" t="s">
        <v>457</v>
      </c>
      <c r="P8" s="4">
        <v>2</v>
      </c>
      <c r="Q8" s="20">
        <v>1</v>
      </c>
      <c r="R8" s="20"/>
      <c r="S8" s="4">
        <v>0</v>
      </c>
      <c r="T8" s="4"/>
      <c r="U8" s="10"/>
      <c r="V8" s="102" t="s">
        <v>779</v>
      </c>
      <c r="W8" s="103"/>
      <c r="X8" s="104" t="s">
        <v>804</v>
      </c>
      <c r="Y8" s="105"/>
    </row>
    <row r="9" spans="1:25" ht="15.75" thickBot="1" x14ac:dyDescent="0.3">
      <c r="A9" s="6"/>
      <c r="B9" s="5" t="b">
        <v>1</v>
      </c>
      <c r="C9" s="157" t="s">
        <v>319</v>
      </c>
      <c r="D9" s="158"/>
      <c r="E9" s="12">
        <v>1</v>
      </c>
      <c r="F9" s="223"/>
      <c r="G9" s="195"/>
      <c r="H9" s="196"/>
      <c r="I9" s="121"/>
      <c r="J9" s="118"/>
      <c r="K9" s="119"/>
      <c r="L9" s="195"/>
      <c r="M9" s="195"/>
      <c r="N9" s="197"/>
      <c r="O9" s="26" t="s">
        <v>458</v>
      </c>
      <c r="P9" s="27">
        <v>2</v>
      </c>
      <c r="Q9" s="28">
        <v>0</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1</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725</v>
      </c>
      <c r="G11" s="165"/>
      <c r="H11" s="166"/>
      <c r="I11" s="167"/>
      <c r="J11" s="165"/>
      <c r="K11" s="166"/>
      <c r="L11" s="165" t="s">
        <v>724</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832</v>
      </c>
      <c r="W12" s="105"/>
      <c r="X12" s="104" t="s">
        <v>807</v>
      </c>
      <c r="Y12" s="105"/>
    </row>
    <row r="13" spans="1:25" ht="16.5" thickTop="1" thickBot="1" x14ac:dyDescent="0.3">
      <c r="A13" s="6"/>
      <c r="B13" s="5" t="b">
        <v>0</v>
      </c>
      <c r="C13" s="155" t="s">
        <v>322</v>
      </c>
      <c r="D13" s="156"/>
      <c r="E13" s="13" t="s">
        <v>323</v>
      </c>
      <c r="F13" s="126" t="s">
        <v>216</v>
      </c>
      <c r="G13" s="113"/>
      <c r="H13" s="4" t="str">
        <f>IFERROR(VLOOKUP(F13,Abilities,4,FALSE),"")</f>
        <v>LW2</v>
      </c>
      <c r="I13" s="127" t="s">
        <v>961</v>
      </c>
      <c r="J13" s="113"/>
      <c r="K13" s="35" t="str">
        <f>IFERROR(VLOOKUP(I13,Abilities,4,FALSE),"")</f>
        <v>BLANK</v>
      </c>
      <c r="L13" s="112" t="s">
        <v>99</v>
      </c>
      <c r="M13" s="113"/>
      <c r="N13" s="10" t="str">
        <f>IFERROR(VLOOKUP(L13,Abilities,4,FALSE),"")</f>
        <v>LW2</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t="str">
        <f>IFERROR(VLOOKUP(L13,Abilities,7,FALSE),"")</f>
        <v>Fire a barrage that pins down a target, grants reaction fire against it if it moves, restricts the use of many abilities, and imposes a -30 penalty to the target's aim.</v>
      </c>
      <c r="M14" s="115"/>
      <c r="N14" s="122"/>
      <c r="O14" s="22"/>
      <c r="P14" s="23" t="s">
        <v>331</v>
      </c>
      <c r="Q14" s="24" t="s">
        <v>332</v>
      </c>
      <c r="R14" s="24" t="s">
        <v>333</v>
      </c>
      <c r="S14" s="24" t="s">
        <v>334</v>
      </c>
      <c r="T14" s="24" t="s">
        <v>336</v>
      </c>
      <c r="U14" s="25" t="s">
        <v>335</v>
      </c>
      <c r="V14" s="102" t="s">
        <v>833</v>
      </c>
      <c r="W14" s="103"/>
      <c r="X14" s="124" t="s">
        <v>813</v>
      </c>
      <c r="Y14" s="125"/>
    </row>
    <row r="15" spans="1:25" ht="15.75" thickBot="1" x14ac:dyDescent="0.3">
      <c r="A15" s="6"/>
      <c r="B15" s="7" t="b">
        <v>0</v>
      </c>
      <c r="F15" s="117"/>
      <c r="G15" s="118"/>
      <c r="H15" s="119"/>
      <c r="I15" s="121"/>
      <c r="J15" s="118"/>
      <c r="K15" s="119"/>
      <c r="L15" s="118"/>
      <c r="M15" s="118"/>
      <c r="N15" s="123"/>
      <c r="O15" s="19" t="s">
        <v>12</v>
      </c>
      <c r="P15" s="4">
        <v>1</v>
      </c>
      <c r="Q15" s="20">
        <v>4</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v>1</v>
      </c>
      <c r="Q16" s="28">
        <v>4</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596</v>
      </c>
      <c r="J17" s="113"/>
      <c r="K17" s="35" t="str">
        <f>IFERROR(VLOOKUP(I17,Abilities,4,FALSE),"")</f>
        <v>SOLW</v>
      </c>
      <c r="L17" s="127" t="s">
        <v>961</v>
      </c>
      <c r="M17" s="113"/>
      <c r="N17" s="10" t="str">
        <f>IFERROR(VLOOKUP(L17,Abilities,4,FALSE),"")</f>
        <v>BLANK</v>
      </c>
      <c r="O17" s="19" t="s">
        <v>15</v>
      </c>
      <c r="P17" s="4">
        <v>1</v>
      </c>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Increases Will by &lt;Ability:Will&gt;, and guarantees that you bleed out instead of die outright once per mission.</v>
      </c>
      <c r="J18" s="115"/>
      <c r="K18" s="116"/>
      <c r="L18" s="115" t="str">
        <f>IFERROR(VLOOKUP(L17,Abilities,7,FALSE),"")</f>
        <v xml:space="preserve"> </v>
      </c>
      <c r="M18" s="115"/>
      <c r="N18" s="122"/>
      <c r="O18" s="26" t="s">
        <v>21</v>
      </c>
      <c r="P18" s="27">
        <v>0</v>
      </c>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v>1</v>
      </c>
      <c r="Q19" s="20"/>
      <c r="R19" s="20"/>
      <c r="S19" s="4"/>
      <c r="T19" s="4"/>
      <c r="U19" s="10"/>
      <c r="V19" s="104" t="s">
        <v>788</v>
      </c>
      <c r="W19" s="105"/>
    </row>
    <row r="20" spans="1:23" ht="18" thickBot="1" x14ac:dyDescent="0.35">
      <c r="A20" s="135" t="s">
        <v>966</v>
      </c>
      <c r="B20" s="136"/>
      <c r="C20" s="137"/>
      <c r="D20" s="137"/>
      <c r="E20" s="138"/>
      <c r="F20" s="128" t="s">
        <v>21</v>
      </c>
      <c r="G20" s="129"/>
      <c r="H20" s="129"/>
      <c r="I20" s="129"/>
      <c r="J20" s="129"/>
      <c r="K20" s="129"/>
      <c r="L20" s="129"/>
      <c r="M20" s="129"/>
      <c r="N20" s="130"/>
      <c r="O20" s="26" t="s">
        <v>458</v>
      </c>
      <c r="P20" s="27">
        <v>0</v>
      </c>
      <c r="Q20" s="28"/>
      <c r="R20" s="28"/>
      <c r="S20" s="27"/>
      <c r="T20" s="27"/>
      <c r="U20" s="29"/>
      <c r="V20" s="104" t="s">
        <v>789</v>
      </c>
      <c r="W20" s="105"/>
    </row>
    <row r="21" spans="1:23" ht="15.75" thickTop="1" x14ac:dyDescent="0.25">
      <c r="A21" s="135"/>
      <c r="B21" s="136"/>
      <c r="C21" s="136"/>
      <c r="D21" s="136"/>
      <c r="E21" s="139"/>
      <c r="F21" s="126" t="s">
        <v>476</v>
      </c>
      <c r="G21" s="113"/>
      <c r="H21" s="4" t="str">
        <f>IFERROR(VLOOKUP(F21,Abilities,4,FALSE),"")</f>
        <v>SOLW</v>
      </c>
      <c r="I21" s="127" t="s">
        <v>961</v>
      </c>
      <c r="J21" s="113"/>
      <c r="K21" s="35" t="str">
        <f>IFERROR(VLOOKUP(I21,Abilities,4,FALSE),"")</f>
        <v>BLANK</v>
      </c>
      <c r="L21" s="112" t="s">
        <v>95</v>
      </c>
      <c r="M21" s="113"/>
      <c r="N21" s="10" t="str">
        <f>IFERROR(VLOOKUP(L21,Abilities,4,FALSE),"")</f>
        <v>XCOM2</v>
      </c>
      <c r="O21" s="36" t="s">
        <v>459</v>
      </c>
      <c r="P21" s="37">
        <v>1</v>
      </c>
      <c r="Q21" s="37"/>
      <c r="R21" s="37"/>
      <c r="S21" s="37"/>
      <c r="T21" s="37"/>
      <c r="U21" s="38"/>
      <c r="V21" s="102" t="s">
        <v>579</v>
      </c>
      <c r="W21" s="103"/>
    </row>
    <row r="22" spans="1:23" ht="15.75" thickBot="1" x14ac:dyDescent="0.3">
      <c r="A22" s="140"/>
      <c r="B22" s="141"/>
      <c r="C22" s="141"/>
      <c r="D22" s="141"/>
      <c r="E22" s="142"/>
      <c r="F22" s="114" t="str">
        <f>IFERROR(VLOOKUP(F21,Abilities,7,FALSE),"")</f>
        <v>You gain additional Armor points based on your equipped armor.</v>
      </c>
      <c r="G22" s="115"/>
      <c r="H22" s="116"/>
      <c r="I22" s="120" t="str">
        <f>IFERROR(VLOOKUP(I21,Abilities,7,FALSE),"")</f>
        <v xml:space="preserve"> </v>
      </c>
      <c r="J22" s="115"/>
      <c r="K22" s="116"/>
      <c r="L22" s="115" t="str">
        <f>IFERROR(VLOOKUP(L21,Abilities,7,FALSE),"")</f>
        <v>Your cannon attacks shred armor. Higher rank weapons shred more points of armor. The shredding effect applies before damage.</v>
      </c>
      <c r="M22" s="115"/>
      <c r="N22" s="122"/>
      <c r="O22" s="39" t="s">
        <v>460</v>
      </c>
      <c r="P22" s="40">
        <v>0</v>
      </c>
      <c r="Q22" s="41"/>
      <c r="R22" s="41"/>
      <c r="S22" s="40"/>
      <c r="T22" s="40"/>
      <c r="U22" s="42"/>
      <c r="V22" s="104" t="s">
        <v>831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616</v>
      </c>
      <c r="G25" s="113"/>
      <c r="H25" s="4" t="str">
        <f>IFERROR(VLOOKUP(F25,Abilities,4,FALSE),"")</f>
        <v>SOLW</v>
      </c>
      <c r="I25" s="127" t="s">
        <v>961</v>
      </c>
      <c r="J25" s="113"/>
      <c r="K25" s="35" t="str">
        <f>IFERROR(VLOOKUP(I25,Abilities,4,FALSE),"")</f>
        <v>BLANK</v>
      </c>
      <c r="L25" s="112" t="s">
        <v>438</v>
      </c>
      <c r="M25" s="113"/>
      <c r="N25" s="10" t="str">
        <f>IFERROR(VLOOKUP(L25,Abilities,4,FALSE),"")</f>
        <v>LW2</v>
      </c>
      <c r="O25" s="14"/>
      <c r="P25" s="14"/>
      <c r="Q25" s="3"/>
      <c r="V25" s="102" t="s">
        <v>830</v>
      </c>
      <c r="W25" s="103"/>
    </row>
    <row r="26" spans="1:23" x14ac:dyDescent="0.25">
      <c r="A26" s="66"/>
      <c r="B26" s="67"/>
      <c r="C26" s="67"/>
      <c r="D26" s="67"/>
      <c r="E26" s="68"/>
      <c r="F26" s="114" t="str">
        <f>IFERROR(VLOOKUP(F25,Abilities,7,FALSE),"")</f>
        <v>You get an additional &lt;Ability:+Defense/&gt; Defense and &lt;Ability:+Dodge/&gt; Dodge against attacks by the closest visible enemy while not flanked.</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693</v>
      </c>
      <c r="G29" s="113"/>
      <c r="H29" s="4" t="str">
        <f>IFERROR(VLOOKUP(F29,Abilities,4,FALSE),"")</f>
        <v>SOLW</v>
      </c>
      <c r="I29" s="127" t="s">
        <v>961</v>
      </c>
      <c r="J29" s="113"/>
      <c r="K29" s="35" t="str">
        <f>IFERROR(VLOOKUP(I29,Abilities,4,FALSE),"")</f>
        <v>BLANK</v>
      </c>
      <c r="L29" s="112" t="s">
        <v>439</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You are immune to multi-target and area attacks.</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599</v>
      </c>
      <c r="J33" s="113"/>
      <c r="K33" s="35" t="str">
        <f>IFERROR(VLOOKUP(I33,Abilities,4,FALSE),"")</f>
        <v>SOLW</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All squad members begin play with an energy shield that will absorb &lt;Ability:Shield/&gt; damage.</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476</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601</v>
      </c>
      <c r="G37" s="113"/>
      <c r="H37" s="4" t="str">
        <f>IFERROR(VLOOKUP(F37,Abilities,4,FALSE),"")</f>
        <v>SOLW</v>
      </c>
      <c r="I37" s="127" t="s">
        <v>961</v>
      </c>
      <c r="J37" s="113"/>
      <c r="K37" s="35" t="str">
        <f>IFERROR(VLOOKUP(I37,Abilities,4,FALSE),"")</f>
        <v>BLANK</v>
      </c>
      <c r="L37" s="112" t="s">
        <v>113</v>
      </c>
      <c r="M37" s="113"/>
      <c r="N37" s="10" t="str">
        <f>IFERROR(VLOOKUP(L37,Abilities,4,FALSE),"")</f>
        <v>XCOM2</v>
      </c>
    </row>
    <row r="38" spans="1:23" x14ac:dyDescent="0.25">
      <c r="A38" s="66"/>
      <c r="B38" s="67"/>
      <c r="C38" s="67"/>
      <c r="D38" s="67"/>
      <c r="E38" s="68"/>
      <c r="F38" s="114" t="str">
        <f>IFERROR(VLOOKUP(F37,Abilities,7,FALSE),"")</f>
        <v>Puts the Dragoon and all nearby units into stasis for one turn. Units in stasis cannot act and are immune to damage. &lt;Ability:SelfCooldown/&gt; turn cooldown.</v>
      </c>
      <c r="G38" s="115"/>
      <c r="H38" s="116"/>
      <c r="I38" s="120" t="str">
        <f>IFERROR(VLOOKUP(I37,Abilities,7,FALSE),"")</f>
        <v xml:space="preserve"> </v>
      </c>
      <c r="J38" s="115"/>
      <c r="K38" s="116"/>
      <c r="L38" s="115" t="str">
        <f>IFERROR(VLOOKUP(L37,Abilities,7,FALSE),"")</f>
        <v>Using the grenade launcher or a heavy weapon as your first action does not end the turn.</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Dreadnought</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728</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LWD_FieldScientist</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410</v>
      </c>
      <c r="G4" s="113"/>
      <c r="H4" s="4" t="str">
        <f>IFERROR(VLOOKUP(F4,Abilities,4,FALSE),"")</f>
        <v>LW2</v>
      </c>
      <c r="I4" s="127" t="s">
        <v>1047</v>
      </c>
      <c r="J4" s="113"/>
      <c r="K4" s="35" t="str">
        <f>IFERROR(VLOOKUP(I4,Abilities,4,FALSE),"")</f>
        <v>LWD</v>
      </c>
      <c r="L4" s="112" t="s">
        <v>935</v>
      </c>
      <c r="M4" s="113"/>
      <c r="N4" s="10" t="str">
        <f>IFERROR(VLOOKUP(L4,Abilities,4,FALSE),"")</f>
        <v>LWD</v>
      </c>
      <c r="O4" s="19" t="s">
        <v>12</v>
      </c>
      <c r="P4" s="4">
        <v>2</v>
      </c>
      <c r="Q4" s="20">
        <v>0</v>
      </c>
      <c r="R4" s="20"/>
      <c r="S4" s="4">
        <v>40</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t="str">
        <f>IFERROR(VLOOKUP(I4,Abilities,7,FALSE),"")</f>
        <v>Disrupt a robotic enemy with your arc thrower.</v>
      </c>
      <c r="J5" s="115"/>
      <c r="K5" s="116"/>
      <c r="L5" s="115" t="str">
        <f>IFERROR(VLOOKUP(L4,Abilities,7,FALSE),"")</f>
        <v>Revive a bleeding out ally.</v>
      </c>
      <c r="M5" s="115"/>
      <c r="N5" s="122"/>
      <c r="O5" s="26" t="s">
        <v>456</v>
      </c>
      <c r="P5" s="27">
        <v>2</v>
      </c>
      <c r="Q5" s="28">
        <v>1</v>
      </c>
      <c r="R5" s="28"/>
      <c r="S5" s="27">
        <v>5</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5</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5</v>
      </c>
      <c r="T7" s="27"/>
      <c r="U7" s="29"/>
      <c r="V7" s="104" t="s">
        <v>778</v>
      </c>
      <c r="W7" s="105"/>
      <c r="X7" s="102" t="s">
        <v>803</v>
      </c>
      <c r="Y7" s="103"/>
    </row>
    <row r="8" spans="1:25" ht="15" customHeight="1" thickBot="1" x14ac:dyDescent="0.3">
      <c r="A8" s="6"/>
      <c r="B8" s="5" t="b">
        <v>0</v>
      </c>
      <c r="C8" s="157" t="s">
        <v>317</v>
      </c>
      <c r="D8" s="158"/>
      <c r="E8" s="12" t="s">
        <v>762</v>
      </c>
      <c r="F8" s="114" t="str">
        <f>IFERROR(VLOOKUP(F7,Abilities,7,FALSE),"")</f>
        <v/>
      </c>
      <c r="G8" s="115"/>
      <c r="H8" s="116"/>
      <c r="I8" s="120" t="str">
        <f>IFERROR(VLOOKUP(I7,Abilities,7,FALSE),"")</f>
        <v/>
      </c>
      <c r="J8" s="115"/>
      <c r="K8" s="116"/>
      <c r="L8" s="115" t="str">
        <f>IFERROR(VLOOKUP(L7,Abilities,7,FALSE),"")</f>
        <v/>
      </c>
      <c r="M8" s="115"/>
      <c r="N8" s="122"/>
      <c r="O8" s="21" t="s">
        <v>457</v>
      </c>
      <c r="P8" s="4">
        <v>2</v>
      </c>
      <c r="Q8" s="20">
        <v>1</v>
      </c>
      <c r="R8" s="20"/>
      <c r="S8" s="4">
        <v>5</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5</v>
      </c>
      <c r="T9" s="27"/>
      <c r="U9" s="29"/>
      <c r="V9" s="104" t="s">
        <v>834</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5</v>
      </c>
      <c r="T10" s="37"/>
      <c r="U10" s="38"/>
      <c r="V10" s="102" t="s">
        <v>781</v>
      </c>
      <c r="W10" s="103"/>
      <c r="X10" s="104" t="s">
        <v>805</v>
      </c>
      <c r="Y10" s="105"/>
    </row>
    <row r="11" spans="1:25" ht="15.75" customHeight="1" thickBot="1" x14ac:dyDescent="0.3">
      <c r="A11" s="6"/>
      <c r="B11" s="5" t="b">
        <v>0</v>
      </c>
      <c r="C11" s="157" t="s">
        <v>320</v>
      </c>
      <c r="D11" s="158"/>
      <c r="E11" s="12">
        <v>3</v>
      </c>
      <c r="F11" s="164" t="s">
        <v>723</v>
      </c>
      <c r="G11" s="165"/>
      <c r="H11" s="166"/>
      <c r="I11" s="167"/>
      <c r="J11" s="165"/>
      <c r="K11" s="166"/>
      <c r="L11" s="165" t="s">
        <v>959</v>
      </c>
      <c r="M11" s="165"/>
      <c r="N11" s="168"/>
      <c r="O11" s="39" t="s">
        <v>460</v>
      </c>
      <c r="P11" s="40">
        <v>2</v>
      </c>
      <c r="Q11" s="41">
        <v>1</v>
      </c>
      <c r="R11" s="41"/>
      <c r="S11" s="40">
        <v>5</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932</v>
      </c>
      <c r="G13" s="113"/>
      <c r="H13" s="4" t="str">
        <f>IFERROR(VLOOKUP(F13,Abilities,4,FALSE),"")</f>
        <v>LWD</v>
      </c>
      <c r="I13" s="127" t="s">
        <v>961</v>
      </c>
      <c r="J13" s="113"/>
      <c r="K13" s="35" t="str">
        <f>IFERROR(VLOOKUP(I13,Abilities,4,FALSE),"")</f>
        <v>BLANK</v>
      </c>
      <c r="L13" s="112" t="s">
        <v>612</v>
      </c>
      <c r="M13" s="113"/>
      <c r="N13" s="10" t="str">
        <f>IFERROR(VLOOKUP(L13,Abilities,4,FALSE),"")</f>
        <v>SOLW</v>
      </c>
      <c r="O13" s="152"/>
      <c r="P13" s="153"/>
      <c r="Q13" s="153"/>
      <c r="R13" s="153"/>
      <c r="S13" s="153"/>
      <c r="T13" s="153"/>
      <c r="U13" s="154"/>
      <c r="V13" s="104" t="s">
        <v>723</v>
      </c>
      <c r="W13" s="105"/>
      <c r="X13" s="102" t="s">
        <v>808</v>
      </c>
      <c r="Y13" s="103"/>
    </row>
    <row r="14" spans="1:25" ht="15.75" thickBot="1" x14ac:dyDescent="0.3">
      <c r="A14" s="6"/>
      <c r="B14" s="7" t="b">
        <v>0</v>
      </c>
      <c r="F14" s="114" t="str">
        <f>IFERROR(VLOOKUP(F13,Abilities,7,FALSE),"")</f>
        <v>Give an ally an extra movement action.</v>
      </c>
      <c r="G14" s="115"/>
      <c r="H14" s="116"/>
      <c r="I14" s="120" t="str">
        <f>IFERROR(VLOOKUP(I13,Abilities,7,FALSE),"")</f>
        <v xml:space="preserve"> </v>
      </c>
      <c r="J14" s="115"/>
      <c r="K14" s="116"/>
      <c r="L14" s="115" t="str">
        <f>IFERROR(VLOOKUP(L13,Abilities,7,FALSE),"")</f>
        <v>Using a medikit on an injured unit also grants that unit a bonus action point.</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1</v>
      </c>
      <c r="F15" s="117"/>
      <c r="G15" s="118"/>
      <c r="H15" s="119"/>
      <c r="I15" s="121"/>
      <c r="J15" s="118"/>
      <c r="K15" s="119"/>
      <c r="L15" s="118"/>
      <c r="M15" s="118"/>
      <c r="N15" s="123"/>
      <c r="O15" s="19" t="s">
        <v>12</v>
      </c>
      <c r="P15" s="4"/>
      <c r="Q15" s="20">
        <v>4</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585</v>
      </c>
      <c r="J17" s="113"/>
      <c r="K17" s="35" t="str">
        <f>IFERROR(VLOOKUP(I17,Abilities,4,FALSE),"")</f>
        <v>SOLW</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You deal &lt;Ability:+CritDamage&gt; damage on critical hits for each enemy of the same type you have killed, to a max of &lt;Ability:+MaxCritDamage&gt;.</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967</v>
      </c>
      <c r="B20" s="136"/>
      <c r="C20" s="137"/>
      <c r="D20" s="137"/>
      <c r="E20" s="138"/>
      <c r="F20" s="128" t="s">
        <v>21</v>
      </c>
      <c r="G20" s="129"/>
      <c r="H20" s="129"/>
      <c r="I20" s="129"/>
      <c r="J20" s="129"/>
      <c r="K20" s="129"/>
      <c r="L20" s="129"/>
      <c r="M20" s="129"/>
      <c r="N20" s="130"/>
      <c r="O20" s="26" t="s">
        <v>458</v>
      </c>
      <c r="P20" s="27"/>
      <c r="Q20" s="28"/>
      <c r="R20" s="28"/>
      <c r="S20" s="27"/>
      <c r="T20" s="27"/>
      <c r="U20" s="29"/>
      <c r="V20" s="104" t="s">
        <v>795</v>
      </c>
      <c r="W20" s="105"/>
    </row>
    <row r="21" spans="1:23" ht="15.75" thickTop="1" x14ac:dyDescent="0.25">
      <c r="A21" s="135"/>
      <c r="B21" s="136"/>
      <c r="C21" s="136"/>
      <c r="D21" s="136"/>
      <c r="E21" s="139"/>
      <c r="F21" s="126" t="s">
        <v>412</v>
      </c>
      <c r="G21" s="113"/>
      <c r="H21" s="4" t="str">
        <f>IFERROR(VLOOKUP(F21,Abilities,4,FALSE),"")</f>
        <v>LW2</v>
      </c>
      <c r="I21" s="127" t="s">
        <v>961</v>
      </c>
      <c r="J21" s="113"/>
      <c r="K21" s="35" t="str">
        <f>IFERROR(VLOOKUP(I21,Abilities,4,FALSE),"")</f>
        <v>BLANK</v>
      </c>
      <c r="L21" s="112" t="s">
        <v>140</v>
      </c>
      <c r="M21" s="113"/>
      <c r="N21" s="10" t="str">
        <f>IFERROR(VLOOKUP(L21,Abilities,4,FALSE),"")</f>
        <v>XCOM2</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t="str">
        <f>IFERROR(VLOOKUP(L21,Abilities,7,FALSE),"")</f>
        <v>Equipped medikits have 2 extra charges.</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1065</v>
      </c>
      <c r="G25" s="113"/>
      <c r="H25" s="4" t="str">
        <f>IFERROR(VLOOKUP(F25,Abilities,4,FALSE),"")</f>
        <v>LWD</v>
      </c>
      <c r="I25" s="127" t="s">
        <v>961</v>
      </c>
      <c r="J25" s="113"/>
      <c r="K25" s="35" t="str">
        <f>IFERROR(VLOOKUP(I25,Abilities,4,FALSE),"")</f>
        <v>BLANK</v>
      </c>
      <c r="L25" s="112" t="s">
        <v>278</v>
      </c>
      <c r="M25" s="113"/>
      <c r="N25" s="10" t="str">
        <f>IFERROR(VLOOKUP(L25,Abilities,4,FALSE),"")</f>
        <v>LW2</v>
      </c>
      <c r="O25" s="14"/>
      <c r="P25" s="14"/>
      <c r="Q25" s="3"/>
      <c r="V25" s="102" t="s">
        <v>794</v>
      </c>
      <c r="W25" s="103"/>
    </row>
    <row r="26" spans="1:23" x14ac:dyDescent="0.25">
      <c r="A26" s="66"/>
      <c r="B26" s="67"/>
      <c r="C26" s="67"/>
      <c r="D26" s="67"/>
      <c r="E26" s="68"/>
      <c r="F26" s="114" t="str">
        <f>IFERROR(VLOOKUP(F25,Abilities,7,FALSE),"")</f>
        <v>Hotwire ruptures robots.</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1051</v>
      </c>
      <c r="G29" s="113"/>
      <c r="H29" s="4" t="str">
        <f>IFERROR(VLOOKUP(F29,Abilities,4,FALSE),"")</f>
        <v>LWD</v>
      </c>
      <c r="I29" s="127" t="s">
        <v>961</v>
      </c>
      <c r="J29" s="113"/>
      <c r="K29" s="35" t="str">
        <f>IFERROR(VLOOKUP(I29,Abilities,4,FALSE),"")</f>
        <v>BLANK</v>
      </c>
      <c r="L29" s="112" t="s">
        <v>1054</v>
      </c>
      <c r="M29" s="113"/>
      <c r="N29" s="10" t="str">
        <f>IFERROR(VLOOKUP(L29,Abilities,4,FALSE),"")</f>
        <v>LWD</v>
      </c>
      <c r="O29" s="14"/>
      <c r="P29" s="14"/>
      <c r="Q29" s="3"/>
      <c r="V29" s="102" t="s">
        <v>824</v>
      </c>
      <c r="W29" s="103"/>
    </row>
    <row r="30" spans="1:23" x14ac:dyDescent="0.25">
      <c r="A30" s="66"/>
      <c r="B30" s="67"/>
      <c r="C30" s="67"/>
      <c r="D30" s="67"/>
      <c r="E30" s="68"/>
      <c r="F30" s="114" t="str">
        <f>IFERROR(VLOOKUP(F29,Abilities,7,FALSE),"")</f>
        <v>You always carry an EMP grenade into battle. The area of your EMP grenades is increased.</v>
      </c>
      <c r="G30" s="115"/>
      <c r="H30" s="116"/>
      <c r="I30" s="120" t="str">
        <f>IFERROR(VLOOKUP(I29,Abilities,7,FALSE),"")</f>
        <v xml:space="preserve"> </v>
      </c>
      <c r="J30" s="115"/>
      <c r="K30" s="116"/>
      <c r="L30" s="115" t="str">
        <f>IFERROR(VLOOKUP(L29,Abilities,7,FALSE),"")</f>
        <v>You gain two extra charges of skullmining when equipped with a skulljack.</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1065</v>
      </c>
      <c r="J33" s="113"/>
      <c r="K33" s="35" t="str">
        <f>IFERROR(VLOOKUP(I33,Abilities,4,FALSE),"")</f>
        <v>LWD</v>
      </c>
      <c r="L33" s="127" t="s">
        <v>961</v>
      </c>
      <c r="M33" s="113"/>
      <c r="N33" s="10" t="str">
        <f>IFERROR(VLOOKUP(L33,Abilities,4,FALSE),"")</f>
        <v>BLANK</v>
      </c>
      <c r="O33" s="14"/>
      <c r="P33" s="14"/>
      <c r="Q33" s="3"/>
      <c r="V33" s="104" t="s">
        <v>784</v>
      </c>
      <c r="W33" s="105"/>
    </row>
    <row r="34" spans="1:23" x14ac:dyDescent="0.25">
      <c r="A34" s="66"/>
      <c r="B34" s="67"/>
      <c r="C34" s="67"/>
      <c r="D34" s="67"/>
      <c r="E34" s="68"/>
      <c r="F34" s="114" t="str">
        <f>IFERROR(VLOOKUP(F33,Abilities,7,FALSE),"")</f>
        <v xml:space="preserve"> </v>
      </c>
      <c r="G34" s="115"/>
      <c r="H34" s="116"/>
      <c r="I34" s="120" t="str">
        <f>IFERROR(VLOOKUP(I33,Abilities,7,FALSE),"")</f>
        <v>Hotwire ruptures robots.</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1180</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415</v>
      </c>
      <c r="G37" s="113"/>
      <c r="H37" s="4" t="str">
        <f>IFERROR(VLOOKUP(F37,Abilities,4,FALSE),"")</f>
        <v>LW2</v>
      </c>
      <c r="I37" s="127" t="s">
        <v>961</v>
      </c>
      <c r="J37" s="113"/>
      <c r="K37" s="35" t="str">
        <f>IFERROR(VLOOKUP(I37,Abilities,4,FALSE),"")</f>
        <v>BLANK</v>
      </c>
      <c r="L37" s="112" t="s">
        <v>421</v>
      </c>
      <c r="M37" s="113"/>
      <c r="N37" s="10" t="str">
        <f>IFERROR(VLOOKUP(L37,Abilities,4,FALSE),"")</f>
        <v>LW2</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FieldScientist</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473</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LWD_Fireman</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433</v>
      </c>
      <c r="G4" s="113"/>
      <c r="H4" s="4" t="str">
        <f>IFERROR(VLOOKUP(F4,Abilities,4,FALSE),"")</f>
        <v>LW2</v>
      </c>
      <c r="I4" s="127"/>
      <c r="J4" s="113"/>
      <c r="K4" s="35" t="str">
        <f>IFERROR(VLOOKUP(I4,Abilities,4,FALSE),"")</f>
        <v/>
      </c>
      <c r="L4" s="112"/>
      <c r="M4" s="113"/>
      <c r="N4" s="10" t="str">
        <f>IFERROR(VLOOKUP(L4,Abilities,4,FALSE),"")</f>
        <v/>
      </c>
      <c r="O4" s="19" t="s">
        <v>12</v>
      </c>
      <c r="P4" s="4">
        <v>2</v>
      </c>
      <c r="Q4" s="20">
        <v>0</v>
      </c>
      <c r="R4" s="20"/>
      <c r="S4" s="4">
        <v>0</v>
      </c>
      <c r="T4" s="4">
        <v>1</v>
      </c>
      <c r="U4" s="10"/>
      <c r="V4" s="104" t="s">
        <v>776</v>
      </c>
      <c r="W4" s="105"/>
      <c r="X4" s="104" t="s">
        <v>839</v>
      </c>
      <c r="Y4" s="105"/>
    </row>
    <row r="5" spans="1:25" ht="15" customHeight="1" x14ac:dyDescent="0.25">
      <c r="A5" s="6"/>
      <c r="B5" s="5" t="b">
        <v>1</v>
      </c>
      <c r="C5" s="186"/>
      <c r="D5" s="187"/>
      <c r="E5" s="187"/>
      <c r="F5" s="188" t="str">
        <f>IFERROR(VLOOKUP(F4,Abilities,7,FALSE),"")</f>
        <v>This soldier is trained to use the XCOM gauntlet, a combination rocket launcher and flamethrower.</v>
      </c>
      <c r="G5" s="189"/>
      <c r="H5" s="190"/>
      <c r="I5" s="120" t="str">
        <f>IFERROR(VLOOKUP(I4,Abilities,7,FALSE),"")</f>
        <v/>
      </c>
      <c r="J5" s="115"/>
      <c r="K5" s="116"/>
      <c r="L5" s="115" t="str">
        <f>IFERROR(VLOOKUP(L4,Abilities,7,FALSE),"")</f>
        <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1</v>
      </c>
      <c r="R7" s="28"/>
      <c r="S7" s="27">
        <v>0</v>
      </c>
      <c r="T7" s="27"/>
      <c r="U7" s="29"/>
      <c r="V7" s="104" t="s">
        <v>778</v>
      </c>
      <c r="W7" s="105"/>
      <c r="X7" s="102" t="s">
        <v>803</v>
      </c>
      <c r="Y7" s="103"/>
    </row>
    <row r="8" spans="1:25" ht="15" customHeight="1" thickBot="1" x14ac:dyDescent="0.3">
      <c r="A8" s="6"/>
      <c r="B8" s="5" t="b">
        <v>0</v>
      </c>
      <c r="C8" s="157" t="s">
        <v>317</v>
      </c>
      <c r="D8" s="158"/>
      <c r="E8" s="12" t="s">
        <v>763</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2" t="s">
        <v>779</v>
      </c>
      <c r="W8" s="103"/>
      <c r="X8" s="104" t="s">
        <v>804</v>
      </c>
      <c r="Y8" s="105"/>
    </row>
    <row r="9" spans="1:25" ht="15.75" thickBot="1" x14ac:dyDescent="0.3">
      <c r="A9" s="6"/>
      <c r="B9" s="5" t="b">
        <v>1</v>
      </c>
      <c r="C9" s="157" t="s">
        <v>319</v>
      </c>
      <c r="D9" s="158"/>
      <c r="E9" s="12">
        <v>1</v>
      </c>
      <c r="F9" s="223"/>
      <c r="G9" s="195"/>
      <c r="H9" s="196"/>
      <c r="I9" s="121"/>
      <c r="J9" s="118"/>
      <c r="K9" s="119"/>
      <c r="L9" s="195"/>
      <c r="M9" s="195"/>
      <c r="N9" s="197"/>
      <c r="O9" s="26" t="s">
        <v>458</v>
      </c>
      <c r="P9" s="27">
        <v>2</v>
      </c>
      <c r="Q9" s="28">
        <v>1</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748</v>
      </c>
      <c r="G11" s="165"/>
      <c r="H11" s="166"/>
      <c r="I11" s="167"/>
      <c r="J11" s="165"/>
      <c r="K11" s="166"/>
      <c r="L11" s="165" t="s">
        <v>749</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620</v>
      </c>
      <c r="G13" s="113"/>
      <c r="H13" s="4" t="str">
        <f>IFERROR(VLOOKUP(F13,Abilities,4,FALSE),"")</f>
        <v>SOLW</v>
      </c>
      <c r="I13" s="127" t="s">
        <v>961</v>
      </c>
      <c r="J13" s="113"/>
      <c r="K13" s="35" t="str">
        <f>IFERROR(VLOOKUP(I13,Abilities,4,FALSE),"")</f>
        <v>BLANK</v>
      </c>
      <c r="L13" s="112" t="s">
        <v>360</v>
      </c>
      <c r="M13" s="113"/>
      <c r="N13" s="10" t="str">
        <f>IFERROR(VLOOKUP(L13,Abilities,4,FALSE),"")</f>
        <v>LW2</v>
      </c>
      <c r="O13" s="152"/>
      <c r="P13" s="153"/>
      <c r="Q13" s="153"/>
      <c r="R13" s="153"/>
      <c r="S13" s="153"/>
      <c r="T13" s="153"/>
      <c r="U13" s="154"/>
      <c r="V13" s="104" t="s">
        <v>838</v>
      </c>
      <c r="W13" s="105"/>
      <c r="X13" s="102" t="s">
        <v>808</v>
      </c>
      <c r="Y13" s="103"/>
    </row>
    <row r="14" spans="1:25" ht="15.75" thickBot="1" x14ac:dyDescent="0.3">
      <c r="A14" s="6"/>
      <c r="B14" s="7" t="b">
        <v>0</v>
      </c>
      <c r="F14" s="114" t="str">
        <f>IFERROR(VLOOKUP(F13,Abilities,7,FALSE),"")</f>
        <v>Grants 1 free incendiary grenade item to your inventory.</v>
      </c>
      <c r="G14" s="115"/>
      <c r="H14" s="116"/>
      <c r="I14" s="120" t="str">
        <f>IFERROR(VLOOKUP(I13,Abilities,7,FALSE),"")</f>
        <v xml:space="preserve"> </v>
      </c>
      <c r="J14" s="115"/>
      <c r="K14" s="116"/>
      <c r="L14" s="115" t="str">
        <f>IFERROR(VLOOKUP(L13,Abilities,7,FALSE),"")</f>
        <v>Special Flamethrower shot that does limited damage but forces enemies to change their position.</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434</v>
      </c>
      <c r="J17" s="113"/>
      <c r="K17" s="35" t="str">
        <f>IFERROR(VLOOKUP(I17,Abilities,4,FALSE),"")</f>
        <v>LW2</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Your Flamethrower can now disorient enemies.</v>
      </c>
      <c r="J18" s="115"/>
      <c r="K18" s="116"/>
      <c r="L18" s="115" t="str">
        <f>IFERROR(VLOOKUP(L17,Abilities,7,FALSE),"")</f>
        <v xml:space="preserve"> </v>
      </c>
      <c r="M18" s="115"/>
      <c r="N18" s="122"/>
      <c r="O18" s="26" t="s">
        <v>21</v>
      </c>
      <c r="P18" s="27"/>
      <c r="Q18" s="28"/>
      <c r="R18" s="28"/>
      <c r="S18" s="27"/>
      <c r="T18" s="27"/>
      <c r="U18" s="29"/>
      <c r="V18" s="102" t="s">
        <v>833</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837</v>
      </c>
      <c r="W19" s="105"/>
    </row>
    <row r="20" spans="1:23" ht="18" thickBot="1" x14ac:dyDescent="0.35">
      <c r="A20" s="135" t="s">
        <v>912</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589</v>
      </c>
      <c r="G21" s="113"/>
      <c r="H21" s="4" t="str">
        <f>IFERROR(VLOOKUP(F21,Abilities,4,FALSE),"")</f>
        <v>SOLW</v>
      </c>
      <c r="I21" s="127" t="s">
        <v>961</v>
      </c>
      <c r="J21" s="113"/>
      <c r="K21" s="35" t="str">
        <f>IFERROR(VLOOKUP(I21,Abilities,4,FALSE),"")</f>
        <v>BLANK</v>
      </c>
      <c r="L21" s="112" t="s">
        <v>363</v>
      </c>
      <c r="M21" s="113"/>
      <c r="N21" s="10" t="str">
        <f>IFERROR(VLOOKUP(L21,Abilities,4,FALSE),"")</f>
        <v>LW2</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Your explosive grenades destroy most cover objects.</v>
      </c>
      <c r="G22" s="115"/>
      <c r="H22" s="116"/>
      <c r="I22" s="120" t="str">
        <f>IFERROR(VLOOKUP(I21,Abilities,7,FALSE),"")</f>
        <v xml:space="preserve"> </v>
      </c>
      <c r="J22" s="115"/>
      <c r="K22" s="116"/>
      <c r="L22" s="115">
        <f>IFERROR(VLOOKUP(L21,Abilities,7,FALSE),"")</f>
        <v>0</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836</v>
      </c>
      <c r="W24" s="105"/>
    </row>
    <row r="25" spans="1:23" ht="15.75" thickTop="1" x14ac:dyDescent="0.25">
      <c r="A25" s="66"/>
      <c r="B25" s="67"/>
      <c r="C25" s="67"/>
      <c r="D25" s="67"/>
      <c r="E25" s="68"/>
      <c r="F25" s="126" t="s">
        <v>729</v>
      </c>
      <c r="G25" s="113"/>
      <c r="H25" s="4" t="str">
        <f>IFERROR(VLOOKUP(F25,Abilities,4,FALSE),"")</f>
        <v>SOLW</v>
      </c>
      <c r="I25" s="127" t="s">
        <v>961</v>
      </c>
      <c r="J25" s="113"/>
      <c r="K25" s="35" t="str">
        <f>IFERROR(VLOOKUP(I25,Abilities,4,FALSE),"")</f>
        <v>BLANK</v>
      </c>
      <c r="L25" s="112" t="s">
        <v>438</v>
      </c>
      <c r="M25" s="113"/>
      <c r="N25" s="10" t="str">
        <f>IFERROR(VLOOKUP(L25,Abilities,4,FALSE),"")</f>
        <v>LW2</v>
      </c>
      <c r="O25" s="14"/>
      <c r="P25" s="14"/>
      <c r="Q25" s="3"/>
      <c r="V25" s="102" t="s">
        <v>794</v>
      </c>
      <c r="W25" s="103"/>
    </row>
    <row r="26" spans="1:23" x14ac:dyDescent="0.25">
      <c r="A26" s="66"/>
      <c r="B26" s="67"/>
      <c r="C26" s="67"/>
      <c r="D26" s="67"/>
      <c r="E26" s="68"/>
      <c r="F26" s="114" t="str">
        <f>IFERROR(VLOOKUP(F25,Abilities,7,FALSE),"")</f>
        <v>You have one free smoke grenade use on every mission. Launching or throwing a smoke grenade as your first action does not end your turn.</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693</v>
      </c>
      <c r="G29" s="113"/>
      <c r="H29" s="4" t="str">
        <f>IFERROR(VLOOKUP(F29,Abilities,4,FALSE),"")</f>
        <v>SOLW</v>
      </c>
      <c r="I29" s="127" t="s">
        <v>961</v>
      </c>
      <c r="J29" s="113"/>
      <c r="K29" s="35" t="str">
        <f>IFERROR(VLOOKUP(I29,Abilities,4,FALSE),"")</f>
        <v>BLANK</v>
      </c>
      <c r="L29" s="112" t="s">
        <v>439</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You are immune to multi-target and area attacks.</v>
      </c>
      <c r="G30" s="115"/>
      <c r="H30" s="116"/>
      <c r="I30" s="120" t="str">
        <f>IFERROR(VLOOKUP(I29,Abilities,7,FALSE),"")</f>
        <v xml:space="preserve"> </v>
      </c>
      <c r="J30" s="115"/>
      <c r="K30" s="116"/>
      <c r="L30" s="115">
        <f>IFERROR(VLOOKUP(L29,Abilities,7,FALSE),"")</f>
        <v>0</v>
      </c>
      <c r="M30" s="115"/>
      <c r="N30" s="122"/>
      <c r="O30" s="14"/>
      <c r="P30" s="14"/>
      <c r="Q30" s="3"/>
      <c r="V30" s="102" t="s">
        <v>509</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367</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835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368</v>
      </c>
      <c r="G37" s="113"/>
      <c r="H37" s="4" t="str">
        <f>IFERROR(VLOOKUP(F37,Abilities,4,FALSE),"")</f>
        <v>LW2</v>
      </c>
      <c r="I37" s="127" t="s">
        <v>961</v>
      </c>
      <c r="J37" s="113"/>
      <c r="K37" s="35" t="str">
        <f>IFERROR(VLOOKUP(I37,Abilities,4,FALSE),"")</f>
        <v>BLANK</v>
      </c>
      <c r="L37" s="112" t="s">
        <v>370</v>
      </c>
      <c r="M37" s="113"/>
      <c r="N37" s="10" t="str">
        <f>IFERROR(VLOOKUP(L37,Abilities,4,FALSE),"")</f>
        <v>LW2</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Fireman</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722</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LWD_Guerrilla</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943</v>
      </c>
      <c r="G4" s="113"/>
      <c r="H4" s="4" t="str">
        <f>IFERROR(VLOOKUP(F4,Abilities,4,FALSE),"")</f>
        <v>LWD</v>
      </c>
      <c r="I4" s="127" t="s">
        <v>604</v>
      </c>
      <c r="J4" s="113"/>
      <c r="K4" s="35" t="str">
        <f>IFERROR(VLOOKUP(I4,Abilities,4,FALSE),"")</f>
        <v>SOLW</v>
      </c>
      <c r="L4" s="112"/>
      <c r="M4" s="113"/>
      <c r="N4" s="10" t="str">
        <f>IFERROR(VLOOKUP(L4,Abilities,4,FALSE),"")</f>
        <v/>
      </c>
      <c r="O4" s="19" t="s">
        <v>12</v>
      </c>
      <c r="P4" s="4">
        <v>4</v>
      </c>
      <c r="Q4" s="20">
        <v>0</v>
      </c>
      <c r="R4" s="20"/>
      <c r="S4" s="4">
        <v>0</v>
      </c>
      <c r="T4" s="4">
        <v>1</v>
      </c>
      <c r="U4" s="10"/>
      <c r="V4" s="104" t="s">
        <v>840</v>
      </c>
      <c r="W4" s="105"/>
      <c r="X4" s="104" t="s">
        <v>800</v>
      </c>
      <c r="Y4" s="105"/>
    </row>
    <row r="5" spans="1:25" ht="15" customHeight="1" x14ac:dyDescent="0.25">
      <c r="A5" s="6"/>
      <c r="B5" s="5" t="b">
        <v>1</v>
      </c>
      <c r="C5" s="186"/>
      <c r="D5" s="187"/>
      <c r="E5" s="187"/>
      <c r="F5" s="188" t="str">
        <f>IFERROR(VLOOKUP(F4,Abilities,7,FALSE),"")</f>
        <v>Move a short range and attack with your knife. Doesn't end your turn.</v>
      </c>
      <c r="G5" s="189"/>
      <c r="H5" s="190"/>
      <c r="I5" s="120" t="str">
        <f>IFERROR(VLOOKUP(I4,Abilities,7,FALSE),"")</f>
        <v>You can take a standard move action after firing your &lt;Ability:WeaponName/&gt;.</v>
      </c>
      <c r="J5" s="115"/>
      <c r="K5" s="116"/>
      <c r="L5" s="115" t="str">
        <f>IFERROR(VLOOKUP(L4,Abilities,7,FALSE),"")</f>
        <v/>
      </c>
      <c r="M5" s="115"/>
      <c r="N5" s="122"/>
      <c r="O5" s="26" t="s">
        <v>456</v>
      </c>
      <c r="P5" s="27">
        <v>3</v>
      </c>
      <c r="Q5" s="28">
        <v>0</v>
      </c>
      <c r="R5" s="28"/>
      <c r="S5" s="27">
        <v>0</v>
      </c>
      <c r="T5" s="27"/>
      <c r="U5" s="29"/>
      <c r="V5" s="102" t="s">
        <v>841</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842</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3</v>
      </c>
      <c r="Q7" s="28">
        <v>1</v>
      </c>
      <c r="R7" s="28"/>
      <c r="S7" s="27">
        <v>0</v>
      </c>
      <c r="T7" s="27"/>
      <c r="U7" s="29"/>
      <c r="V7" s="104" t="s">
        <v>778</v>
      </c>
      <c r="W7" s="105"/>
      <c r="X7" s="102" t="s">
        <v>803</v>
      </c>
      <c r="Y7" s="103"/>
    </row>
    <row r="8" spans="1:25" ht="15" customHeight="1" thickBot="1" x14ac:dyDescent="0.3">
      <c r="A8" s="6"/>
      <c r="B8" s="5" t="b">
        <v>1</v>
      </c>
      <c r="C8" s="157" t="s">
        <v>317</v>
      </c>
      <c r="D8" s="158"/>
      <c r="E8" s="12" t="s">
        <v>761</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2" t="s">
        <v>843</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3</v>
      </c>
      <c r="Q9" s="28">
        <v>0</v>
      </c>
      <c r="R9" s="28"/>
      <c r="S9" s="27">
        <v>0</v>
      </c>
      <c r="T9" s="27"/>
      <c r="U9" s="29"/>
      <c r="V9" s="104" t="s">
        <v>780</v>
      </c>
      <c r="W9" s="105"/>
      <c r="X9" s="110" t="s">
        <v>811</v>
      </c>
      <c r="Y9" s="111"/>
    </row>
    <row r="10" spans="1:25" ht="18.75" x14ac:dyDescent="0.3">
      <c r="A10" s="6"/>
      <c r="B10" s="5" t="b">
        <v>1</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732</v>
      </c>
      <c r="G11" s="165"/>
      <c r="H11" s="166"/>
      <c r="I11" s="167"/>
      <c r="J11" s="165"/>
      <c r="K11" s="166"/>
      <c r="L11" s="165" t="s">
        <v>733</v>
      </c>
      <c r="M11" s="165"/>
      <c r="N11" s="168"/>
      <c r="O11" s="39" t="s">
        <v>460</v>
      </c>
      <c r="P11" s="40">
        <v>3</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238</v>
      </c>
      <c r="G13" s="113"/>
      <c r="H13" s="4" t="str">
        <f>IFERROR(VLOOKUP(F13,Abilities,4,FALSE),"")</f>
        <v>LW2</v>
      </c>
      <c r="I13" s="127" t="s">
        <v>961</v>
      </c>
      <c r="J13" s="113"/>
      <c r="K13" s="35" t="str">
        <f>IFERROR(VLOOKUP(I13,Abilities,4,FALSE),"")</f>
        <v>BLANK</v>
      </c>
      <c r="L13" s="112" t="s">
        <v>234</v>
      </c>
      <c r="M13" s="113"/>
      <c r="N13" s="10" t="str">
        <f>IFERROR(VLOOKUP(L13,Abilities,4,FALSE),"")</f>
        <v>LW2</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2" t="s">
        <v>844</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v>2</v>
      </c>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v>1</v>
      </c>
      <c r="T16" s="27"/>
      <c r="U16" s="29"/>
      <c r="V16" s="102" t="s">
        <v>785</v>
      </c>
      <c r="W16" s="103"/>
    </row>
    <row r="17" spans="1:23" ht="16.5" thickTop="1" thickBot="1" x14ac:dyDescent="0.3">
      <c r="A17" s="8"/>
      <c r="B17" s="9" t="b">
        <v>0</v>
      </c>
      <c r="F17" s="127" t="s">
        <v>961</v>
      </c>
      <c r="G17" s="113"/>
      <c r="H17" s="4" t="str">
        <f>IFERROR(VLOOKUP(F17,Abilities,4,FALSE),"")</f>
        <v>BLANK</v>
      </c>
      <c r="I17" s="127" t="s">
        <v>19</v>
      </c>
      <c r="J17" s="113"/>
      <c r="K17" s="35" t="str">
        <f>IFERROR(VLOOKUP(I17,Abilities,4,FALSE),"")</f>
        <v>LW2</v>
      </c>
      <c r="L17" s="127" t="s">
        <v>961</v>
      </c>
      <c r="M17" s="113"/>
      <c r="N17" s="10" t="str">
        <f>IFERROR(VLOOKUP(L17,Abilities,4,FALSE),"")</f>
        <v>BLANK</v>
      </c>
      <c r="O17" s="19" t="s">
        <v>15</v>
      </c>
      <c r="P17" s="4"/>
      <c r="Q17" s="20"/>
      <c r="R17" s="20"/>
      <c r="S17" s="4">
        <v>0</v>
      </c>
      <c r="T17" s="4"/>
      <c r="U17" s="10"/>
      <c r="V17" s="104" t="s">
        <v>786</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v>1</v>
      </c>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v>0</v>
      </c>
      <c r="T19" s="4"/>
      <c r="U19" s="10"/>
      <c r="V19" s="104" t="s">
        <v>788</v>
      </c>
      <c r="W19" s="105"/>
    </row>
    <row r="20" spans="1:23" ht="18" thickBot="1" x14ac:dyDescent="0.35">
      <c r="A20" s="135" t="s">
        <v>968</v>
      </c>
      <c r="B20" s="136"/>
      <c r="C20" s="137"/>
      <c r="D20" s="137"/>
      <c r="E20" s="138"/>
      <c r="F20" s="128" t="s">
        <v>21</v>
      </c>
      <c r="G20" s="129"/>
      <c r="H20" s="129"/>
      <c r="I20" s="129"/>
      <c r="J20" s="129"/>
      <c r="K20" s="129"/>
      <c r="L20" s="129"/>
      <c r="M20" s="129"/>
      <c r="N20" s="130"/>
      <c r="O20" s="26" t="s">
        <v>458</v>
      </c>
      <c r="P20" s="27"/>
      <c r="Q20" s="28"/>
      <c r="R20" s="28"/>
      <c r="S20" s="27">
        <v>1</v>
      </c>
      <c r="T20" s="27"/>
      <c r="U20" s="29"/>
      <c r="V20" s="104" t="s">
        <v>789</v>
      </c>
      <c r="W20" s="105"/>
    </row>
    <row r="21" spans="1:23" ht="15.75" thickTop="1" x14ac:dyDescent="0.25">
      <c r="A21" s="135"/>
      <c r="B21" s="136"/>
      <c r="C21" s="136"/>
      <c r="D21" s="136"/>
      <c r="E21" s="139"/>
      <c r="F21" s="126" t="s">
        <v>23</v>
      </c>
      <c r="G21" s="113"/>
      <c r="H21" s="4" t="str">
        <f>IFERROR(VLOOKUP(F21,Abilities,4,FALSE),"")</f>
        <v>XCOM2</v>
      </c>
      <c r="I21" s="127" t="s">
        <v>961</v>
      </c>
      <c r="J21" s="113"/>
      <c r="K21" s="35" t="str">
        <f>IFERROR(VLOOKUP(I21,Abilities,4,FALSE),"")</f>
        <v>BLANK</v>
      </c>
      <c r="L21" s="112" t="s">
        <v>383</v>
      </c>
      <c r="M21" s="113"/>
      <c r="N21" s="10" t="str">
        <f>IFERROR(VLOOKUP(L21,Abilities,4,FALSE),"")</f>
        <v>LW2</v>
      </c>
      <c r="O21" s="36" t="s">
        <v>459</v>
      </c>
      <c r="P21" s="37"/>
      <c r="Q21" s="37"/>
      <c r="R21" s="37"/>
      <c r="S21" s="37">
        <v>0</v>
      </c>
      <c r="T21" s="37"/>
      <c r="U21" s="38"/>
      <c r="V21" s="102" t="s">
        <v>790</v>
      </c>
      <c r="W21" s="103"/>
    </row>
    <row r="22" spans="1:23" ht="15.75" thickBot="1" x14ac:dyDescent="0.3">
      <c r="A22" s="140"/>
      <c r="B22" s="141"/>
      <c r="C22" s="141"/>
      <c r="D22" s="141"/>
      <c r="E22" s="142"/>
      <c r="F22" s="114" t="str">
        <f>IFERROR(VLOOKUP(F21,Abilities,7,FALSE),"")</f>
        <v>This soldier does not trigger overwatch or reaction fire.</v>
      </c>
      <c r="G22" s="115"/>
      <c r="H22" s="116"/>
      <c r="I22" s="120" t="str">
        <f>IFERROR(VLOOKUP(I21,Abilities,7,FALSE),"")</f>
        <v xml:space="preserve"> </v>
      </c>
      <c r="J22" s="115"/>
      <c r="K22" s="116"/>
      <c r="L22" s="115">
        <f>IFERROR(VLOOKUP(L21,Abilities,7,FALSE),"")</f>
        <v>0</v>
      </c>
      <c r="M22" s="115"/>
      <c r="N22" s="122"/>
      <c r="O22" s="39" t="s">
        <v>460</v>
      </c>
      <c r="P22" s="40"/>
      <c r="Q22" s="41"/>
      <c r="R22" s="41"/>
      <c r="S22" s="40">
        <v>1</v>
      </c>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t="s">
        <v>963</v>
      </c>
      <c r="B25" s="67"/>
      <c r="C25" s="67"/>
      <c r="D25" s="67"/>
      <c r="E25" s="68"/>
      <c r="F25" s="126" t="s">
        <v>647</v>
      </c>
      <c r="G25" s="113"/>
      <c r="H25" s="4" t="str">
        <f>IFERROR(VLOOKUP(F25,Abilities,4,FALSE),"")</f>
        <v>SOLW</v>
      </c>
      <c r="I25" s="127" t="s">
        <v>961</v>
      </c>
      <c r="J25" s="113"/>
      <c r="K25" s="35" t="str">
        <f>IFERROR(VLOOKUP(I25,Abilities,4,FALSE),"")</f>
        <v>BLANK</v>
      </c>
      <c r="L25" s="112" t="s">
        <v>946</v>
      </c>
      <c r="M25" s="113"/>
      <c r="N25" s="10" t="str">
        <f>IFERROR(VLOOKUP(L25,Abilities,4,FALSE),"")</f>
        <v>LWD</v>
      </c>
      <c r="O25" s="14"/>
      <c r="P25" s="14"/>
      <c r="Q25" s="3"/>
      <c r="V25" s="102" t="s">
        <v>794</v>
      </c>
      <c r="W25" s="103"/>
    </row>
    <row r="26" spans="1:23" x14ac:dyDescent="0.25">
      <c r="A26" s="66"/>
      <c r="B26" s="67"/>
      <c r="C26" s="67"/>
      <c r="D26" s="67"/>
      <c r="E26" s="68"/>
      <c r="F26" s="114" t="str">
        <f>IFERROR(VLOOKUP(F25,Abilities,7,FALSE),"")</f>
        <v>Your Dodge is increased by &lt;Ability:Dodge/&gt; and you are immune to poison.</v>
      </c>
      <c r="G26" s="115"/>
      <c r="H26" s="116"/>
      <c r="I26" s="120" t="str">
        <f>IFERROR(VLOOKUP(I25,Abilities,7,FALSE),"")</f>
        <v xml:space="preserve"> </v>
      </c>
      <c r="J26" s="115"/>
      <c r="K26" s="116"/>
      <c r="L26" s="115" t="str">
        <f>IFERROR(VLOOKUP(L25,Abilities,7,FALSE),"")</f>
        <v>Your Jab ability disorients enemies it damages.</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603</v>
      </c>
      <c r="G29" s="113"/>
      <c r="H29" s="4" t="str">
        <f>IFERROR(VLOOKUP(F29,Abilities,4,FALSE),"")</f>
        <v>SOLW</v>
      </c>
      <c r="I29" s="127" t="s">
        <v>961</v>
      </c>
      <c r="J29" s="113"/>
      <c r="K29" s="35" t="str">
        <f>IFERROR(VLOOKUP(I29,Abilities,4,FALSE),"")</f>
        <v>BLANK</v>
      </c>
      <c r="L29" s="112" t="s">
        <v>432</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While concealed or flanking your target, you deal &lt;Ability:+Damage/&gt; damage with your &lt;Ability:WeaponName/&gt; and take no penalties from using Squadsight.</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32</v>
      </c>
      <c r="J33" s="113"/>
      <c r="K33" s="35" t="str">
        <f>IFERROR(VLOOKUP(I33,Abilities,4,FALSE),"")</f>
        <v>XCOM2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If you score one or more kills on your turn, you are granted a single bonus move.</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600</v>
      </c>
      <c r="G37" s="113"/>
      <c r="H37" s="4" t="str">
        <f>IFERROR(VLOOKUP(F37,Abilities,4,FALSE),"")</f>
        <v>SOLW</v>
      </c>
      <c r="I37" s="127" t="s">
        <v>961</v>
      </c>
      <c r="J37" s="113"/>
      <c r="K37" s="35" t="str">
        <f>IFERROR(VLOOKUP(I37,Abilities,4,FALSE),"")</f>
        <v>BLANK</v>
      </c>
      <c r="L37" s="112" t="s">
        <v>82</v>
      </c>
      <c r="M37" s="113"/>
      <c r="N37" s="10" t="str">
        <f>IFERROR(VLOOKUP(L37,Abilities,4,FALSE),"")</f>
        <v>XCOM2</v>
      </c>
    </row>
    <row r="38" spans="1:23" x14ac:dyDescent="0.25">
      <c r="A38" s="66"/>
      <c r="B38" s="67"/>
      <c r="C38" s="67"/>
      <c r="D38" s="67"/>
      <c r="E38" s="68"/>
      <c r="F38" s="114" t="str">
        <f>IFERROR(VLOOKUP(F37,Abilities,7,FALSE),"")</f>
        <v>If you begin your turn with no enemies able to see you, you gain concealment. This effect has a 2 turn cooldown.</v>
      </c>
      <c r="G38" s="115"/>
      <c r="H38" s="116"/>
      <c r="I38" s="120" t="str">
        <f>IFERROR(VLOOKUP(I37,Abilities,7,FALSE),"")</f>
        <v xml:space="preserve"> </v>
      </c>
      <c r="J38" s="115"/>
      <c r="K38" s="116"/>
      <c r="L38" s="115" t="str">
        <f>IFERROR(VLOOKUP(L37,Abilities,7,FALSE),"")</f>
        <v>Each kill made with your sniper rifle completely restores your actions. With each consecutive kill you get a critical chance penalty. 4 turn cooldown.</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Guerrilla</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(AbilityName="CoupDeGrace",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282</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LWD_Gunner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943</v>
      </c>
      <c r="G4" s="113"/>
      <c r="H4" s="4" t="str">
        <f>IFERROR(VLOOKUP(F4,Abilities,4,FALSE),"")</f>
        <v>LWD</v>
      </c>
      <c r="I4" s="127" t="s">
        <v>99</v>
      </c>
      <c r="J4" s="113"/>
      <c r="K4" s="35" t="str">
        <f>IFERROR(VLOOKUP(I4,Abilities,4,FALSE),"")</f>
        <v>LW2</v>
      </c>
      <c r="L4" s="112" t="s">
        <v>280</v>
      </c>
      <c r="M4" s="113"/>
      <c r="N4" s="10" t="str">
        <f>IFERROR(VLOOKUP(L4,Abilities,4,FALSE),"")</f>
        <v>LW2</v>
      </c>
      <c r="O4" s="19" t="s">
        <v>12</v>
      </c>
      <c r="P4" s="4">
        <v>3</v>
      </c>
      <c r="Q4" s="20">
        <v>0</v>
      </c>
      <c r="R4" s="20"/>
      <c r="S4" s="4">
        <v>0</v>
      </c>
      <c r="T4" s="4">
        <v>1</v>
      </c>
      <c r="U4" s="10"/>
      <c r="V4" s="104" t="s">
        <v>776</v>
      </c>
      <c r="W4" s="105"/>
      <c r="X4" s="104" t="s">
        <v>800</v>
      </c>
      <c r="Y4" s="105"/>
    </row>
    <row r="5" spans="1:25" ht="15" customHeight="1" x14ac:dyDescent="0.25">
      <c r="A5" s="6"/>
      <c r="B5" s="5" t="b">
        <v>0</v>
      </c>
      <c r="C5" s="186"/>
      <c r="D5" s="187"/>
      <c r="E5" s="187"/>
      <c r="F5" s="188" t="str">
        <f>IFERROR(VLOOKUP(F4,Abilities,7,FALSE),"")</f>
        <v>Move a short range and attack with your knife. Doesn't end your turn.</v>
      </c>
      <c r="G5" s="189"/>
      <c r="H5" s="190"/>
      <c r="I5" s="120" t="str">
        <f>IFERROR(VLOOKUP(I4,Abilities,7,FALSE),"")</f>
        <v>Fire a barrage that pins down a target, grants reaction fire against it if it moves, restricts the use of many abilities, and imposes a -30 penalty to the target's aim.</v>
      </c>
      <c r="J5" s="115"/>
      <c r="K5" s="116"/>
      <c r="L5" s="115">
        <f>IFERROR(VLOOKUP(L4,Abilities,7,FALSE),"")</f>
        <v>0</v>
      </c>
      <c r="M5" s="115"/>
      <c r="N5" s="122"/>
      <c r="O5" s="26" t="s">
        <v>456</v>
      </c>
      <c r="P5" s="27">
        <v>2</v>
      </c>
      <c r="Q5" s="28">
        <v>1</v>
      </c>
      <c r="R5" s="28"/>
      <c r="S5" s="27">
        <v>0</v>
      </c>
      <c r="T5" s="27"/>
      <c r="U5" s="29"/>
      <c r="V5" s="102" t="s">
        <v>820</v>
      </c>
      <c r="W5" s="103"/>
      <c r="X5" s="102" t="s">
        <v>801</v>
      </c>
      <c r="Y5" s="103"/>
    </row>
    <row r="6" spans="1:25" ht="15" customHeight="1" x14ac:dyDescent="0.25">
      <c r="A6" s="6"/>
      <c r="B6" s="5" t="b">
        <v>1</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0</v>
      </c>
      <c r="T7" s="27"/>
      <c r="U7" s="29"/>
      <c r="V7" s="104" t="s">
        <v>778</v>
      </c>
      <c r="W7" s="105"/>
      <c r="X7" s="102" t="s">
        <v>803</v>
      </c>
      <c r="Y7" s="103"/>
    </row>
    <row r="8" spans="1:25" ht="15" customHeight="1" thickBot="1" x14ac:dyDescent="0.3">
      <c r="A8" s="6"/>
      <c r="B8" s="5" t="b">
        <v>0</v>
      </c>
      <c r="C8" s="157" t="s">
        <v>317</v>
      </c>
      <c r="D8" s="158"/>
      <c r="E8" s="12" t="s">
        <v>635</v>
      </c>
      <c r="F8" s="114" t="str">
        <f>IFERROR(VLOOKUP(F7,Abilities,7,FALSE),"")</f>
        <v/>
      </c>
      <c r="G8" s="115"/>
      <c r="H8" s="116"/>
      <c r="I8" s="120" t="str">
        <f>IFERROR(VLOOKUP(I7,Abilities,7,FALSE),"")</f>
        <v/>
      </c>
      <c r="J8" s="115"/>
      <c r="K8" s="116"/>
      <c r="L8" s="115" t="str">
        <f>IFERROR(VLOOKUP(L7,Abilities,7,FALSE),"")</f>
        <v/>
      </c>
      <c r="M8" s="115"/>
      <c r="N8" s="122"/>
      <c r="O8" s="21" t="s">
        <v>457</v>
      </c>
      <c r="P8" s="4">
        <v>3</v>
      </c>
      <c r="Q8" s="20">
        <v>1</v>
      </c>
      <c r="R8" s="20"/>
      <c r="S8" s="4">
        <v>0</v>
      </c>
      <c r="T8" s="4"/>
      <c r="U8" s="10"/>
      <c r="V8" s="102" t="s">
        <v>845</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0</v>
      </c>
      <c r="T9" s="27"/>
      <c r="U9" s="29"/>
      <c r="V9" s="104" t="s">
        <v>780</v>
      </c>
      <c r="W9" s="105"/>
      <c r="X9" s="110" t="s">
        <v>811</v>
      </c>
      <c r="Y9" s="111"/>
    </row>
    <row r="10" spans="1:25" ht="18.75" x14ac:dyDescent="0.3">
      <c r="A10" s="6"/>
      <c r="B10" s="5" t="b">
        <v>1</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462</v>
      </c>
      <c r="G11" s="165"/>
      <c r="H11" s="166"/>
      <c r="I11" s="167"/>
      <c r="J11" s="165"/>
      <c r="K11" s="166"/>
      <c r="L11" s="165" t="s">
        <v>463</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95</v>
      </c>
      <c r="G13" s="113"/>
      <c r="H13" s="4" t="str">
        <f>IFERROR(VLOOKUP(F13,Abilities,4,FALSE),"")</f>
        <v>XCOM2</v>
      </c>
      <c r="I13" s="127" t="s">
        <v>961</v>
      </c>
      <c r="J13" s="113"/>
      <c r="K13" s="35" t="str">
        <f>IFERROR(VLOOKUP(I13,Abilities,4,FALSE),"")</f>
        <v>BLANK</v>
      </c>
      <c r="L13" s="112" t="s">
        <v>290</v>
      </c>
      <c r="M13" s="113"/>
      <c r="N13" s="10" t="str">
        <f>IFERROR(VLOOKUP(L13,Abilities,4,FALSE),"")</f>
        <v>LW2</v>
      </c>
      <c r="O13" s="152"/>
      <c r="P13" s="153"/>
      <c r="Q13" s="153"/>
      <c r="R13" s="153"/>
      <c r="S13" s="153"/>
      <c r="T13" s="153"/>
      <c r="U13" s="154"/>
      <c r="V13" s="104" t="s">
        <v>817</v>
      </c>
      <c r="W13" s="105"/>
      <c r="X13" s="102" t="s">
        <v>808</v>
      </c>
      <c r="Y13" s="103"/>
    </row>
    <row r="14" spans="1:25" ht="15.75" thickBot="1" x14ac:dyDescent="0.3">
      <c r="A14" s="6"/>
      <c r="B14" s="7" t="b">
        <v>0</v>
      </c>
      <c r="F14" s="114" t="str">
        <f>IFERROR(VLOOKUP(F13,Abilities,7,FALSE),"")</f>
        <v>Your cannon attacks shred armor. Higher rank weapons shred more points of armor. The shredding effect applies before damage.</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c r="T16" s="27"/>
      <c r="U16" s="29"/>
      <c r="V16" s="102" t="s">
        <v>846</v>
      </c>
      <c r="W16" s="103"/>
    </row>
    <row r="17" spans="1:23" ht="16.5" thickTop="1" thickBot="1" x14ac:dyDescent="0.3">
      <c r="A17" s="8"/>
      <c r="B17" s="9" t="b">
        <v>0</v>
      </c>
      <c r="F17" s="127" t="s">
        <v>961</v>
      </c>
      <c r="G17" s="113"/>
      <c r="H17" s="4" t="str">
        <f>IFERROR(VLOOKUP(F17,Abilities,4,FALSE),"")</f>
        <v>BLANK</v>
      </c>
      <c r="I17" s="127" t="s">
        <v>595</v>
      </c>
      <c r="J17" s="113"/>
      <c r="K17" s="35" t="str">
        <f>IFERROR(VLOOKUP(I17,Abilities,4,FALSE),"")</f>
        <v>SOLW</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Attack all targets in a straight line and damage or destroy cover. Cannon only. Uses &lt;Ability:SelfAmmoCost/&gt; ammo.</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969</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97</v>
      </c>
      <c r="G21" s="113"/>
      <c r="H21" s="4" t="str">
        <f>IFERROR(VLOOKUP(F21,Abilities,4,FALSE),"")</f>
        <v>XCOM2</v>
      </c>
      <c r="I21" s="127" t="s">
        <v>961</v>
      </c>
      <c r="J21" s="113"/>
      <c r="K21" s="35" t="str">
        <f>IFERROR(VLOOKUP(I21,Abilities,4,FALSE),"")</f>
        <v>BLANK</v>
      </c>
      <c r="L21" s="127" t="s">
        <v>291</v>
      </c>
      <c r="M21" s="113"/>
      <c r="N21" s="10" t="str">
        <f>IFERROR(VLOOKUP(L21,Abilities,4,FALSE),"")</f>
        <v>LW2</v>
      </c>
      <c r="O21" s="36" t="s">
        <v>459</v>
      </c>
      <c r="P21" s="37"/>
      <c r="Q21" s="37"/>
      <c r="R21" s="37"/>
      <c r="S21" s="37"/>
      <c r="T21" s="37"/>
      <c r="U21" s="38"/>
      <c r="V21" s="102" t="s">
        <v>816</v>
      </c>
      <c r="W21" s="103"/>
    </row>
    <row r="22" spans="1:23" ht="15.75" thickBot="1" x14ac:dyDescent="0.3">
      <c r="A22" s="140"/>
      <c r="B22" s="141"/>
      <c r="C22" s="141"/>
      <c r="D22" s="141"/>
      <c r="E22" s="142"/>
      <c r="F22" s="114" t="str">
        <f>IFERROR(VLOOKUP(F21,Abilities,7,FALSE),"")</f>
        <v>Unleash a volley of bullets at your target's cover, significantly damaging or destroying it. Deals no damage to your target. Uses 2 ammo. 3-turn cooldown.</v>
      </c>
      <c r="G22" s="115"/>
      <c r="H22" s="116"/>
      <c r="I22" s="120" t="str">
        <f>IFERROR(VLOOKUP(I21,Abilities,7,FALSE),"")</f>
        <v xml:space="preserve"> </v>
      </c>
      <c r="J22" s="115"/>
      <c r="K22" s="116"/>
      <c r="L22" s="115">
        <f>IFERROR(VLOOKUP(L21,Abilities,7,FALSE),"")</f>
        <v>0</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110</v>
      </c>
      <c r="G25" s="113"/>
      <c r="H25" s="4" t="str">
        <f>IFERROR(VLOOKUP(F25,Abilities,4,FALSE),"")</f>
        <v>XCOM2</v>
      </c>
      <c r="I25" s="127" t="s">
        <v>961</v>
      </c>
      <c r="J25" s="113"/>
      <c r="K25" s="35" t="str">
        <f>IFERROR(VLOOKUP(I25,Abilities,4,FALSE),"")</f>
        <v>BLANK</v>
      </c>
      <c r="L25" s="112" t="s">
        <v>384</v>
      </c>
      <c r="M25" s="113"/>
      <c r="N25" s="10" t="str">
        <f>IFERROR(VLOOKUP(L25,Abilities,4,FALSE),"")</f>
        <v>LW2</v>
      </c>
      <c r="O25" s="14"/>
      <c r="P25" s="14"/>
      <c r="Q25" s="3"/>
      <c r="V25" s="102" t="s">
        <v>794</v>
      </c>
      <c r="W25" s="103"/>
    </row>
    <row r="26" spans="1:23" x14ac:dyDescent="0.25">
      <c r="A26" s="66"/>
      <c r="B26" s="67"/>
      <c r="C26" s="67"/>
      <c r="D26" s="67"/>
      <c r="E26" s="68"/>
      <c r="F26" s="114" t="str">
        <f>IFERROR(VLOOKUP(F25,Abilities,7,FALSE),"")</f>
        <v>Fires a shot with a penalty of 15 to aim. If it hits, immediately fire another shot at the target. Uses 2 ammo. 3-turn cooldown.</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293</v>
      </c>
      <c r="G29" s="113"/>
      <c r="H29" s="4" t="str">
        <f>IFERROR(VLOOKUP(F29,Abilities,4,FALSE),"")</f>
        <v>LW2</v>
      </c>
      <c r="I29" s="127" t="s">
        <v>961</v>
      </c>
      <c r="J29" s="113"/>
      <c r="K29" s="35" t="str">
        <f>IFERROR(VLOOKUP(I29,Abilities,4,FALSE),"")</f>
        <v>BLANK</v>
      </c>
      <c r="L29" s="112" t="s">
        <v>286</v>
      </c>
      <c r="M29" s="113"/>
      <c r="N29" s="10" t="str">
        <f>IFERROR(VLOOKUP(L29,Abilities,4,FALSE),"")</f>
        <v>LW2</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847</v>
      </c>
      <c r="W32" s="105"/>
    </row>
    <row r="33" spans="1:23" ht="15.75" thickTop="1" x14ac:dyDescent="0.25">
      <c r="A33" s="66"/>
      <c r="B33" s="67"/>
      <c r="C33" s="67"/>
      <c r="D33" s="67"/>
      <c r="E33" s="68"/>
      <c r="F33" s="127" t="s">
        <v>961</v>
      </c>
      <c r="G33" s="113"/>
      <c r="H33" s="4" t="str">
        <f>IFERROR(VLOOKUP(F33,Abilities,4,FALSE),"")</f>
        <v>BLANK</v>
      </c>
      <c r="I33" s="127" t="s">
        <v>288</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118</v>
      </c>
      <c r="G37" s="113"/>
      <c r="H37" s="4" t="str">
        <f>IFERROR(VLOOKUP(F37,Abilities,4,FALSE),"")</f>
        <v>XCOM2</v>
      </c>
      <c r="I37" s="127" t="s">
        <v>961</v>
      </c>
      <c r="J37" s="113"/>
      <c r="K37" s="35" t="str">
        <f>IFERROR(VLOOKUP(I37,Abilities,4,FALSE),"")</f>
        <v>BLANK</v>
      </c>
      <c r="L37" s="112" t="s">
        <v>71</v>
      </c>
      <c r="M37" s="113"/>
      <c r="N37" s="10" t="str">
        <f>IFERROR(VLOOKUP(L37,Abilities,4,FALSE),"")</f>
        <v>XCOM2</v>
      </c>
    </row>
    <row r="38" spans="1:23" x14ac:dyDescent="0.25">
      <c r="A38" s="66"/>
      <c r="B38" s="67"/>
      <c r="C38" s="67"/>
      <c r="D38" s="67"/>
      <c r="E38" s="68"/>
      <c r="F38" s="114" t="str">
        <f>IFERROR(VLOOKUP(F37,Abilities,7,FALSE),"")</f>
        <v>Fire a hail of bullets in a cone damaging every enemy and all cover within. Uses 3 ammo, 5 turn cool down.</v>
      </c>
      <c r="G38" s="115"/>
      <c r="H38" s="116"/>
      <c r="I38" s="120" t="str">
        <f>IFERROR(VLOOKUP(I37,Abilities,7,FALSE),"")</f>
        <v xml:space="preserve"> </v>
      </c>
      <c r="J38" s="115"/>
      <c r="K38" s="116"/>
      <c r="L38" s="115" t="str">
        <f>IFERROR(VLOOKUP(L37,Abilities,7,FALSE),"")</f>
        <v>Take a reaction shot against any enemy that moves or attacks within a cone of fire. 3 turn cooldown.</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Gunner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470</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LWD_Hacker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440</v>
      </c>
      <c r="G4" s="113"/>
      <c r="H4" s="4" t="str">
        <f>IFERROR(VLOOKUP(F4,Abilities,4,FALSE),"")</f>
        <v>LW2</v>
      </c>
      <c r="I4" s="127" t="s">
        <v>597</v>
      </c>
      <c r="J4" s="113"/>
      <c r="K4" s="35" t="str">
        <f>IFERROR(VLOOKUP(I4,Abilities,4,FALSE),"")</f>
        <v>SOLW</v>
      </c>
      <c r="L4" s="112" t="s">
        <v>137</v>
      </c>
      <c r="M4" s="113"/>
      <c r="N4" s="10" t="str">
        <f>IFERROR(VLOOKUP(L4,Abilities,4,FALSE),"")</f>
        <v>XCOM2</v>
      </c>
      <c r="O4" s="19" t="s">
        <v>12</v>
      </c>
      <c r="P4" s="4">
        <v>2</v>
      </c>
      <c r="Q4" s="20">
        <v>0</v>
      </c>
      <c r="R4" s="20"/>
      <c r="S4" s="4">
        <v>40</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t="str">
        <f>IFERROR(VLOOKUP(I4,Abilities,7,FALSE),"")</f>
        <v>Hacking an enemy unit grants a permanent boost to Hacking score.</v>
      </c>
      <c r="J5" s="115"/>
      <c r="K5" s="116"/>
      <c r="L5" s="115" t="str">
        <f>IFERROR(VLOOKUP(L4,Abilities,7,FALSE),"")</f>
        <v>You may target robotic and mechanical enemies with your GREMLIN, attempting to hack them and seize control.</v>
      </c>
      <c r="M5" s="115"/>
      <c r="N5" s="122"/>
      <c r="O5" s="26" t="s">
        <v>456</v>
      </c>
      <c r="P5" s="27">
        <v>2</v>
      </c>
      <c r="Q5" s="28">
        <v>1</v>
      </c>
      <c r="R5" s="28"/>
      <c r="S5" s="27">
        <v>5</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5</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5</v>
      </c>
      <c r="T7" s="27"/>
      <c r="U7" s="29"/>
      <c r="V7" s="104" t="s">
        <v>778</v>
      </c>
      <c r="W7" s="105"/>
      <c r="X7" s="102" t="s">
        <v>803</v>
      </c>
      <c r="Y7" s="103"/>
    </row>
    <row r="8" spans="1:25" ht="15" customHeight="1" thickBot="1" x14ac:dyDescent="0.3">
      <c r="A8" s="6"/>
      <c r="B8" s="5" t="b">
        <v>0</v>
      </c>
      <c r="C8" s="157" t="s">
        <v>317</v>
      </c>
      <c r="D8" s="158"/>
      <c r="E8" s="12" t="s">
        <v>764</v>
      </c>
      <c r="F8" s="114" t="str">
        <f>IFERROR(VLOOKUP(F7,Abilities,7,FALSE),"")</f>
        <v/>
      </c>
      <c r="G8" s="115"/>
      <c r="H8" s="116"/>
      <c r="I8" s="120" t="str">
        <f>IFERROR(VLOOKUP(I7,Abilities,7,FALSE),"")</f>
        <v/>
      </c>
      <c r="J8" s="115"/>
      <c r="K8" s="116"/>
      <c r="L8" s="115" t="str">
        <f>IFERROR(VLOOKUP(L7,Abilities,7,FALSE),"")</f>
        <v/>
      </c>
      <c r="M8" s="115"/>
      <c r="N8" s="122"/>
      <c r="O8" s="21" t="s">
        <v>457</v>
      </c>
      <c r="P8" s="4">
        <v>2</v>
      </c>
      <c r="Q8" s="20">
        <v>1</v>
      </c>
      <c r="R8" s="20"/>
      <c r="S8" s="4">
        <v>5</v>
      </c>
      <c r="T8" s="4"/>
      <c r="U8" s="10"/>
      <c r="V8" s="102" t="s">
        <v>850</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5</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5</v>
      </c>
      <c r="T10" s="37"/>
      <c r="U10" s="38"/>
      <c r="V10" s="102" t="s">
        <v>781</v>
      </c>
      <c r="W10" s="103"/>
      <c r="X10" s="104" t="s">
        <v>805</v>
      </c>
      <c r="Y10" s="105"/>
    </row>
    <row r="11" spans="1:25" ht="15.75" customHeight="1" thickBot="1" x14ac:dyDescent="0.3">
      <c r="A11" s="6"/>
      <c r="B11" s="5" t="b">
        <v>0</v>
      </c>
      <c r="C11" s="157" t="s">
        <v>320</v>
      </c>
      <c r="D11" s="158"/>
      <c r="E11" s="12">
        <v>4</v>
      </c>
      <c r="F11" s="164" t="s">
        <v>735</v>
      </c>
      <c r="G11" s="165"/>
      <c r="H11" s="166"/>
      <c r="I11" s="167"/>
      <c r="J11" s="165"/>
      <c r="K11" s="166"/>
      <c r="L11" s="165" t="s">
        <v>734</v>
      </c>
      <c r="M11" s="165"/>
      <c r="N11" s="168"/>
      <c r="O11" s="39" t="s">
        <v>460</v>
      </c>
      <c r="P11" s="40">
        <v>2</v>
      </c>
      <c r="Q11" s="41">
        <v>1</v>
      </c>
      <c r="R11" s="41"/>
      <c r="S11" s="40">
        <v>5</v>
      </c>
      <c r="T11" s="40"/>
      <c r="U11" s="42"/>
      <c r="V11" s="104" t="s">
        <v>823</v>
      </c>
      <c r="W11" s="105"/>
      <c r="X11" s="102" t="s">
        <v>806</v>
      </c>
      <c r="Y11" s="103"/>
    </row>
    <row r="12" spans="1:25" ht="18" customHeight="1" thickBot="1" x14ac:dyDescent="0.35">
      <c r="A12" s="6"/>
      <c r="B12" s="5" t="b">
        <v>1</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594</v>
      </c>
      <c r="G13" s="113"/>
      <c r="H13" s="4" t="str">
        <f>IFERROR(VLOOKUP(F13,Abilities,4,FALSE),"")</f>
        <v>SOLW</v>
      </c>
      <c r="I13" s="127" t="s">
        <v>961</v>
      </c>
      <c r="J13" s="113"/>
      <c r="K13" s="35" t="str">
        <f>IFERROR(VLOOKUP(I13,Abilities,4,FALSE),"")</f>
        <v>BLANK</v>
      </c>
      <c r="L13" s="112" t="s">
        <v>273</v>
      </c>
      <c r="M13" s="113"/>
      <c r="N13" s="10" t="str">
        <f>IFERROR(VLOOKUP(L13,Abilities,4,FALSE),"")</f>
        <v>LW2</v>
      </c>
      <c r="O13" s="152"/>
      <c r="P13" s="153"/>
      <c r="Q13" s="153"/>
      <c r="R13" s="153"/>
      <c r="S13" s="153"/>
      <c r="T13" s="153"/>
      <c r="U13" s="154"/>
      <c r="V13" s="104" t="s">
        <v>795</v>
      </c>
      <c r="W13" s="105"/>
      <c r="X13" s="102" t="s">
        <v>808</v>
      </c>
      <c r="Y13" s="103"/>
    </row>
    <row r="14" spans="1:25" ht="15.75" thickBot="1" x14ac:dyDescent="0.3">
      <c r="A14" s="6"/>
      <c r="B14" s="7" t="b">
        <v>0</v>
      </c>
      <c r="F14" s="114" t="str">
        <f>IFERROR(VLOOKUP(F13,Abilities,7,FALSE),"")</f>
        <v>Give a friendly unit concealment.</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2" t="s">
        <v>851</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124</v>
      </c>
      <c r="J17" s="113"/>
      <c r="K17" s="35" t="str">
        <f>IFERROR(VLOOKUP(I17,Abilities,4,FALSE),"")</f>
        <v>XCOM2</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Give +20 defense to an ally.</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913</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149</v>
      </c>
      <c r="G21" s="113"/>
      <c r="H21" s="4" t="str">
        <f>IFERROR(VLOOKUP(F21,Abilities,4,FALSE),"")</f>
        <v>XCOM2</v>
      </c>
      <c r="I21" s="127" t="s">
        <v>961</v>
      </c>
      <c r="J21" s="113"/>
      <c r="K21" s="35" t="str">
        <f>IFERROR(VLOOKUP(I21,Abilities,4,FALSE),"")</f>
        <v>BLANK</v>
      </c>
      <c r="L21" s="112" t="s">
        <v>131</v>
      </c>
      <c r="M21" s="113"/>
      <c r="N21" s="10" t="str">
        <f>IFERROR(VLOOKUP(L21,Abilities,4,FALSE),"")</f>
        <v>XCOM2</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15"/>
      <c r="H22" s="116"/>
      <c r="I22" s="120" t="str">
        <f>IFERROR(VLOOKUP(I21,Abilities,7,FALSE),"")</f>
        <v xml:space="preserve"> </v>
      </c>
      <c r="J22" s="115"/>
      <c r="K22" s="116"/>
      <c r="L22" s="115" t="str">
        <f>IFERROR(VLOOKUP(L21,Abilities,7,FALSE),"")</f>
        <v>Send the GREMLIN to an enemy to jolt them, dealing guaranteed damage, which is increased against robotic enemies. Twice per mission.</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848</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598</v>
      </c>
      <c r="G25" s="113"/>
      <c r="H25" s="4" t="str">
        <f>IFERROR(VLOOKUP(F25,Abilities,4,FALSE),"")</f>
        <v>SOLW</v>
      </c>
      <c r="I25" s="127" t="s">
        <v>961</v>
      </c>
      <c r="J25" s="113"/>
      <c r="K25" s="35" t="str">
        <f>IFERROR(VLOOKUP(I25,Abilities,4,FALSE),"")</f>
        <v>BLANK</v>
      </c>
      <c r="L25" s="112" t="s">
        <v>374</v>
      </c>
      <c r="M25" s="113"/>
      <c r="N25" s="10" t="str">
        <f>IFERROR(VLOOKUP(L25,Abilities,4,FALSE),"")</f>
        <v>LW2</v>
      </c>
      <c r="O25" s="14"/>
      <c r="P25" s="14"/>
      <c r="Q25" s="3"/>
      <c r="V25" s="102" t="s">
        <v>794</v>
      </c>
      <c r="W25" s="103"/>
    </row>
    <row r="26" spans="1:23" x14ac:dyDescent="0.25">
      <c r="A26" s="66"/>
      <c r="B26" s="67"/>
      <c r="C26" s="67"/>
      <c r="D26" s="67"/>
      <c r="E26" s="68"/>
      <c r="F26" s="114" t="str">
        <f>IFERROR(VLOOKUP(F25,Abilities,7,FALSE),"")</f>
        <v>All squad members get &lt;Ability:+Crit&gt; Crit chance against enemies you can see.</v>
      </c>
      <c r="G26" s="115"/>
      <c r="H26" s="116"/>
      <c r="I26" s="120" t="str">
        <f>IFERROR(VLOOKUP(I25,Abilities,7,FALSE),"")</f>
        <v xml:space="preserve"> </v>
      </c>
      <c r="J26" s="115"/>
      <c r="K26" s="116"/>
      <c r="L26" s="115">
        <f>IFERROR(VLOOKUP(L25,Abilities,7,FALSE),"")</f>
        <v>0</v>
      </c>
      <c r="M26" s="115"/>
      <c r="N26" s="122"/>
      <c r="O26" s="14"/>
      <c r="P26" s="14"/>
      <c r="Q26" s="3"/>
      <c r="V26" s="102" t="s">
        <v>852</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143</v>
      </c>
      <c r="G29" s="113"/>
      <c r="H29" s="4" t="str">
        <f>IFERROR(VLOOKUP(F29,Abilities,4,FALSE),"")</f>
        <v>XCOM2</v>
      </c>
      <c r="I29" s="127" t="s">
        <v>961</v>
      </c>
      <c r="J29" s="113"/>
      <c r="K29" s="35" t="str">
        <f>IFERROR(VLOOKUP(I29,Abilities,4,FALSE),"")</f>
        <v>BLANK</v>
      </c>
      <c r="L29" s="112" t="s">
        <v>277</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The GREMLIN can trigger an instant scan of the area, increasing the Specialist's sight radius substantially for one turn and revealing any hidden enemies.</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1074</v>
      </c>
      <c r="J33" s="113"/>
      <c r="K33" s="35" t="str">
        <f>IFERROR(VLOOKUP(I33,Abilities,4,FALSE),"")</f>
        <v>LWD</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Activate to immediately reset all cooldowns</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849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408</v>
      </c>
      <c r="G37" s="113"/>
      <c r="H37" s="4" t="str">
        <f>IFERROR(VLOOKUP(F37,Abilities,4,FALSE),"")</f>
        <v>LW2</v>
      </c>
      <c r="I37" s="127" t="s">
        <v>961</v>
      </c>
      <c r="J37" s="113"/>
      <c r="K37" s="35" t="str">
        <f>IFERROR(VLOOKUP(I37,Abilities,4,FALSE),"")</f>
        <v>BLANK</v>
      </c>
      <c r="L37" s="112" t="s">
        <v>442</v>
      </c>
      <c r="M37" s="113"/>
      <c r="N37" s="10" t="str">
        <f>IFERROR(VLOOKUP(L37,Abilities,4,FALSE),"")</f>
        <v>LW2</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Hacker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479</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LWD_Hunter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8</v>
      </c>
      <c r="G4" s="113"/>
      <c r="H4" s="4" t="str">
        <f>IFERROR(VLOOKUP(F4,Abilities,4,FALSE),"")</f>
        <v>LW2</v>
      </c>
      <c r="I4" s="127" t="s">
        <v>208</v>
      </c>
      <c r="J4" s="113"/>
      <c r="K4" s="35" t="str">
        <f>IFERROR(VLOOKUP(I4,Abilities,4,FALSE),"")</f>
        <v>LW2</v>
      </c>
      <c r="L4" s="112" t="s">
        <v>53</v>
      </c>
      <c r="M4" s="113"/>
      <c r="N4" s="10" t="str">
        <f>IFERROR(VLOOKUP(L4,Abilities,4,FALSE),"")</f>
        <v>XCOM2</v>
      </c>
      <c r="O4" s="19" t="s">
        <v>12</v>
      </c>
      <c r="P4" s="4">
        <v>5</v>
      </c>
      <c r="Q4" s="20">
        <v>0</v>
      </c>
      <c r="R4" s="20"/>
      <c r="S4" s="4">
        <v>0</v>
      </c>
      <c r="T4" s="4">
        <v>1</v>
      </c>
      <c r="U4" s="10"/>
      <c r="V4" s="104" t="s">
        <v>776</v>
      </c>
      <c r="W4" s="105"/>
      <c r="X4" s="104" t="s">
        <v>800</v>
      </c>
      <c r="Y4" s="105"/>
    </row>
    <row r="5" spans="1:25" ht="15" customHeight="1" x14ac:dyDescent="0.25">
      <c r="A5" s="6"/>
      <c r="B5" s="5" t="b">
        <v>0</v>
      </c>
      <c r="C5" s="186"/>
      <c r="D5" s="187"/>
      <c r="E5" s="187"/>
      <c r="F5" s="188">
        <f>IFERROR(VLOOKUP(F4,Abilities,7,FALSE),"")</f>
        <v>0</v>
      </c>
      <c r="G5" s="189"/>
      <c r="H5" s="190"/>
      <c r="I5" s="120">
        <f>IFERROR(VLOOKUP(I4,Abilities,7,FALSE),"")</f>
        <v>0</v>
      </c>
      <c r="J5" s="115"/>
      <c r="K5" s="116"/>
      <c r="L5" s="115" t="str">
        <f>IFERROR(VLOOKUP(L4,Abilities,7,FALSE),"")</f>
        <v>You can target enemies within squadmates' sight, provided there is line of sight to the target.</v>
      </c>
      <c r="M5" s="115"/>
      <c r="N5" s="122"/>
      <c r="O5" s="26" t="s">
        <v>456</v>
      </c>
      <c r="P5" s="27">
        <v>4</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4</v>
      </c>
      <c r="Q6" s="20">
        <v>0</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3</v>
      </c>
      <c r="Q7" s="28">
        <v>0</v>
      </c>
      <c r="R7" s="28"/>
      <c r="S7" s="27">
        <v>0</v>
      </c>
      <c r="T7" s="27"/>
      <c r="U7" s="29"/>
      <c r="V7" s="104" t="s">
        <v>778</v>
      </c>
      <c r="W7" s="105"/>
      <c r="X7" s="102" t="s">
        <v>803</v>
      </c>
      <c r="Y7" s="103"/>
    </row>
    <row r="8" spans="1:25" ht="15" customHeight="1" thickBot="1" x14ac:dyDescent="0.3">
      <c r="A8" s="6"/>
      <c r="B8" s="5" t="b">
        <v>1</v>
      </c>
      <c r="C8" s="157" t="s">
        <v>317</v>
      </c>
      <c r="D8" s="158"/>
      <c r="E8" s="12" t="s">
        <v>758</v>
      </c>
      <c r="F8" s="114" t="str">
        <f>IFERROR(VLOOKUP(F7,Abilities,7,FALSE),"")</f>
        <v/>
      </c>
      <c r="G8" s="115"/>
      <c r="H8" s="116"/>
      <c r="I8" s="120" t="str">
        <f>IFERROR(VLOOKUP(I7,Abilities,7,FALSE),"")</f>
        <v/>
      </c>
      <c r="J8" s="115"/>
      <c r="K8" s="116"/>
      <c r="L8" s="115" t="str">
        <f>IFERROR(VLOOKUP(L7,Abilities,7,FALSE),"")</f>
        <v/>
      </c>
      <c r="M8" s="115"/>
      <c r="N8" s="122"/>
      <c r="O8" s="21" t="s">
        <v>457</v>
      </c>
      <c r="P8" s="4">
        <v>3</v>
      </c>
      <c r="Q8" s="20">
        <v>1</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3</v>
      </c>
      <c r="Q9" s="28">
        <v>0</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3</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5</v>
      </c>
      <c r="F11" s="164" t="s">
        <v>750</v>
      </c>
      <c r="G11" s="165"/>
      <c r="H11" s="166"/>
      <c r="I11" s="167"/>
      <c r="J11" s="165"/>
      <c r="K11" s="166"/>
      <c r="L11" s="165" t="s">
        <v>354</v>
      </c>
      <c r="M11" s="165"/>
      <c r="N11" s="168"/>
      <c r="O11" s="39" t="s">
        <v>460</v>
      </c>
      <c r="P11" s="40">
        <v>3</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1</v>
      </c>
      <c r="C13" s="155" t="s">
        <v>322</v>
      </c>
      <c r="D13" s="156"/>
      <c r="E13" s="13" t="s">
        <v>323</v>
      </c>
      <c r="F13" s="126" t="s">
        <v>252</v>
      </c>
      <c r="G13" s="113"/>
      <c r="H13" s="4" t="str">
        <f>IFERROR(VLOOKUP(F13,Abilities,4,FALSE),"")</f>
        <v>LW2</v>
      </c>
      <c r="I13" s="127" t="s">
        <v>961</v>
      </c>
      <c r="J13" s="113"/>
      <c r="K13" s="35" t="str">
        <f>IFERROR(VLOOKUP(I13,Abilities,4,FALSE),"")</f>
        <v>BLANK</v>
      </c>
      <c r="L13" s="112" t="s">
        <v>604</v>
      </c>
      <c r="M13" s="113"/>
      <c r="N13" s="10" t="str">
        <f>IFERROR(VLOOKUP(L13,Abilities,4,FALSE),"")</f>
        <v>SOLW</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t="str">
        <f>IFERROR(VLOOKUP(L13,Abilities,7,FALSE),"")</f>
        <v>You can take a standard move action after firing your &lt;Ability:WeaponName/&gt;.</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3</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603</v>
      </c>
      <c r="J17" s="113"/>
      <c r="K17" s="35" t="str">
        <f>IFERROR(VLOOKUP(I17,Abilities,4,FALSE),"")</f>
        <v>SOLW</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228" t="str">
        <f>IFERROR(VLOOKUP(I17,Abilities,7,FALSE),"")</f>
        <v>While concealed or flanking your target, you deal &lt;Ability:+Damage/&gt; damage with your &lt;Ability:WeaponName/&gt; and take no penalties from using Squadsight.</v>
      </c>
      <c r="J18" s="189"/>
      <c r="K18" s="190"/>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229"/>
      <c r="J19" s="230"/>
      <c r="K19" s="231"/>
      <c r="L19" s="118"/>
      <c r="M19" s="118"/>
      <c r="N19" s="123"/>
      <c r="O19" s="21" t="s">
        <v>457</v>
      </c>
      <c r="P19" s="4"/>
      <c r="Q19" s="20"/>
      <c r="R19" s="20"/>
      <c r="S19" s="4"/>
      <c r="T19" s="4"/>
      <c r="U19" s="10"/>
      <c r="V19" s="104" t="s">
        <v>854</v>
      </c>
      <c r="W19" s="105"/>
    </row>
    <row r="20" spans="1:23" ht="18" thickBot="1" x14ac:dyDescent="0.35">
      <c r="A20" s="135" t="s">
        <v>914</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477</v>
      </c>
      <c r="G21" s="113"/>
      <c r="H21" s="4" t="str">
        <f>IFERROR(VLOOKUP(F21,Abilities,4,FALSE),"")</f>
        <v>SOLW</v>
      </c>
      <c r="I21" s="127" t="s">
        <v>961</v>
      </c>
      <c r="J21" s="113"/>
      <c r="K21" s="35" t="str">
        <f>IFERROR(VLOOKUP(I21,Abilities,4,FALSE),"")</f>
        <v>BLANK</v>
      </c>
      <c r="L21" s="112" t="s">
        <v>17</v>
      </c>
      <c r="M21" s="113"/>
      <c r="N21" s="10" t="str">
        <f>IFERROR(VLOOKUP(L21,Abilities,4,FALSE),"")</f>
        <v>XCOM2</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Gain &lt;Ability:+Mobility/&gt; Mobility and &lt;Ability:+ToHit/&gt; Aim while concealed.</v>
      </c>
      <c r="G22" s="115"/>
      <c r="H22" s="116"/>
      <c r="I22" s="120" t="str">
        <f>IFERROR(VLOOKUP(I21,Abilities,7,FALSE),"")</f>
        <v xml:space="preserve"> </v>
      </c>
      <c r="J22" s="115"/>
      <c r="K22" s="116"/>
      <c r="L22" s="115" t="str">
        <f>IFERROR(VLOOKUP(L21,Abilities,7,FALSE),"")</f>
        <v>Deal +2 extra damage on all sword attacks.</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855</v>
      </c>
      <c r="W24" s="105"/>
    </row>
    <row r="25" spans="1:23" ht="15.75" thickTop="1" x14ac:dyDescent="0.25">
      <c r="A25" s="66"/>
      <c r="B25" s="67"/>
      <c r="C25" s="67"/>
      <c r="D25" s="67"/>
      <c r="E25" s="68"/>
      <c r="F25" s="126" t="s">
        <v>606</v>
      </c>
      <c r="G25" s="113"/>
      <c r="H25" s="4" t="str">
        <f>IFERROR(VLOOKUP(F25,Abilities,4,FALSE),"")</f>
        <v>SOLW</v>
      </c>
      <c r="I25" s="127" t="s">
        <v>961</v>
      </c>
      <c r="J25" s="113"/>
      <c r="K25" s="35" t="str">
        <f>IFERROR(VLOOKUP(I25,Abilities,4,FALSE),"")</f>
        <v>BLANK</v>
      </c>
      <c r="L25" s="112" t="s">
        <v>607</v>
      </c>
      <c r="M25" s="113"/>
      <c r="N25" s="10" t="str">
        <f>IFERROR(VLOOKUP(L25,Abilities,4,FALSE),"")</f>
        <v>SOLW</v>
      </c>
      <c r="O25" s="14"/>
      <c r="P25" s="14"/>
      <c r="Q25" s="3"/>
      <c r="V25" s="102" t="s">
        <v>886</v>
      </c>
      <c r="W25" s="103"/>
    </row>
    <row r="26" spans="1:23" x14ac:dyDescent="0.25">
      <c r="A26" s="66"/>
      <c r="B26" s="67"/>
      <c r="C26" s="67"/>
      <c r="D26" s="67"/>
      <c r="E26" s="68"/>
      <c r="F26" s="114" t="str">
        <f>IFERROR(VLOOKUP(F25,Abilities,7,FALSE),"")</f>
        <v>Fire a shot that deals critical damage and gives the target penalties to Aim, Defense, and Will. &lt;Ability:SelfCooldown/&gt; turn cooldown.</v>
      </c>
      <c r="G26" s="115"/>
      <c r="H26" s="116"/>
      <c r="I26" s="120" t="str">
        <f>IFERROR(VLOOKUP(I25,Abilities,7,FALSE),"")</f>
        <v xml:space="preserve"> </v>
      </c>
      <c r="J26" s="115"/>
      <c r="K26" s="116"/>
      <c r="L26" s="115" t="str">
        <f>IFERROR(VLOOKUP(L25,Abilities,7,FALSE),"")</f>
        <v>You detect nearby units even without line of sight.</v>
      </c>
      <c r="M26" s="115"/>
      <c r="N26" s="122"/>
      <c r="O26" s="14"/>
      <c r="P26" s="14"/>
      <c r="Q26" s="3"/>
      <c r="V26" s="102" t="s">
        <v>856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857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608</v>
      </c>
      <c r="G29" s="113"/>
      <c r="H29" s="4" t="str">
        <f>IFERROR(VLOOKUP(F29,Abilities,4,FALSE),"")</f>
        <v>SOLW</v>
      </c>
      <c r="I29" s="127" t="s">
        <v>961</v>
      </c>
      <c r="J29" s="113"/>
      <c r="K29" s="35" t="str">
        <f>IFERROR(VLOOKUP(I29,Abilities,4,FALSE),"")</f>
        <v>BLANK</v>
      </c>
      <c r="L29" s="112" t="s">
        <v>238</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You get &lt;Ability:+ToHit/&gt; Aim against targets in full cover.</v>
      </c>
      <c r="G30" s="115"/>
      <c r="H30" s="116"/>
      <c r="I30" s="120" t="str">
        <f>IFERROR(VLOOKUP(I29,Abilities,7,FALSE),"")</f>
        <v xml:space="preserve"> </v>
      </c>
      <c r="J30" s="115"/>
      <c r="K30" s="116"/>
      <c r="L30" s="115">
        <f>IFERROR(VLOOKUP(L29,Abilities,7,FALSE),"")</f>
        <v>0</v>
      </c>
      <c r="M30" s="115"/>
      <c r="N30" s="122"/>
      <c r="O30" s="14"/>
      <c r="P30" s="14"/>
      <c r="Q30" s="3"/>
      <c r="V30" s="102" t="s">
        <v>853</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510</v>
      </c>
      <c r="J33" s="113"/>
      <c r="K33" s="35" t="str">
        <f>IFERROR(VLOOKUP(I33,Abilities,4,FALSE),"")</f>
        <v>SOLW</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When you kill a flanked or uncovered enemy with your &lt;Ability:WeaponName/&gt;, you gain concealment.</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82</v>
      </c>
      <c r="G37" s="113"/>
      <c r="H37" s="4" t="str">
        <f>IFERROR(VLOOKUP(F37,Abilities,4,FALSE),"")</f>
        <v>XCOM2</v>
      </c>
      <c r="I37" s="127" t="s">
        <v>961</v>
      </c>
      <c r="J37" s="113"/>
      <c r="K37" s="35" t="str">
        <f>IFERROR(VLOOKUP(I37,Abilities,4,FALSE),"")</f>
        <v>BLANK</v>
      </c>
      <c r="L37" s="112" t="s">
        <v>737</v>
      </c>
      <c r="M37" s="113"/>
      <c r="N37" s="10" t="str">
        <f>IFERROR(VLOOKUP(L37,Abilities,4,FALSE),"")</f>
        <v>SOLW</v>
      </c>
    </row>
    <row r="38" spans="1:23" x14ac:dyDescent="0.25">
      <c r="A38" s="66"/>
      <c r="B38" s="67"/>
      <c r="C38" s="67"/>
      <c r="D38" s="67"/>
      <c r="E38" s="68"/>
      <c r="F38" s="114" t="str">
        <f>IFERROR(VLOOKUP(F37,Abilities,7,FALSE),"")</f>
        <v>Each kill made with your sniper rifle completely restores your actions. With each consecutive kill you get a critical chance penalty. 4 turn cooldown.</v>
      </c>
      <c r="G38" s="115"/>
      <c r="H38" s="116"/>
      <c r="I38" s="120" t="str">
        <f>IFERROR(VLOOKUP(I37,Abilities,7,FALSE),"")</f>
        <v xml:space="preserve"> </v>
      </c>
      <c r="J38" s="115"/>
      <c r="K38" s="116"/>
      <c r="L38" s="189" t="str">
        <f>IFERROR(VLOOKUP(L37,Abilities,7,FALSE),"")</f>
        <v>Attack any enemy within movement range with your sword. If you hit, make a free second sword attack. &lt;Ability:SelfCooldown/&gt; turn cooldown.</v>
      </c>
      <c r="M38" s="189"/>
      <c r="N38" s="232"/>
    </row>
    <row r="39" spans="1:23" ht="15.75" thickBot="1" x14ac:dyDescent="0.3">
      <c r="A39" s="69"/>
      <c r="B39" s="70"/>
      <c r="C39" s="70"/>
      <c r="D39" s="70"/>
      <c r="E39" s="71"/>
      <c r="F39" s="117"/>
      <c r="G39" s="118"/>
      <c r="H39" s="119"/>
      <c r="I39" s="121"/>
      <c r="J39" s="118"/>
      <c r="K39" s="119"/>
      <c r="L39" s="230"/>
      <c r="M39" s="230"/>
      <c r="N39" s="233"/>
    </row>
    <row r="40" spans="1:23" ht="15" customHeight="1" x14ac:dyDescent="0.25">
      <c r="A40" s="199" t="s">
        <v>1198</v>
      </c>
      <c r="B40" s="199"/>
      <c r="C40" s="201" t="str">
        <f>SUBSTITUTE(C1," ","")</f>
        <v>Hunter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I17" sqref="I17:J17"/>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467</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LWD_Marksman</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422</v>
      </c>
      <c r="G4" s="113"/>
      <c r="H4" s="4" t="str">
        <f>IFERROR(VLOOKUP(F4,Abilities,4,FALSE),"")</f>
        <v>LW2</v>
      </c>
      <c r="I4" s="127" t="s">
        <v>423</v>
      </c>
      <c r="J4" s="113"/>
      <c r="K4" s="35" t="str">
        <f>IFERROR(VLOOKUP(I4,Abilities,4,FALSE),"")</f>
        <v>LW2</v>
      </c>
      <c r="L4" s="112" t="s">
        <v>252</v>
      </c>
      <c r="M4" s="113"/>
      <c r="N4" s="10" t="str">
        <f>IFERROR(VLOOKUP(L4,Abilities,4,FALSE),"")</f>
        <v>LW2</v>
      </c>
      <c r="O4" s="19" t="s">
        <v>12</v>
      </c>
      <c r="P4" s="4">
        <v>3</v>
      </c>
      <c r="Q4" s="20">
        <v>0</v>
      </c>
      <c r="R4" s="20"/>
      <c r="S4" s="4">
        <v>0</v>
      </c>
      <c r="T4" s="4">
        <v>1</v>
      </c>
      <c r="U4" s="10"/>
      <c r="V4" s="104" t="s">
        <v>859</v>
      </c>
      <c r="W4" s="105"/>
      <c r="X4" s="104" t="s">
        <v>800</v>
      </c>
      <c r="Y4" s="105"/>
    </row>
    <row r="5" spans="1:25" ht="15" customHeight="1" x14ac:dyDescent="0.25">
      <c r="A5" s="6"/>
      <c r="B5" s="5" t="b">
        <v>1</v>
      </c>
      <c r="C5" s="186"/>
      <c r="D5" s="187"/>
      <c r="E5" s="187"/>
      <c r="F5" s="188">
        <f>IFERROR(VLOOKUP(F4,Abilities,7,FALSE),"")</f>
        <v>0</v>
      </c>
      <c r="G5" s="189"/>
      <c r="H5" s="190"/>
      <c r="I5" s="120">
        <f>IFERROR(VLOOKUP(I4,Abilities,7,FALSE),"")</f>
        <v>0</v>
      </c>
      <c r="J5" s="115"/>
      <c r="K5" s="116"/>
      <c r="L5" s="115">
        <f>IFERROR(VLOOKUP(L4,Abilities,7,FALSE),"")</f>
        <v>0</v>
      </c>
      <c r="M5" s="115"/>
      <c r="N5" s="122"/>
      <c r="O5" s="26" t="s">
        <v>456</v>
      </c>
      <c r="P5" s="27">
        <v>3</v>
      </c>
      <c r="Q5" s="28">
        <v>0</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3</v>
      </c>
      <c r="Q6" s="20">
        <v>0</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3</v>
      </c>
      <c r="Q7" s="28">
        <v>1</v>
      </c>
      <c r="R7" s="28"/>
      <c r="S7" s="27">
        <v>0</v>
      </c>
      <c r="T7" s="27"/>
      <c r="U7" s="29"/>
      <c r="V7" s="104" t="s">
        <v>778</v>
      </c>
      <c r="W7" s="105"/>
      <c r="X7" s="102" t="s">
        <v>803</v>
      </c>
      <c r="Y7" s="103"/>
    </row>
    <row r="8" spans="1:25" ht="15" customHeight="1" thickBot="1" x14ac:dyDescent="0.3">
      <c r="A8" s="6"/>
      <c r="B8" s="5" t="b">
        <v>1</v>
      </c>
      <c r="C8" s="157" t="s">
        <v>317</v>
      </c>
      <c r="D8" s="158"/>
      <c r="E8" s="12" t="s">
        <v>765</v>
      </c>
      <c r="F8" s="114" t="str">
        <f>IFERROR(VLOOKUP(F7,Abilities,7,FALSE),"")</f>
        <v/>
      </c>
      <c r="G8" s="115"/>
      <c r="H8" s="116"/>
      <c r="I8" s="120" t="str">
        <f>IFERROR(VLOOKUP(I7,Abilities,7,FALSE),"")</f>
        <v/>
      </c>
      <c r="J8" s="115"/>
      <c r="K8" s="116"/>
      <c r="L8" s="115" t="str">
        <f>IFERROR(VLOOKUP(L7,Abilities,7,FALSE),"")</f>
        <v/>
      </c>
      <c r="M8" s="115"/>
      <c r="N8" s="122"/>
      <c r="O8" s="21" t="s">
        <v>457</v>
      </c>
      <c r="P8" s="4">
        <v>3</v>
      </c>
      <c r="Q8" s="20">
        <v>0</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3</v>
      </c>
      <c r="Q9" s="28">
        <v>0</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3</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5</v>
      </c>
      <c r="F11" s="164" t="s">
        <v>746</v>
      </c>
      <c r="G11" s="165"/>
      <c r="H11" s="166"/>
      <c r="I11" s="167"/>
      <c r="J11" s="165"/>
      <c r="K11" s="166"/>
      <c r="L11" s="165" t="s">
        <v>960</v>
      </c>
      <c r="M11" s="165"/>
      <c r="N11" s="168"/>
      <c r="O11" s="39" t="s">
        <v>460</v>
      </c>
      <c r="P11" s="40">
        <v>3</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53</v>
      </c>
      <c r="G13" s="113"/>
      <c r="H13" s="4" t="str">
        <f>IFERROR(VLOOKUP(F13,Abilities,4,FALSE),"")</f>
        <v>XCOM2</v>
      </c>
      <c r="I13" s="127" t="s">
        <v>961</v>
      </c>
      <c r="J13" s="113"/>
      <c r="K13" s="35" t="str">
        <f>IFERROR(VLOOKUP(I13,Abilities,4,FALSE),"")</f>
        <v>BLANK</v>
      </c>
      <c r="L13" s="127" t="s">
        <v>952</v>
      </c>
      <c r="M13" s="113"/>
      <c r="N13" s="10" t="str">
        <f>IFERROR(VLOOKUP(L13,Abilities,4,FALSE),"")</f>
        <v>LWD</v>
      </c>
      <c r="O13" s="152"/>
      <c r="P13" s="153"/>
      <c r="Q13" s="153"/>
      <c r="R13" s="153"/>
      <c r="S13" s="153"/>
      <c r="T13" s="153"/>
      <c r="U13" s="154"/>
      <c r="V13" s="104" t="s">
        <v>817</v>
      </c>
      <c r="W13" s="105"/>
      <c r="X13" s="102" t="s">
        <v>808</v>
      </c>
      <c r="Y13" s="103"/>
    </row>
    <row r="14" spans="1:25" ht="15.75" thickBot="1" x14ac:dyDescent="0.3">
      <c r="A14" s="6"/>
      <c r="B14" s="7" t="b">
        <v>1</v>
      </c>
      <c r="F14" s="114" t="str">
        <f>IFERROR(VLOOKUP(F13,Abilities,7,FALSE),"")</f>
        <v>You can target enemies within squadmates' sight, provided there is line of sight to the target.</v>
      </c>
      <c r="G14" s="115"/>
      <c r="H14" s="116"/>
      <c r="I14" s="120" t="str">
        <f>IFERROR(VLOOKUP(I13,Abilities,7,FALSE),"")</f>
        <v xml:space="preserve"> </v>
      </c>
      <c r="J14" s="115"/>
      <c r="K14" s="116"/>
      <c r="L14" s="115" t="str">
        <f>IFERROR(VLOOKUP(L13,Abilities,7,FALSE),"")</f>
        <v>Reload your sawed-off shotgun. Each shell requires a separate action.</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3</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250</v>
      </c>
      <c r="J17" s="113"/>
      <c r="K17" s="35" t="str">
        <f>IFERROR(VLOOKUP(I17,Abilities,4,FALSE),"")</f>
        <v>LW2</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971</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238</v>
      </c>
      <c r="G21" s="113"/>
      <c r="H21" s="4" t="str">
        <f>IFERROR(VLOOKUP(F21,Abilities,4,FALSE),"")</f>
        <v>LW2</v>
      </c>
      <c r="I21" s="127" t="s">
        <v>961</v>
      </c>
      <c r="J21" s="113"/>
      <c r="K21" s="35" t="str">
        <f>IFERROR(VLOOKUP(I21,Abilities,4,FALSE),"")</f>
        <v>BLANK</v>
      </c>
      <c r="L21" s="112" t="s">
        <v>219</v>
      </c>
      <c r="M21" s="113"/>
      <c r="N21" s="10" t="str">
        <f>IFERROR(VLOOKUP(L21,Abilities,4,FALSE),"")</f>
        <v>LW2</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f>IFERROR(VLOOKUP(L21,Abilities,7,FALSE),"")</f>
        <v>0</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267</v>
      </c>
      <c r="G25" s="113"/>
      <c r="H25" s="4" t="str">
        <f>IFERROR(VLOOKUP(F25,Abilities,4,FALSE),"")</f>
        <v>LW2</v>
      </c>
      <c r="I25" s="127" t="s">
        <v>961</v>
      </c>
      <c r="J25" s="113"/>
      <c r="K25" s="35" t="str">
        <f>IFERROR(VLOOKUP(I25,Abilities,4,FALSE),"")</f>
        <v>BLANK</v>
      </c>
      <c r="L25" s="127" t="s">
        <v>1029</v>
      </c>
      <c r="M25" s="113"/>
      <c r="N25" s="10" t="str">
        <f>IFERROR(VLOOKUP(L25,Abilities,4,FALSE),"")</f>
        <v>LWD</v>
      </c>
      <c r="O25" s="14"/>
      <c r="P25" s="14"/>
      <c r="Q25" s="3"/>
      <c r="V25" s="102" t="s">
        <v>855</v>
      </c>
      <c r="W25" s="103"/>
    </row>
    <row r="26" spans="1:23" x14ac:dyDescent="0.25">
      <c r="A26" s="66"/>
      <c r="B26" s="67"/>
      <c r="C26" s="67"/>
      <c r="D26" s="67"/>
      <c r="E26" s="68"/>
      <c r="F26" s="114">
        <f>IFERROR(VLOOKUP(F25,Abilities,7,FALSE),"")</f>
        <v>0</v>
      </c>
      <c r="G26" s="115"/>
      <c r="H26" s="116"/>
      <c r="I26" s="120" t="str">
        <f>IFERROR(VLOOKUP(I25,Abilities,7,FALSE),"")</f>
        <v xml:space="preserve"> </v>
      </c>
      <c r="J26" s="115"/>
      <c r="K26" s="116"/>
      <c r="L26" s="115" t="str">
        <f>IFERROR(VLOOKUP(L25,Abilities,7,FALSE),"")</f>
        <v>Hitting an enemy with your sawed-off disorients them.</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236</v>
      </c>
      <c r="G29" s="113"/>
      <c r="H29" s="4" t="str">
        <f>IFERROR(VLOOKUP(F29,Abilities,4,FALSE),"")</f>
        <v>LW2</v>
      </c>
      <c r="I29" s="127" t="s">
        <v>961</v>
      </c>
      <c r="J29" s="113"/>
      <c r="K29" s="35" t="str">
        <f>IFERROR(VLOOKUP(I29,Abilities,4,FALSE),"")</f>
        <v>BLANK</v>
      </c>
      <c r="L29" s="127" t="s">
        <v>228</v>
      </c>
      <c r="M29" s="113"/>
      <c r="N29" s="10" t="str">
        <f>IFERROR(VLOOKUP(L29,Abilities,4,FALSE),"")</f>
        <v>LW2</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f>IFERROR(VLOOKUP(L29,Abilities,7,FALSE),"")</f>
        <v>0</v>
      </c>
      <c r="M30" s="115"/>
      <c r="N30" s="122"/>
      <c r="O30" s="14"/>
      <c r="P30" s="14"/>
      <c r="Q30" s="3"/>
      <c r="V30" s="102" t="s">
        <v>858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6" t="s">
        <v>240</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257</v>
      </c>
      <c r="G37" s="113"/>
      <c r="H37" s="4" t="str">
        <f>IFERROR(VLOOKUP(F37,Abilities,4,FALSE),"")</f>
        <v>LW2</v>
      </c>
      <c r="I37" s="127" t="s">
        <v>961</v>
      </c>
      <c r="J37" s="113"/>
      <c r="K37" s="35" t="str">
        <f>IFERROR(VLOOKUP(I37,Abilities,4,FALSE),"")</f>
        <v>BLANK</v>
      </c>
      <c r="L37" s="127" t="s">
        <v>955</v>
      </c>
      <c r="M37" s="113"/>
      <c r="N37" s="10" t="str">
        <f>IFERROR(VLOOKUP(L37,Abilities,4,FALSE),"")</f>
        <v>LWD</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t="str">
        <f>IFERROR(VLOOKUP(L37,Abilities,7,FALSE),"")</f>
        <v>Take a free attack with your sawed-off shotgun against any enemy that moves or attacks within 4 tiles.</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Marksman</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(AbilityName="GrazingFire",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471</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LWD_Medic</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440</v>
      </c>
      <c r="G4" s="113"/>
      <c r="H4" s="4" t="str">
        <f>IFERROR(VLOOKUP(F4,Abilities,4,FALSE),"")</f>
        <v>LW2</v>
      </c>
      <c r="I4" s="127" t="s">
        <v>124</v>
      </c>
      <c r="J4" s="113"/>
      <c r="K4" s="35" t="str">
        <f>IFERROR(VLOOKUP(I4,Abilities,4,FALSE),"")</f>
        <v>XCOM2</v>
      </c>
      <c r="L4" s="112" t="s">
        <v>128</v>
      </c>
      <c r="M4" s="113"/>
      <c r="N4" s="10" t="str">
        <f>IFERROR(VLOOKUP(L4,Abilities,4,FALSE),"")</f>
        <v>XCOM2</v>
      </c>
      <c r="O4" s="19" t="s">
        <v>12</v>
      </c>
      <c r="P4" s="4">
        <v>2</v>
      </c>
      <c r="Q4" s="20">
        <v>0</v>
      </c>
      <c r="R4" s="20"/>
      <c r="S4" s="4">
        <v>0</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t="str">
        <f>IFERROR(VLOOKUP(I4,Abilities,7,FALSE),"")</f>
        <v>Give +20 defense to an ally.</v>
      </c>
      <c r="J5" s="115"/>
      <c r="K5" s="116"/>
      <c r="L5" s="115" t="str">
        <f>IFERROR(VLOOKUP(L4,Abilities,7,FALSE),"")</f>
        <v>Use the GREMLIN to use a medkit at range.</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0</v>
      </c>
      <c r="T7" s="27"/>
      <c r="U7" s="29"/>
      <c r="V7" s="104" t="s">
        <v>778</v>
      </c>
      <c r="W7" s="105"/>
      <c r="X7" s="102" t="s">
        <v>803</v>
      </c>
      <c r="Y7" s="103"/>
    </row>
    <row r="8" spans="1:25" ht="15" customHeight="1" thickBot="1" x14ac:dyDescent="0.3">
      <c r="A8" s="6"/>
      <c r="B8" s="5" t="b">
        <v>0</v>
      </c>
      <c r="C8" s="157" t="s">
        <v>317</v>
      </c>
      <c r="D8" s="158"/>
      <c r="E8" s="12" t="s">
        <v>766</v>
      </c>
      <c r="F8" s="114" t="str">
        <f>IFERROR(VLOOKUP(F7,Abilities,7,FALSE),"")</f>
        <v/>
      </c>
      <c r="G8" s="115"/>
      <c r="H8" s="116"/>
      <c r="I8" s="120" t="str">
        <f>IFERROR(VLOOKUP(I7,Abilities,7,FALSE),"")</f>
        <v/>
      </c>
      <c r="J8" s="115"/>
      <c r="K8" s="116"/>
      <c r="L8" s="115" t="str">
        <f>IFERROR(VLOOKUP(L7,Abilities,7,FALSE),"")</f>
        <v/>
      </c>
      <c r="M8" s="115"/>
      <c r="N8" s="122"/>
      <c r="O8" s="21" t="s">
        <v>457</v>
      </c>
      <c r="P8" s="4">
        <v>2</v>
      </c>
      <c r="Q8" s="20">
        <v>1</v>
      </c>
      <c r="R8" s="20"/>
      <c r="S8" s="4">
        <v>0</v>
      </c>
      <c r="T8" s="4"/>
      <c r="U8" s="10"/>
      <c r="V8" s="102" t="s">
        <v>779</v>
      </c>
      <c r="W8" s="103"/>
      <c r="X8" s="104" t="s">
        <v>860</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3</v>
      </c>
      <c r="F11" s="164" t="s">
        <v>736</v>
      </c>
      <c r="G11" s="165"/>
      <c r="H11" s="166"/>
      <c r="I11" s="167"/>
      <c r="J11" s="165"/>
      <c r="K11" s="166"/>
      <c r="L11" s="165" t="s">
        <v>751</v>
      </c>
      <c r="M11" s="165"/>
      <c r="N11" s="168"/>
      <c r="O11" s="39" t="s">
        <v>460</v>
      </c>
      <c r="P11" s="40">
        <v>2</v>
      </c>
      <c r="Q11" s="41">
        <v>1</v>
      </c>
      <c r="R11" s="41"/>
      <c r="S11" s="40">
        <v>0</v>
      </c>
      <c r="T11" s="40"/>
      <c r="U11" s="42"/>
      <c r="V11" s="104" t="s">
        <v>784</v>
      </c>
      <c r="W11" s="105"/>
      <c r="X11" s="102" t="s">
        <v>806</v>
      </c>
      <c r="Y11" s="103"/>
    </row>
    <row r="12" spans="1:25" ht="18" customHeight="1" thickBot="1" x14ac:dyDescent="0.35">
      <c r="A12" s="6"/>
      <c r="B12" s="5" t="b">
        <v>1</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134</v>
      </c>
      <c r="G13" s="113"/>
      <c r="H13" s="4" t="str">
        <f>IFERROR(VLOOKUP(F13,Abilities,4,FALSE),"")</f>
        <v>XCOM2</v>
      </c>
      <c r="I13" s="127" t="s">
        <v>961</v>
      </c>
      <c r="J13" s="113"/>
      <c r="K13" s="35" t="str">
        <f>IFERROR(VLOOKUP(I13,Abilities,4,FALSE),"")</f>
        <v>BLANK</v>
      </c>
      <c r="L13" s="112" t="s">
        <v>149</v>
      </c>
      <c r="M13" s="113"/>
      <c r="N13" s="10" t="str">
        <f>IFERROR(VLOOKUP(L13,Abilities,4,FALSE),"")</f>
        <v>XCOM2</v>
      </c>
      <c r="O13" s="152"/>
      <c r="P13" s="153"/>
      <c r="Q13" s="153"/>
      <c r="R13" s="153"/>
      <c r="S13" s="153"/>
      <c r="T13" s="153"/>
      <c r="U13" s="154"/>
      <c r="V13" s="104" t="s">
        <v>817</v>
      </c>
      <c r="W13" s="105"/>
      <c r="X13" s="102" t="s">
        <v>808</v>
      </c>
      <c r="Y13" s="103"/>
    </row>
    <row r="14" spans="1:25" ht="15.75" thickBot="1" x14ac:dyDescent="0.3">
      <c r="A14" s="6"/>
      <c r="B14" s="7" t="b">
        <v>0</v>
      </c>
      <c r="F14" s="114" t="str">
        <f>IFERROR(VLOOKUP(F13,Abilities,7,FALSE),"")</f>
        <v>Send the GREMLIN to an ally to remove any negative mental status effects. Disoriented, Stunned, Panicked, or Unconscious.</v>
      </c>
      <c r="G14" s="115"/>
      <c r="H14" s="116"/>
      <c r="I14" s="120" t="str">
        <f>IFERROR(VLOOKUP(I13,Abilities,7,FALSE),"")</f>
        <v xml:space="preserve"> </v>
      </c>
      <c r="J14" s="115"/>
      <c r="K14" s="116"/>
      <c r="L14" s="115"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15"/>
      <c r="N14" s="122"/>
      <c r="O14" s="22"/>
      <c r="P14" s="23" t="s">
        <v>331</v>
      </c>
      <c r="Q14" s="24" t="s">
        <v>332</v>
      </c>
      <c r="R14" s="24" t="s">
        <v>333</v>
      </c>
      <c r="S14" s="24" t="s">
        <v>334</v>
      </c>
      <c r="T14" s="24" t="s">
        <v>336</v>
      </c>
      <c r="U14" s="25" t="s">
        <v>335</v>
      </c>
      <c r="V14" s="102" t="s">
        <v>783</v>
      </c>
      <c r="W14" s="103"/>
      <c r="X14" s="124" t="s">
        <v>861</v>
      </c>
      <c r="Y14" s="125"/>
    </row>
    <row r="15" spans="1:25" ht="15.75" thickBot="1" x14ac:dyDescent="0.3">
      <c r="A15" s="6"/>
      <c r="B15" s="7" t="b">
        <v>0</v>
      </c>
      <c r="F15" s="117"/>
      <c r="G15" s="118"/>
      <c r="H15" s="119"/>
      <c r="I15" s="121"/>
      <c r="J15" s="118"/>
      <c r="K15" s="119"/>
      <c r="L15" s="118"/>
      <c r="M15" s="118"/>
      <c r="N15" s="123"/>
      <c r="O15" s="19" t="s">
        <v>12</v>
      </c>
      <c r="P15" s="4"/>
      <c r="Q15" s="20">
        <v>6</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6</v>
      </c>
      <c r="R16" s="28"/>
      <c r="S16" s="27"/>
      <c r="T16" s="27"/>
      <c r="U16" s="29"/>
      <c r="V16" s="102" t="s">
        <v>785</v>
      </c>
      <c r="W16" s="103"/>
    </row>
    <row r="17" spans="1:27" ht="16.5" thickTop="1" thickBot="1" x14ac:dyDescent="0.3">
      <c r="A17" s="8"/>
      <c r="B17" s="9" t="b">
        <v>0</v>
      </c>
      <c r="F17" s="127" t="s">
        <v>961</v>
      </c>
      <c r="G17" s="113"/>
      <c r="H17" s="4" t="str">
        <f>IFERROR(VLOOKUP(F17,Abilities,4,FALSE),"")</f>
        <v>BLANK</v>
      </c>
      <c r="I17" s="127" t="s">
        <v>275</v>
      </c>
      <c r="J17" s="113"/>
      <c r="K17" s="35" t="str">
        <f>IFERROR(VLOOKUP(I17,Abilities,4,FALSE),"")</f>
        <v>LW2</v>
      </c>
      <c r="L17" s="127" t="s">
        <v>961</v>
      </c>
      <c r="M17" s="113"/>
      <c r="N17" s="10" t="str">
        <f>IFERROR(VLOOKUP(L17,Abilities,4,FALSE),"")</f>
        <v>BLANK</v>
      </c>
      <c r="O17" s="19" t="s">
        <v>15</v>
      </c>
      <c r="P17" s="4"/>
      <c r="Q17" s="20"/>
      <c r="R17" s="20"/>
      <c r="S17" s="4"/>
      <c r="T17" s="4"/>
      <c r="U17" s="10"/>
      <c r="V17" s="104" t="s">
        <v>863</v>
      </c>
      <c r="W17" s="105"/>
    </row>
    <row r="18" spans="1:27"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7"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7" ht="18" thickBot="1" x14ac:dyDescent="0.35">
      <c r="A20" s="135" t="s">
        <v>915</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7" ht="15.75" thickTop="1" x14ac:dyDescent="0.25">
      <c r="A21" s="135"/>
      <c r="B21" s="136"/>
      <c r="C21" s="136"/>
      <c r="D21" s="136"/>
      <c r="E21" s="139"/>
      <c r="F21" s="126" t="s">
        <v>140</v>
      </c>
      <c r="G21" s="113"/>
      <c r="H21" s="4" t="str">
        <f>IFERROR(VLOOKUP(F21,Abilities,4,FALSE),"")</f>
        <v>XCOM2</v>
      </c>
      <c r="I21" s="127" t="s">
        <v>961</v>
      </c>
      <c r="J21" s="113"/>
      <c r="K21" s="35" t="str">
        <f>IFERROR(VLOOKUP(I21,Abilities,4,FALSE),"")</f>
        <v>BLANK</v>
      </c>
      <c r="L21" s="112" t="s">
        <v>593</v>
      </c>
      <c r="M21" s="113"/>
      <c r="N21" s="10" t="str">
        <f>IFERROR(VLOOKUP(L21,Abilities,4,FALSE),"")</f>
        <v>SOLW</v>
      </c>
      <c r="O21" s="36" t="s">
        <v>459</v>
      </c>
      <c r="P21" s="37"/>
      <c r="Q21" s="37"/>
      <c r="R21" s="37"/>
      <c r="S21" s="37"/>
      <c r="T21" s="37"/>
      <c r="U21" s="38"/>
      <c r="V21" s="102" t="s">
        <v>790</v>
      </c>
      <c r="W21" s="103"/>
    </row>
    <row r="22" spans="1:27" ht="15.75" thickBot="1" x14ac:dyDescent="0.3">
      <c r="A22" s="140"/>
      <c r="B22" s="141"/>
      <c r="C22" s="141"/>
      <c r="D22" s="141"/>
      <c r="E22" s="142"/>
      <c r="F22" s="114" t="str">
        <f>IFERROR(VLOOKUP(F21,Abilities,7,FALSE),"")</f>
        <v>Equipped medikits have 2 extra charges.</v>
      </c>
      <c r="G22" s="115"/>
      <c r="H22" s="116"/>
      <c r="I22" s="120" t="str">
        <f>IFERROR(VLOOKUP(I21,Abilities,7,FALSE),"")</f>
        <v xml:space="preserve"> </v>
      </c>
      <c r="J22" s="115"/>
      <c r="K22" s="116"/>
      <c r="L22" s="115" t="str">
        <f>IFERROR(VLOOKUP(L21,Abilities,7,FALSE),"")</f>
        <v>Give a friendly unit an energy shield which will absorb &lt;Ability:Shield/&gt; points of damage. The shield lasts until the end of the mission or until it is destroyed, and also grants poison immunity.</v>
      </c>
      <c r="M22" s="115"/>
      <c r="N22" s="122"/>
      <c r="O22" s="39" t="s">
        <v>460</v>
      </c>
      <c r="P22" s="40"/>
      <c r="Q22" s="41"/>
      <c r="R22" s="41"/>
      <c r="S22" s="40"/>
      <c r="T22" s="40"/>
      <c r="U22" s="42"/>
      <c r="V22" s="104" t="s">
        <v>791</v>
      </c>
      <c r="W22" s="105"/>
    </row>
    <row r="23" spans="1:27"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7"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7" ht="15.75" thickTop="1" x14ac:dyDescent="0.25">
      <c r="A25" s="66"/>
      <c r="B25" s="67"/>
      <c r="C25" s="67"/>
      <c r="D25" s="67"/>
      <c r="E25" s="68"/>
      <c r="F25" s="126" t="s">
        <v>623</v>
      </c>
      <c r="G25" s="113"/>
      <c r="H25" s="4" t="str">
        <f>IFERROR(VLOOKUP(F25,Abilities,4,FALSE),"")</f>
        <v>SOLW</v>
      </c>
      <c r="I25" s="127" t="s">
        <v>961</v>
      </c>
      <c r="J25" s="113"/>
      <c r="K25" s="35" t="str">
        <f>IFERROR(VLOOKUP(I25,Abilities,4,FALSE),"")</f>
        <v>BLANK</v>
      </c>
      <c r="L25" s="112" t="s">
        <v>152</v>
      </c>
      <c r="M25" s="113"/>
      <c r="N25" s="10" t="str">
        <f>IFERROR(VLOOKUP(L25,Abilities,4,FALSE),"")</f>
        <v>XCOM2</v>
      </c>
      <c r="O25" s="14"/>
      <c r="P25" s="14"/>
      <c r="Q25" s="3"/>
      <c r="V25" s="102" t="s">
        <v>794</v>
      </c>
      <c r="W25" s="103"/>
    </row>
    <row r="26" spans="1:27" x14ac:dyDescent="0.25">
      <c r="A26" s="66"/>
      <c r="B26" s="67"/>
      <c r="C26" s="67"/>
      <c r="D26" s="67"/>
      <c r="E26" s="68"/>
      <c r="F26" s="114" t="str">
        <f>IFERROR(VLOOKUP(F25,Abilities,7,FALSE),"")</f>
        <v>Grant an ally a bonus overwatch shot and the Cool Under Pressure ability. &lt;Ability:SelfCooldown/&gt; turn cooldown.</v>
      </c>
      <c r="G26" s="115"/>
      <c r="H26" s="116"/>
      <c r="I26" s="120" t="str">
        <f>IFERROR(VLOOKUP(I25,Abilities,7,FALSE),"")</f>
        <v xml:space="preserve"> </v>
      </c>
      <c r="J26" s="115"/>
      <c r="K26" s="116"/>
      <c r="L26" s="115" t="str">
        <f>IFERROR(VLOOKUP(L25,Abilities,7,FALSE),"")</f>
        <v>If you spend all of your actions on moves, you are granted an automatic overwatch shot at the end of the turn.</v>
      </c>
      <c r="M26" s="115"/>
      <c r="N26" s="122"/>
      <c r="O26" s="14"/>
      <c r="P26" s="14"/>
      <c r="Q26" s="3"/>
      <c r="V26" s="102" t="s">
        <v>862</v>
      </c>
      <c r="W26" s="103"/>
    </row>
    <row r="27" spans="1:27"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7" ht="18" thickBot="1" x14ac:dyDescent="0.35">
      <c r="A28" s="66"/>
      <c r="B28" s="67"/>
      <c r="C28" s="67"/>
      <c r="D28" s="67"/>
      <c r="E28" s="68"/>
      <c r="F28" s="128" t="s">
        <v>445</v>
      </c>
      <c r="G28" s="129"/>
      <c r="H28" s="129"/>
      <c r="I28" s="129"/>
      <c r="J28" s="129"/>
      <c r="K28" s="129"/>
      <c r="L28" s="129"/>
      <c r="M28" s="129"/>
      <c r="N28" s="130"/>
      <c r="P28" s="14"/>
      <c r="Q28" s="3"/>
      <c r="V28" s="102" t="s">
        <v>798</v>
      </c>
      <c r="W28" s="103"/>
      <c r="AA28" s="14"/>
    </row>
    <row r="29" spans="1:27" ht="15.75" thickTop="1" x14ac:dyDescent="0.25">
      <c r="A29" s="66"/>
      <c r="B29" s="67"/>
      <c r="C29" s="67"/>
      <c r="D29" s="67"/>
      <c r="E29" s="68"/>
      <c r="F29" s="126" t="s">
        <v>278</v>
      </c>
      <c r="G29" s="113"/>
      <c r="H29" s="4" t="str">
        <f>IFERROR(VLOOKUP(F29,Abilities,4,FALSE),"")</f>
        <v>LW2</v>
      </c>
      <c r="I29" s="127" t="s">
        <v>961</v>
      </c>
      <c r="J29" s="113"/>
      <c r="K29" s="35" t="str">
        <f>IFERROR(VLOOKUP(I29,Abilities,4,FALSE),"")</f>
        <v>BLANK</v>
      </c>
      <c r="L29" s="112" t="s">
        <v>155</v>
      </c>
      <c r="M29" s="113"/>
      <c r="N29" s="10" t="str">
        <f>IFERROR(VLOOKUP(L29,Abilities,4,FALSE),"")</f>
        <v>XCOM2</v>
      </c>
      <c r="O29" s="14"/>
      <c r="P29" s="14"/>
      <c r="Q29" s="3"/>
      <c r="V29" s="102" t="s">
        <v>824</v>
      </c>
      <c r="W29" s="103"/>
    </row>
    <row r="30" spans="1:27" x14ac:dyDescent="0.25">
      <c r="A30" s="66"/>
      <c r="B30" s="67"/>
      <c r="C30" s="67"/>
      <c r="D30" s="67"/>
      <c r="E30" s="68"/>
      <c r="F30" s="114">
        <f>IFERROR(VLOOKUP(F29,Abilities,7,FALSE),"")</f>
        <v>0</v>
      </c>
      <c r="G30" s="115"/>
      <c r="H30" s="116"/>
      <c r="I30" s="120" t="str">
        <f>IFERROR(VLOOKUP(I29,Abilities,7,FALSE),"")</f>
        <v xml:space="preserve"> </v>
      </c>
      <c r="J30" s="115"/>
      <c r="K30" s="116"/>
      <c r="L30" s="115" t="str">
        <f>IFERROR(VLOOKUP(L29,Abilities,7,FALSE),"")</f>
        <v>Grants 50% chance during Overwatch to perform an additional shot if the previous Overwatch shot hits. There's no limit as to how many times Guardian can trigger.</v>
      </c>
      <c r="M30" s="115"/>
      <c r="N30" s="122"/>
      <c r="O30" s="14"/>
      <c r="P30" s="14"/>
      <c r="Q30" s="3"/>
      <c r="V30" s="102" t="s">
        <v>818</v>
      </c>
      <c r="W30" s="103"/>
    </row>
    <row r="31" spans="1:27"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7"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37</v>
      </c>
      <c r="J33" s="113"/>
      <c r="K33" s="35" t="str">
        <f>IFERROR(VLOOKUP(I33,Abilities,4,FALSE),"")</f>
        <v>XCOM2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If you did not attack this turn, hunker down automatically.</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864</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158</v>
      </c>
      <c r="G37" s="113"/>
      <c r="H37" s="4" t="str">
        <f>IFERROR(VLOOKUP(F37,Abilities,4,FALSE),"")</f>
        <v>XCOM2</v>
      </c>
      <c r="I37" s="127" t="s">
        <v>961</v>
      </c>
      <c r="J37" s="113"/>
      <c r="K37" s="35" t="str">
        <f>IFERROR(VLOOKUP(I37,Abilities,4,FALSE),"")</f>
        <v>BLANK</v>
      </c>
      <c r="L37" s="112" t="s">
        <v>613</v>
      </c>
      <c r="M37" s="113"/>
      <c r="N37" s="10" t="str">
        <f>IFERROR(VLOOKUP(L37,Abilities,4,FALSE),"")</f>
        <v>SOLW</v>
      </c>
    </row>
    <row r="38" spans="1:23" x14ac:dyDescent="0.25">
      <c r="A38" s="66"/>
      <c r="B38" s="67"/>
      <c r="C38" s="67"/>
      <c r="D38" s="67"/>
      <c r="E38" s="68"/>
      <c r="F38" s="114" t="str">
        <f>IFERROR(VLOOKUP(F37,Abilities,7,FALSE),"")</f>
        <v>The GREMLIN flies to each squad member, healing or reviving them as needed. Once per mission.</v>
      </c>
      <c r="G38" s="115"/>
      <c r="H38" s="116"/>
      <c r="I38" s="120" t="str">
        <f>IFERROR(VLOOKUP(I37,Abilities,7,FALSE),"")</f>
        <v xml:space="preserve"> </v>
      </c>
      <c r="J38" s="115"/>
      <c r="K38" s="116"/>
      <c r="L38" s="115" t="str">
        <f>IFERROR(VLOOKUP(L37,Abilities,7,FALSE),"")</f>
        <v>Your first reaction shot each turn is guaranteed to hit.</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Medic</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478</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LWD_Partisan</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410</v>
      </c>
      <c r="G4" s="113"/>
      <c r="H4" s="4" t="str">
        <f>IFERROR(VLOOKUP(F4,Abilities,4,FALSE),"")</f>
        <v>LW2</v>
      </c>
      <c r="I4" s="127" t="s">
        <v>204</v>
      </c>
      <c r="J4" s="113"/>
      <c r="K4" s="35" t="str">
        <f>IFERROR(VLOOKUP(I4,Abilities,4,FALSE),"")</f>
        <v>LW2</v>
      </c>
      <c r="L4" s="112"/>
      <c r="M4" s="113"/>
      <c r="N4" s="10" t="str">
        <f>IFERROR(VLOOKUP(L4,Abilities,4,FALSE),"")</f>
        <v/>
      </c>
      <c r="O4" s="19" t="s">
        <v>12</v>
      </c>
      <c r="P4" s="4">
        <v>2</v>
      </c>
      <c r="Q4" s="20">
        <v>0</v>
      </c>
      <c r="R4" s="20"/>
      <c r="S4" s="4">
        <v>0</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f>IFERROR(VLOOKUP(I4,Abilities,7,FALSE),"")</f>
        <v>0</v>
      </c>
      <c r="J5" s="115"/>
      <c r="K5" s="116"/>
      <c r="L5" s="115" t="str">
        <f>IFERROR(VLOOKUP(L4,Abilities,7,FALSE),"")</f>
        <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0</v>
      </c>
      <c r="T7" s="27"/>
      <c r="U7" s="29"/>
      <c r="V7" s="104" t="s">
        <v>778</v>
      </c>
      <c r="W7" s="105"/>
      <c r="X7" s="102" t="s">
        <v>803</v>
      </c>
      <c r="Y7" s="103"/>
    </row>
    <row r="8" spans="1:25" ht="15" customHeight="1" thickBot="1" x14ac:dyDescent="0.3">
      <c r="A8" s="6"/>
      <c r="B8" s="5" t="b">
        <v>0</v>
      </c>
      <c r="C8" s="157" t="s">
        <v>317</v>
      </c>
      <c r="D8" s="158"/>
      <c r="E8" s="12" t="s">
        <v>767</v>
      </c>
      <c r="F8" s="114" t="str">
        <f>IFERROR(VLOOKUP(F7,Abilities,7,FALSE),"")</f>
        <v/>
      </c>
      <c r="G8" s="115"/>
      <c r="H8" s="116"/>
      <c r="I8" s="120" t="str">
        <f>IFERROR(VLOOKUP(I7,Abilities,7,FALSE),"")</f>
        <v/>
      </c>
      <c r="J8" s="115"/>
      <c r="K8" s="116"/>
      <c r="L8" s="115" t="str">
        <f>IFERROR(VLOOKUP(L7,Abilities,7,FALSE),"")</f>
        <v/>
      </c>
      <c r="M8" s="115"/>
      <c r="N8" s="122"/>
      <c r="O8" s="21" t="s">
        <v>457</v>
      </c>
      <c r="P8" s="4">
        <v>2</v>
      </c>
      <c r="Q8" s="20">
        <v>1</v>
      </c>
      <c r="R8" s="20"/>
      <c r="S8" s="4">
        <v>0</v>
      </c>
      <c r="T8" s="4"/>
      <c r="U8" s="10"/>
      <c r="V8" s="102" t="s">
        <v>865</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738</v>
      </c>
      <c r="G11" s="165"/>
      <c r="H11" s="166"/>
      <c r="I11" s="167"/>
      <c r="J11" s="165"/>
      <c r="K11" s="166"/>
      <c r="L11" s="165" t="s">
        <v>739</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983</v>
      </c>
      <c r="G13" s="113"/>
      <c r="H13" s="4" t="str">
        <f>IFERROR(VLOOKUP(F13,Abilities,4,FALSE),"")</f>
        <v>LWD</v>
      </c>
      <c r="I13" s="127" t="s">
        <v>961</v>
      </c>
      <c r="J13" s="113"/>
      <c r="K13" s="35" t="str">
        <f>IFERROR(VLOOKUP(I13,Abilities,4,FALSE),"")</f>
        <v>BLANK</v>
      </c>
      <c r="L13" s="112" t="s">
        <v>307</v>
      </c>
      <c r="M13" s="113"/>
      <c r="N13" s="10" t="str">
        <f>IFERROR(VLOOKUP(L13,Abilities,4,FALSE),"")</f>
        <v>LW2</v>
      </c>
      <c r="O13" s="152"/>
      <c r="P13" s="153"/>
      <c r="Q13" s="153"/>
      <c r="R13" s="153"/>
      <c r="S13" s="153"/>
      <c r="T13" s="153"/>
      <c r="U13" s="154"/>
      <c r="V13" s="104" t="s">
        <v>817</v>
      </c>
      <c r="W13" s="105"/>
      <c r="X13" s="102" t="s">
        <v>808</v>
      </c>
      <c r="Y13" s="103"/>
    </row>
    <row r="14" spans="1:25" ht="15.75" thickBot="1" x14ac:dyDescent="0.3">
      <c r="A14" s="6"/>
      <c r="B14" s="7" t="b">
        <v>0</v>
      </c>
      <c r="F14" s="114" t="str">
        <f>IFERROR(VLOOKUP(F13,Abilities,7,FALSE),"")</f>
        <v>Using your arc thrower no longer ends your turn.</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1</v>
      </c>
      <c r="F15" s="117"/>
      <c r="G15" s="118"/>
      <c r="H15" s="119"/>
      <c r="I15" s="121"/>
      <c r="J15" s="118"/>
      <c r="K15" s="119"/>
      <c r="L15" s="118"/>
      <c r="M15" s="118"/>
      <c r="N15" s="123"/>
      <c r="O15" s="19" t="s">
        <v>12</v>
      </c>
      <c r="P15" s="4"/>
      <c r="Q15" s="20">
        <v>5</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5</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940</v>
      </c>
      <c r="J17" s="113"/>
      <c r="K17" s="35" t="str">
        <f>IFERROR(VLOOKUP(I17,Abilities,4,FALSE),"")</f>
        <v>LWD</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Make a melee attack with your arc thrower to disorient an enemy. Doesn't end your turn.</v>
      </c>
      <c r="J18" s="115"/>
      <c r="K18" s="116"/>
      <c r="L18" s="115" t="str">
        <f>IFERROR(VLOOKUP(L17,Abilities,7,FALSE),"")</f>
        <v xml:space="preserve"> </v>
      </c>
      <c r="M18" s="115"/>
      <c r="N18" s="122"/>
      <c r="O18" s="26" t="s">
        <v>21</v>
      </c>
      <c r="P18" s="27"/>
      <c r="Q18" s="28"/>
      <c r="R18" s="28"/>
      <c r="S18" s="27"/>
      <c r="T18" s="27"/>
      <c r="U18" s="29"/>
      <c r="V18" s="102" t="s">
        <v>840</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910</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726</v>
      </c>
      <c r="G21" s="113"/>
      <c r="H21" s="4" t="str">
        <f>IFERROR(VLOOKUP(F21,Abilities,4,FALSE),"")</f>
        <v>LW2</v>
      </c>
      <c r="I21" s="127" t="s">
        <v>961</v>
      </c>
      <c r="J21" s="113"/>
      <c r="K21" s="35" t="str">
        <f>IFERROR(VLOOKUP(I21,Abilities,4,FALSE),"")</f>
        <v>BLANK</v>
      </c>
      <c r="L21" s="112" t="s">
        <v>624</v>
      </c>
      <c r="M21" s="113"/>
      <c r="N21" s="10" t="str">
        <f>IFERROR(VLOOKUP(L21,Abilities,4,FALSE),"")</f>
        <v>SOLW</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Grants 1 free flashbang item to your inventory.</v>
      </c>
      <c r="G22" s="115"/>
      <c r="H22" s="116"/>
      <c r="I22" s="120" t="str">
        <f>IFERROR(VLOOKUP(I21,Abilities,7,FALSE),"")</f>
        <v xml:space="preserve"> </v>
      </c>
      <c r="J22" s="115"/>
      <c r="K22" s="116"/>
      <c r="L22" s="115" t="str">
        <f>IFERROR(VLOOKUP(L21,Abilities,7,FALSE),"")</f>
        <v>Make a special shot with a &lt;Ability:+ToHit:ShadowOps_DisablingShot_Bonuses/&gt; Aim modifier that deals half damage and disables the target for one turn.</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412</v>
      </c>
      <c r="G25" s="113"/>
      <c r="H25" s="4" t="str">
        <f>IFERROR(VLOOKUP(F25,Abilities,4,FALSE),"")</f>
        <v>LW2</v>
      </c>
      <c r="I25" s="127" t="s">
        <v>961</v>
      </c>
      <c r="J25" s="113"/>
      <c r="K25" s="35" t="str">
        <f>IFERROR(VLOOKUP(I25,Abilities,4,FALSE),"")</f>
        <v>BLANK</v>
      </c>
      <c r="L25" s="112" t="s">
        <v>621</v>
      </c>
      <c r="M25" s="113"/>
      <c r="N25" s="10" t="str">
        <f>IFERROR(VLOOKUP(L25,Abilities,4,FALSE),"")</f>
        <v>SOLW</v>
      </c>
      <c r="O25" s="14"/>
      <c r="P25" s="14"/>
      <c r="Q25" s="3"/>
      <c r="V25" s="102" t="s">
        <v>794</v>
      </c>
      <c r="W25" s="103"/>
    </row>
    <row r="26" spans="1:23" x14ac:dyDescent="0.25">
      <c r="A26" s="66"/>
      <c r="B26" s="67"/>
      <c r="C26" s="67"/>
      <c r="D26" s="67"/>
      <c r="E26" s="68"/>
      <c r="F26" s="114">
        <f>IFERROR(VLOOKUP(F25,Abilities,7,FALSE),"")</f>
        <v>0</v>
      </c>
      <c r="G26" s="115"/>
      <c r="H26" s="116"/>
      <c r="I26" s="120" t="str">
        <f>IFERROR(VLOOKUP(I25,Abilities,7,FALSE),"")</f>
        <v xml:space="preserve"> </v>
      </c>
      <c r="J26" s="115"/>
      <c r="K26" s="116"/>
      <c r="L26" s="115" t="str">
        <f>IFERROR(VLOOKUP(L25,Abilities,7,FALSE),"")</f>
        <v>When you get a critical hit, your target and other enemies within 6 tiles have a chance to panic.</v>
      </c>
      <c r="M26" s="115"/>
      <c r="N26" s="122"/>
      <c r="O26" s="14"/>
      <c r="P26" s="14"/>
      <c r="Q26" s="3"/>
      <c r="V26" s="102" t="s">
        <v>866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298</v>
      </c>
      <c r="G29" s="113"/>
      <c r="H29" s="4" t="str">
        <f>IFERROR(VLOOKUP(F29,Abilities,4,FALSE),"")</f>
        <v>LW2</v>
      </c>
      <c r="I29" s="127" t="s">
        <v>961</v>
      </c>
      <c r="J29" s="113"/>
      <c r="K29" s="35" t="str">
        <f>IFERROR(VLOOKUP(I29,Abilities,4,FALSE),"")</f>
        <v>BLANK</v>
      </c>
      <c r="L29" s="112" t="s">
        <v>291</v>
      </c>
      <c r="M29" s="113"/>
      <c r="N29" s="10" t="str">
        <f>IFERROR(VLOOKUP(L29,Abilities,4,FALSE),"")</f>
        <v>LW2</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229</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825</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415</v>
      </c>
      <c r="G37" s="113"/>
      <c r="H37" s="4" t="str">
        <f>IFERROR(VLOOKUP(F37,Abilities,4,FALSE),"")</f>
        <v>LW2</v>
      </c>
      <c r="I37" s="127" t="s">
        <v>961</v>
      </c>
      <c r="J37" s="113"/>
      <c r="K37" s="35" t="str">
        <f>IFERROR(VLOOKUP(I37,Abilities,4,FALSE),"")</f>
        <v>BLANK</v>
      </c>
      <c r="L37" s="112" t="s">
        <v>121</v>
      </c>
      <c r="M37" s="113"/>
      <c r="N37" s="10" t="str">
        <f>IFERROR(VLOOKUP(L37,Abilities,4,FALSE),"")</f>
        <v>XCOM2</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t="str">
        <f>IFERROR(VLOOKUP(L37,Abilities,7,FALSE),"")</f>
        <v>Fires a shot that deals critical damage. The target, if hit, will also take 3 additional damage from all sources. Uses 3 ammo. 3-turn cooldown.</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Partisan</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405</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LWD_Protector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88</v>
      </c>
      <c r="G4" s="113"/>
      <c r="H4" s="4" t="str">
        <f>IFERROR(VLOOKUP(F4,Abilities,4,FALSE),"")</f>
        <v>XCOM2</v>
      </c>
      <c r="I4" s="127" t="s">
        <v>729</v>
      </c>
      <c r="J4" s="113"/>
      <c r="K4" s="35" t="str">
        <f>IFERROR(VLOOKUP(I4,Abilities,4,FALSE),"")</f>
        <v>SOLW</v>
      </c>
      <c r="L4" s="112"/>
      <c r="M4" s="113"/>
      <c r="N4" s="10" t="str">
        <f>IFERROR(VLOOKUP(L4,Abilities,4,FALSE),"")</f>
        <v/>
      </c>
      <c r="O4" s="19" t="s">
        <v>12</v>
      </c>
      <c r="P4" s="4">
        <v>2</v>
      </c>
      <c r="Q4" s="20">
        <v>0</v>
      </c>
      <c r="R4" s="20"/>
      <c r="S4" s="4">
        <v>0</v>
      </c>
      <c r="T4" s="4">
        <v>1</v>
      </c>
      <c r="U4" s="10"/>
      <c r="V4" s="104" t="s">
        <v>776</v>
      </c>
      <c r="W4" s="105"/>
      <c r="X4" s="104" t="s">
        <v>800</v>
      </c>
      <c r="Y4" s="105"/>
    </row>
    <row r="5" spans="1:25" ht="15" customHeight="1" x14ac:dyDescent="0.25">
      <c r="A5" s="6"/>
      <c r="B5" s="5" t="b">
        <v>1</v>
      </c>
      <c r="C5" s="186"/>
      <c r="D5" s="187"/>
      <c r="E5" s="187"/>
      <c r="F5" s="188" t="str">
        <f>IFERROR(VLOOKUP(F4,Abilities,7,FALSE),"")</f>
        <v>The Grenadier uses a grenade launcher to fire grenades rather than throwing them. This allows for greater grenade range and grenade capacity.The grenadier gains an extra inventory slot that may only be used for grenades.</v>
      </c>
      <c r="G5" s="189"/>
      <c r="H5" s="190"/>
      <c r="I5" s="120" t="str">
        <f>IFERROR(VLOOKUP(I4,Abilities,7,FALSE),"")</f>
        <v>You have one free smoke grenade use on every mission. Launching or throwing a smoke grenade as your first action does not end your turn.</v>
      </c>
      <c r="J5" s="115"/>
      <c r="K5" s="116"/>
      <c r="L5" s="115" t="str">
        <f>IFERROR(VLOOKUP(L4,Abilities,7,FALSE),"")</f>
        <v/>
      </c>
      <c r="M5" s="115"/>
      <c r="N5" s="122"/>
      <c r="O5" s="26" t="s">
        <v>456</v>
      </c>
      <c r="P5" s="27">
        <v>2</v>
      </c>
      <c r="Q5" s="28">
        <v>1</v>
      </c>
      <c r="R5" s="28"/>
      <c r="S5" s="27">
        <v>0</v>
      </c>
      <c r="T5" s="27"/>
      <c r="U5" s="29"/>
      <c r="V5" s="102" t="s">
        <v>899</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1</v>
      </c>
      <c r="R7" s="28"/>
      <c r="S7" s="27">
        <v>0</v>
      </c>
      <c r="T7" s="27"/>
      <c r="U7" s="29"/>
      <c r="V7" s="104" t="s">
        <v>900</v>
      </c>
      <c r="W7" s="105"/>
      <c r="X7" s="102" t="s">
        <v>803</v>
      </c>
      <c r="Y7" s="103"/>
    </row>
    <row r="8" spans="1:25" ht="15" customHeight="1" thickBot="1" x14ac:dyDescent="0.3">
      <c r="A8" s="6"/>
      <c r="B8" s="5" t="b">
        <v>0</v>
      </c>
      <c r="C8" s="157" t="s">
        <v>317</v>
      </c>
      <c r="D8" s="158"/>
      <c r="E8" s="12" t="s">
        <v>1201</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2" t="s">
        <v>779</v>
      </c>
      <c r="W8" s="103"/>
      <c r="X8" s="104" t="s">
        <v>902</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1</v>
      </c>
      <c r="R9" s="28"/>
      <c r="S9" s="27">
        <v>0</v>
      </c>
      <c r="T9" s="27"/>
      <c r="U9" s="29"/>
      <c r="V9" s="104" t="s">
        <v>780</v>
      </c>
      <c r="W9" s="105"/>
      <c r="X9" s="110" t="s">
        <v>811</v>
      </c>
      <c r="Y9" s="111"/>
    </row>
    <row r="10" spans="1:25" ht="18.75" x14ac:dyDescent="0.3">
      <c r="A10" s="6"/>
      <c r="B10" s="5" t="b">
        <v>0</v>
      </c>
      <c r="C10" s="157" t="s">
        <v>318</v>
      </c>
      <c r="D10" s="158"/>
      <c r="E10" s="12">
        <v>3</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1</v>
      </c>
      <c r="C11" s="157" t="s">
        <v>320</v>
      </c>
      <c r="D11" s="158"/>
      <c r="E11" s="12">
        <v>4</v>
      </c>
      <c r="F11" s="164" t="s">
        <v>730</v>
      </c>
      <c r="G11" s="165"/>
      <c r="H11" s="166"/>
      <c r="I11" s="167"/>
      <c r="J11" s="165"/>
      <c r="K11" s="166"/>
      <c r="L11" s="165" t="s">
        <v>731</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300</v>
      </c>
      <c r="G13" s="113"/>
      <c r="H13" s="4" t="str">
        <f>IFERROR(VLOOKUP(F13,Abilities,4,FALSE),"")</f>
        <v>LW2</v>
      </c>
      <c r="I13" s="127" t="s">
        <v>961</v>
      </c>
      <c r="J13" s="113"/>
      <c r="K13" s="35" t="str">
        <f>IFERROR(VLOOKUP(I13,Abilities,4,FALSE),"")</f>
        <v>BLANK</v>
      </c>
      <c r="L13" s="112" t="s">
        <v>726</v>
      </c>
      <c r="M13" s="113"/>
      <c r="N13" s="10" t="str">
        <f>IFERROR(VLOOKUP(L13,Abilities,4,FALSE),"")</f>
        <v>LW2</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t="str">
        <f>IFERROR(VLOOKUP(L13,Abilities,7,FALSE),"")</f>
        <v>Grants 1 free flashbang item to your inventory.</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405</v>
      </c>
      <c r="J17" s="113"/>
      <c r="K17" s="35" t="str">
        <f>IFERROR(VLOOKUP(I17,Abilities,4,FALSE),"")</f>
        <v>LW2</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901</v>
      </c>
      <c r="W19" s="105"/>
    </row>
    <row r="20" spans="1:23" ht="18" thickBot="1" x14ac:dyDescent="0.35">
      <c r="A20" s="135" t="s">
        <v>923</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263</v>
      </c>
      <c r="G21" s="113"/>
      <c r="H21" s="4" t="str">
        <f>IFERROR(VLOOKUP(F21,Abilities,4,FALSE),"")</f>
        <v>LW2</v>
      </c>
      <c r="I21" s="127" t="s">
        <v>961</v>
      </c>
      <c r="J21" s="113"/>
      <c r="K21" s="35" t="str">
        <f>IFERROR(VLOOKUP(I21,Abilities,4,FALSE),"")</f>
        <v>BLANK</v>
      </c>
      <c r="L21" s="112" t="s">
        <v>417</v>
      </c>
      <c r="M21" s="113"/>
      <c r="N21" s="10" t="str">
        <f>IFERROR(VLOOKUP(L21,Abilities,4,FALSE),"")</f>
        <v>LW2</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f>IFERROR(VLOOKUP(L21,Abilities,7,FALSE),"")</f>
        <v>0</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99</v>
      </c>
      <c r="G25" s="113"/>
      <c r="H25" s="4" t="str">
        <f>IFERROR(VLOOKUP(F25,Abilities,4,FALSE),"")</f>
        <v>LW2</v>
      </c>
      <c r="I25" s="127" t="s">
        <v>961</v>
      </c>
      <c r="J25" s="113"/>
      <c r="K25" s="35" t="str">
        <f>IFERROR(VLOOKUP(I25,Abilities,4,FALSE),"")</f>
        <v>BLANK</v>
      </c>
      <c r="L25" s="112" t="s">
        <v>298</v>
      </c>
      <c r="M25" s="113"/>
      <c r="N25" s="10" t="str">
        <f>IFERROR(VLOOKUP(L25,Abilities,4,FALSE),"")</f>
        <v>LW2</v>
      </c>
      <c r="O25" s="14"/>
      <c r="P25" s="14"/>
      <c r="Q25" s="3"/>
      <c r="V25" s="102" t="s">
        <v>794</v>
      </c>
      <c r="W25" s="103"/>
    </row>
    <row r="26" spans="1:23" x14ac:dyDescent="0.25">
      <c r="A26" s="66"/>
      <c r="B26" s="67"/>
      <c r="C26" s="67"/>
      <c r="D26" s="67"/>
      <c r="E26" s="68"/>
      <c r="F26" s="114" t="str">
        <f>IFERROR(VLOOKUP(F25,Abilities,7,FALSE),"")</f>
        <v>Fire a barrage that pins down a target, grants reaction fire against it if it moves, restricts the use of many abilities, and imposes a -30 penalty to the target's aim.</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897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590</v>
      </c>
      <c r="G29" s="113"/>
      <c r="H29" s="4" t="str">
        <f>IFERROR(VLOOKUP(F29,Abilities,4,FALSE),"")</f>
        <v>SOLW</v>
      </c>
      <c r="I29" s="127" t="s">
        <v>961</v>
      </c>
      <c r="J29" s="113"/>
      <c r="K29" s="35" t="str">
        <f>IFERROR(VLOOKUP(I29,Abilities,4,FALSE),"")</f>
        <v>BLANK</v>
      </c>
      <c r="L29" s="112" t="s">
        <v>305</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Units in your smoke grenade cloud get +10 Aim and +20 Crit chance.</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474</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898</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613</v>
      </c>
      <c r="G37" s="113"/>
      <c r="H37" s="4" t="str">
        <f>IFERROR(VLOOKUP(F37,Abilities,4,FALSE),"")</f>
        <v>SOLW</v>
      </c>
      <c r="I37" s="127" t="s">
        <v>961</v>
      </c>
      <c r="J37" s="113"/>
      <c r="K37" s="35" t="str">
        <f>IFERROR(VLOOKUP(I37,Abilities,4,FALSE),"")</f>
        <v>BLANK</v>
      </c>
      <c r="L37" s="112" t="s">
        <v>419</v>
      </c>
      <c r="M37" s="113"/>
      <c r="N37" s="10" t="str">
        <f>IFERROR(VLOOKUP(L37,Abilities,4,FALSE),"")</f>
        <v>LW2</v>
      </c>
    </row>
    <row r="38" spans="1:23" x14ac:dyDescent="0.25">
      <c r="A38" s="66"/>
      <c r="B38" s="67"/>
      <c r="C38" s="67"/>
      <c r="D38" s="67"/>
      <c r="E38" s="68"/>
      <c r="F38" s="114" t="str">
        <f>IFERROR(VLOOKUP(F37,Abilities,7,FALSE),"")</f>
        <v>Your first reaction shot each turn is guaranteed to hit.</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Protector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461</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LWD_Raider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1076</v>
      </c>
      <c r="G4" s="113"/>
      <c r="H4" s="4" t="str">
        <f>IFERROR(VLOOKUP(F4,Abilities,4,FALSE),"")</f>
        <v>LWD</v>
      </c>
      <c r="I4" s="127" t="s">
        <v>981</v>
      </c>
      <c r="J4" s="113"/>
      <c r="K4" s="35" t="str">
        <f>IFERROR(VLOOKUP(I4,Abilities,4,FALSE),"")</f>
        <v>LWD</v>
      </c>
      <c r="L4" s="112"/>
      <c r="M4" s="113"/>
      <c r="N4" s="10" t="str">
        <f>IFERROR(VLOOKUP(L4,Abilities,4,FALSE),"")</f>
        <v/>
      </c>
      <c r="O4" s="19" t="s">
        <v>12</v>
      </c>
      <c r="P4" s="4">
        <v>2</v>
      </c>
      <c r="Q4" s="20">
        <v>0</v>
      </c>
      <c r="R4" s="20"/>
      <c r="S4" s="4">
        <v>0</v>
      </c>
      <c r="T4" s="4">
        <v>1</v>
      </c>
      <c r="U4" s="10"/>
      <c r="V4" s="104" t="s">
        <v>840</v>
      </c>
      <c r="W4" s="105"/>
      <c r="X4" s="104" t="s">
        <v>800</v>
      </c>
      <c r="Y4" s="105"/>
    </row>
    <row r="5" spans="1:25" ht="15" customHeight="1" x14ac:dyDescent="0.25">
      <c r="A5" s="6"/>
      <c r="B5" s="5" t="b">
        <v>1</v>
      </c>
      <c r="C5" s="186"/>
      <c r="D5" s="187"/>
      <c r="E5" s="187"/>
      <c r="F5" s="188" t="str">
        <f>IFERROR(VLOOKUP(F4,Abilities,7,FALSE),"")</f>
        <v>Attack an enemy with your primary weapon. If it's charged, hits grant a bonus move action. Hits grant a charge to Reave.</v>
      </c>
      <c r="G5" s="189"/>
      <c r="H5" s="190"/>
      <c r="I5" s="120" t="str">
        <f>IFERROR(VLOOKUP(I4,Abilities,7,FALSE),"")</f>
        <v>Attack an enemy with your sword. If it's charged, deals bonus damage. Hits grant a charge to Onslaught.</v>
      </c>
      <c r="J5" s="115"/>
      <c r="K5" s="116"/>
      <c r="L5" s="115" t="str">
        <f>IFERROR(VLOOKUP(L4,Abilities,7,FALSE),"")</f>
        <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826</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1</v>
      </c>
      <c r="R7" s="28"/>
      <c r="S7" s="27">
        <v>0</v>
      </c>
      <c r="T7" s="27"/>
      <c r="U7" s="29"/>
      <c r="V7" s="104" t="s">
        <v>867</v>
      </c>
      <c r="W7" s="105"/>
      <c r="X7" s="102" t="s">
        <v>803</v>
      </c>
      <c r="Y7" s="103"/>
    </row>
    <row r="8" spans="1:25" ht="15" customHeight="1" thickBot="1" x14ac:dyDescent="0.3">
      <c r="A8" s="6"/>
      <c r="B8" s="5" t="b">
        <v>0</v>
      </c>
      <c r="C8" s="157" t="s">
        <v>317</v>
      </c>
      <c r="D8" s="158"/>
      <c r="E8" s="12" t="s">
        <v>768</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1</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5</v>
      </c>
      <c r="F11" s="164" t="s">
        <v>741</v>
      </c>
      <c r="G11" s="165"/>
      <c r="H11" s="166"/>
      <c r="I11" s="167"/>
      <c r="J11" s="165"/>
      <c r="K11" s="166"/>
      <c r="L11" s="165" t="s">
        <v>771</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1</v>
      </c>
      <c r="C13" s="155" t="s">
        <v>322</v>
      </c>
      <c r="D13" s="156"/>
      <c r="E13" s="13" t="s">
        <v>323</v>
      </c>
      <c r="F13" s="126" t="s">
        <v>1082</v>
      </c>
      <c r="G13" s="113"/>
      <c r="H13" s="4" t="str">
        <f>IFERROR(VLOOKUP(F13,Abilities,4,FALSE),"")</f>
        <v>LWD</v>
      </c>
      <c r="I13" s="127" t="s">
        <v>961</v>
      </c>
      <c r="J13" s="113"/>
      <c r="K13" s="35" t="str">
        <f>IFERROR(VLOOKUP(I13,Abilities,4,FALSE),"")</f>
        <v>BLANK</v>
      </c>
      <c r="L13" s="112" t="s">
        <v>1112</v>
      </c>
      <c r="M13" s="113"/>
      <c r="N13" s="10" t="str">
        <f>IFERROR(VLOOKUP(L13,Abilities,4,FALSE),"")</f>
        <v>LWD</v>
      </c>
      <c r="O13" s="152"/>
      <c r="P13" s="153"/>
      <c r="Q13" s="153"/>
      <c r="R13" s="153"/>
      <c r="S13" s="153"/>
      <c r="T13" s="153"/>
      <c r="U13" s="154"/>
      <c r="V13" s="104" t="s">
        <v>817</v>
      </c>
      <c r="W13" s="105"/>
      <c r="X13" s="102" t="s">
        <v>808</v>
      </c>
      <c r="Y13" s="103"/>
    </row>
    <row r="14" spans="1:25" ht="15.75" thickBot="1" x14ac:dyDescent="0.3">
      <c r="A14" s="6"/>
      <c r="B14" s="7" t="b">
        <v>0</v>
      </c>
      <c r="F14" s="114" t="str">
        <f>IFERROR(VLOOKUP(F13,Abilities,7,FALSE),"")</f>
        <v>Onslaught no longer ends your turn. If Onslaught is charged, it deals bonus damage on a crit.</v>
      </c>
      <c r="G14" s="115"/>
      <c r="H14" s="116"/>
      <c r="I14" s="120" t="str">
        <f>IFERROR(VLOOKUP(I13,Abilities,7,FALSE),"")</f>
        <v xml:space="preserve"> </v>
      </c>
      <c r="J14" s="115"/>
      <c r="K14" s="116"/>
      <c r="L14" s="115" t="str">
        <f>IFERROR(VLOOKUP(L13,Abilities,7,FALSE),"")</f>
        <v>Reave no longer ends your turn. If Reave is charged, it shreds based on weapon tier.</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v>1</v>
      </c>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v>1</v>
      </c>
      <c r="T16" s="27"/>
      <c r="U16" s="29"/>
      <c r="V16" s="102" t="s">
        <v>785</v>
      </c>
      <c r="W16" s="103"/>
    </row>
    <row r="17" spans="1:24" ht="16.5" thickTop="1" thickBot="1" x14ac:dyDescent="0.3">
      <c r="A17" s="8"/>
      <c r="B17" s="9" t="b">
        <v>0</v>
      </c>
      <c r="F17" s="127" t="s">
        <v>961</v>
      </c>
      <c r="G17" s="113"/>
      <c r="H17" s="4" t="str">
        <f>IFERROR(VLOOKUP(F17,Abilities,4,FALSE),"")</f>
        <v>BLANK</v>
      </c>
      <c r="I17" s="127" t="s">
        <v>1115</v>
      </c>
      <c r="J17" s="113"/>
      <c r="K17" s="35" t="str">
        <f>IFERROR(VLOOKUP(I17,Abilities,4,FALSE),"")</f>
        <v>LWD</v>
      </c>
      <c r="L17" s="127" t="s">
        <v>961</v>
      </c>
      <c r="M17" s="113"/>
      <c r="N17" s="10" t="str">
        <f>IFERROR(VLOOKUP(L17,Abilities,4,FALSE),"")</f>
        <v>BLANK</v>
      </c>
      <c r="O17" s="19" t="s">
        <v>15</v>
      </c>
      <c r="P17" s="4"/>
      <c r="Q17" s="20"/>
      <c r="R17" s="20"/>
      <c r="S17" s="4">
        <v>1</v>
      </c>
      <c r="T17" s="4"/>
      <c r="U17" s="10"/>
      <c r="V17" s="104" t="s">
        <v>786</v>
      </c>
      <c r="W17" s="105"/>
    </row>
    <row r="18" spans="1:24" x14ac:dyDescent="0.25">
      <c r="A18" s="224" t="s">
        <v>344</v>
      </c>
      <c r="B18" s="225"/>
      <c r="F18" s="114" t="str">
        <f>IFERROR(VLOOKUP(F17,Abilities,7,FALSE),"")</f>
        <v xml:space="preserve"> </v>
      </c>
      <c r="G18" s="115"/>
      <c r="H18" s="116"/>
      <c r="I18" s="120" t="str">
        <f>IFERROR(VLOOKUP(I17,Abilities,7,FALSE),"")</f>
        <v>If Reave is charged, you can counterattack melee attacks. If Onslaught is charged, your reaction fire is more accurate and can crit.</v>
      </c>
      <c r="J18" s="115"/>
      <c r="K18" s="116"/>
      <c r="L18" s="115" t="str">
        <f>IFERROR(VLOOKUP(L17,Abilities,7,FALSE),"")</f>
        <v xml:space="preserve"> </v>
      </c>
      <c r="M18" s="115"/>
      <c r="N18" s="122"/>
      <c r="O18" s="26" t="s">
        <v>21</v>
      </c>
      <c r="P18" s="27"/>
      <c r="Q18" s="28"/>
      <c r="R18" s="28"/>
      <c r="S18" s="27">
        <v>0</v>
      </c>
      <c r="T18" s="27"/>
      <c r="U18" s="29"/>
      <c r="V18" s="102" t="s">
        <v>787</v>
      </c>
      <c r="W18" s="103"/>
    </row>
    <row r="19" spans="1:24" ht="15.75" thickBot="1" x14ac:dyDescent="0.3">
      <c r="A19" s="226"/>
      <c r="B19" s="227"/>
      <c r="D19" s="3"/>
      <c r="F19" s="117"/>
      <c r="G19" s="118"/>
      <c r="H19" s="119"/>
      <c r="I19" s="121"/>
      <c r="J19" s="118"/>
      <c r="K19" s="119"/>
      <c r="L19" s="118"/>
      <c r="M19" s="118"/>
      <c r="N19" s="123"/>
      <c r="O19" s="21" t="s">
        <v>457</v>
      </c>
      <c r="P19" s="4"/>
      <c r="Q19" s="20"/>
      <c r="R19" s="20"/>
      <c r="S19" s="4">
        <v>1</v>
      </c>
      <c r="T19" s="4"/>
      <c r="U19" s="10"/>
      <c r="V19" s="104" t="s">
        <v>788</v>
      </c>
      <c r="W19" s="105"/>
    </row>
    <row r="20" spans="1:24" ht="18" thickBot="1" x14ac:dyDescent="0.35">
      <c r="A20" s="135" t="s">
        <v>970</v>
      </c>
      <c r="B20" s="136"/>
      <c r="C20" s="137"/>
      <c r="D20" s="137"/>
      <c r="E20" s="138"/>
      <c r="F20" s="128" t="s">
        <v>21</v>
      </c>
      <c r="G20" s="129"/>
      <c r="H20" s="129"/>
      <c r="I20" s="129"/>
      <c r="J20" s="129"/>
      <c r="K20" s="129"/>
      <c r="L20" s="129"/>
      <c r="M20" s="129"/>
      <c r="N20" s="130"/>
      <c r="O20" s="26" t="s">
        <v>458</v>
      </c>
      <c r="P20" s="27"/>
      <c r="Q20" s="28"/>
      <c r="R20" s="28"/>
      <c r="S20" s="27">
        <v>0</v>
      </c>
      <c r="T20" s="27"/>
      <c r="U20" s="29"/>
      <c r="V20" s="104" t="s">
        <v>789</v>
      </c>
      <c r="W20" s="105"/>
    </row>
    <row r="21" spans="1:24" ht="15.75" thickTop="1" x14ac:dyDescent="0.25">
      <c r="A21" s="135"/>
      <c r="B21" s="136"/>
      <c r="C21" s="136"/>
      <c r="D21" s="136"/>
      <c r="E21" s="139"/>
      <c r="F21" s="126" t="s">
        <v>683</v>
      </c>
      <c r="G21" s="113"/>
      <c r="H21" s="4" t="str">
        <f>IFERROR(VLOOKUP(F21,Abilities,4,FALSE),"")</f>
        <v>SOLW</v>
      </c>
      <c r="I21" s="127" t="s">
        <v>961</v>
      </c>
      <c r="J21" s="113"/>
      <c r="K21" s="35" t="str">
        <f>IFERROR(VLOOKUP(I21,Abilities,4,FALSE),"")</f>
        <v>BLANK</v>
      </c>
      <c r="L21" s="112" t="s">
        <v>234</v>
      </c>
      <c r="M21" s="113"/>
      <c r="N21" s="10" t="str">
        <f>IFERROR(VLOOKUP(L21,Abilities,4,FALSE),"")</f>
        <v>LW2</v>
      </c>
      <c r="O21" s="36" t="s">
        <v>459</v>
      </c>
      <c r="P21" s="37"/>
      <c r="Q21" s="37"/>
      <c r="R21" s="37"/>
      <c r="S21" s="37">
        <v>1</v>
      </c>
      <c r="T21" s="37"/>
      <c r="U21" s="38"/>
      <c r="V21" s="102" t="s">
        <v>870</v>
      </c>
      <c r="W21" s="103"/>
    </row>
    <row r="22" spans="1:24" ht="15.75" thickBot="1" x14ac:dyDescent="0.3">
      <c r="A22" s="140"/>
      <c r="B22" s="141"/>
      <c r="C22" s="141"/>
      <c r="D22" s="141"/>
      <c r="E22" s="142"/>
      <c r="F22" s="114" t="str">
        <f>IFERROR(VLOOKUP(F21,Abilities,7,FALSE),"")</f>
        <v>Gain a bonus move action this turn. &lt;Ability:SelfCooldown/&gt; turn cooldown.</v>
      </c>
      <c r="G22" s="115"/>
      <c r="H22" s="116"/>
      <c r="I22" s="120" t="str">
        <f>IFERROR(VLOOKUP(I21,Abilities,7,FALSE),"")</f>
        <v xml:space="preserve"> </v>
      </c>
      <c r="J22" s="115"/>
      <c r="K22" s="116"/>
      <c r="L22" s="115">
        <f>IFERROR(VLOOKUP(L21,Abilities,7,FALSE),"")</f>
        <v>0</v>
      </c>
      <c r="M22" s="115"/>
      <c r="N22" s="122"/>
      <c r="O22" s="39" t="s">
        <v>460</v>
      </c>
      <c r="P22" s="40"/>
      <c r="Q22" s="41"/>
      <c r="R22" s="41"/>
      <c r="S22" s="40">
        <v>0</v>
      </c>
      <c r="T22" s="40"/>
      <c r="U22" s="42"/>
      <c r="V22" s="104" t="s">
        <v>869</v>
      </c>
      <c r="W22" s="105"/>
      <c r="X22" s="48" t="s">
        <v>868</v>
      </c>
    </row>
    <row r="23" spans="1:24"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4"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4" ht="15.75" thickTop="1" x14ac:dyDescent="0.25">
      <c r="A25" s="66"/>
      <c r="B25" s="67"/>
      <c r="C25" s="67"/>
      <c r="D25" s="67"/>
      <c r="E25" s="68"/>
      <c r="F25" s="126" t="s">
        <v>41</v>
      </c>
      <c r="G25" s="113"/>
      <c r="H25" s="4" t="str">
        <f>IFERROR(VLOOKUP(F25,Abilities,4,FALSE),"")</f>
        <v>XCOM2</v>
      </c>
      <c r="I25" s="127" t="s">
        <v>961</v>
      </c>
      <c r="J25" s="113"/>
      <c r="K25" s="35" t="str">
        <f>IFERROR(VLOOKUP(I25,Abilities,4,FALSE),"")</f>
        <v>BLANK</v>
      </c>
      <c r="L25" s="112" t="s">
        <v>214</v>
      </c>
      <c r="M25" s="113"/>
      <c r="N25" s="10" t="str">
        <f>IFERROR(VLOOKUP(L25,Abilities,4,FALSE),"")</f>
        <v>LW2</v>
      </c>
      <c r="O25" s="14"/>
      <c r="P25" s="14"/>
      <c r="Q25" s="3"/>
      <c r="V25" s="102" t="s">
        <v>871</v>
      </c>
      <c r="W25" s="103"/>
    </row>
    <row r="26" spans="1:24" x14ac:dyDescent="0.25">
      <c r="A26" s="66"/>
      <c r="B26" s="67"/>
      <c r="C26" s="67"/>
      <c r="D26" s="67"/>
      <c r="E26" s="68"/>
      <c r="F26" s="114" t="str">
        <f>IFERROR(VLOOKUP(F25,Abilities,7,FALSE),"")</f>
        <v>If you score a kill during your turn, the next attack against you during the enemy turn will miss.</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4"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4"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4" ht="15.75" thickTop="1" x14ac:dyDescent="0.25">
      <c r="A29" s="66"/>
      <c r="B29" s="67"/>
      <c r="C29" s="67"/>
      <c r="D29" s="67"/>
      <c r="E29" s="68"/>
      <c r="F29" s="126" t="s">
        <v>1111</v>
      </c>
      <c r="G29" s="113"/>
      <c r="H29" s="4" t="str">
        <f>IFERROR(VLOOKUP(F29,Abilities,4,FALSE),"")</f>
        <v>LWD</v>
      </c>
      <c r="I29" s="127" t="s">
        <v>961</v>
      </c>
      <c r="J29" s="113"/>
      <c r="K29" s="35" t="str">
        <f>IFERROR(VLOOKUP(I29,Abilities,4,FALSE),"")</f>
        <v>BLANK</v>
      </c>
      <c r="L29" s="112" t="s">
        <v>1079</v>
      </c>
      <c r="M29" s="113"/>
      <c r="N29" s="10" t="str">
        <f>IFERROR(VLOOKUP(L29,Abilities,4,FALSE),"")</f>
        <v>LWD</v>
      </c>
      <c r="O29" s="14"/>
      <c r="P29" s="14"/>
      <c r="Q29" s="3"/>
      <c r="V29" s="102" t="s">
        <v>824</v>
      </c>
      <c r="W29" s="103"/>
    </row>
    <row r="30" spans="1:24" x14ac:dyDescent="0.25">
      <c r="A30" s="66"/>
      <c r="B30" s="67"/>
      <c r="C30" s="67"/>
      <c r="D30" s="67"/>
      <c r="E30" s="68"/>
      <c r="F30" s="114" t="str">
        <f>IFERROR(VLOOKUP(F29,Abilities,7,FALSE),"")</f>
        <v>Onslaught and Reave can both hold an extra charge. Misses don't consume charges.</v>
      </c>
      <c r="G30" s="115"/>
      <c r="H30" s="116"/>
      <c r="I30" s="120" t="str">
        <f>IFERROR(VLOOKUP(I29,Abilities,7,FALSE),"")</f>
        <v xml:space="preserve"> </v>
      </c>
      <c r="J30" s="115"/>
      <c r="K30" s="116"/>
      <c r="L30" s="115" t="str">
        <f>IFERROR(VLOOKUP(L29,Abilities,7,FALSE),"")</f>
        <v>Taking damage grants a charge to Onslaught and Reave.</v>
      </c>
      <c r="M30" s="115"/>
      <c r="N30" s="122"/>
      <c r="O30" s="14"/>
      <c r="P30" s="14"/>
      <c r="Q30" s="3"/>
      <c r="V30" s="102" t="s">
        <v>818</v>
      </c>
      <c r="W30" s="103"/>
    </row>
    <row r="31" spans="1:24"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4"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871</v>
      </c>
      <c r="J33" s="113"/>
      <c r="K33" s="35" t="str">
        <f>IFERROR(VLOOKUP(I33,Abilities,4,FALSE),"")</f>
        <v>LWD</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Charged Onslaught has +10 Aim. Charged Reave has +2 damage.</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872</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1129</v>
      </c>
      <c r="G37" s="113"/>
      <c r="H37" s="4" t="str">
        <f>IFERROR(VLOOKUP(F37,Abilities,4,FALSE),"")</f>
        <v>LWD</v>
      </c>
      <c r="I37" s="127" t="s">
        <v>961</v>
      </c>
      <c r="J37" s="113"/>
      <c r="K37" s="35" t="str">
        <f>IFERROR(VLOOKUP(I37,Abilities,4,FALSE),"")</f>
        <v>BLANK</v>
      </c>
      <c r="L37" s="112" t="s">
        <v>1131</v>
      </c>
      <c r="M37" s="113"/>
      <c r="N37" s="10" t="str">
        <f>IFERROR(VLOOKUP(L37,Abilities,4,FALSE),"")</f>
        <v>LWD</v>
      </c>
    </row>
    <row r="38" spans="1:23" x14ac:dyDescent="0.25">
      <c r="A38" s="66"/>
      <c r="B38" s="67"/>
      <c r="C38" s="67"/>
      <c r="D38" s="67"/>
      <c r="E38" s="68"/>
      <c r="F38" s="114" t="str">
        <f>IFERROR(VLOOKUP(F37,Abilities,7,FALSE),"")</f>
        <v>Once per turn, a critical hit with charged Onslaught doesn't cost an action.</v>
      </c>
      <c r="G38" s="115"/>
      <c r="H38" s="116"/>
      <c r="I38" s="120" t="str">
        <f>IFERROR(VLOOKUP(I37,Abilities,7,FALSE),"")</f>
        <v xml:space="preserve"> </v>
      </c>
      <c r="J38" s="115"/>
      <c r="K38" s="116"/>
      <c r="L38" s="115" t="str">
        <f>IFERROR(VLOOKUP(L37,Abilities,7,FALSE),"")</f>
        <v>Charged Reave has bonus aim and crit chance the more wounded the target is, up to +50 aim and crit at 10% HP</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Raider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(AbilityName="LWD_Reave",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(AbilityName="LWD_Reaver",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11</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LWD_Ranger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422</v>
      </c>
      <c r="G4" s="113"/>
      <c r="H4" s="4" t="str">
        <f>IFERROR(VLOOKUP(F4,Abilities,4,FALSE),"")</f>
        <v>LW2</v>
      </c>
      <c r="I4" s="127" t="s">
        <v>423</v>
      </c>
      <c r="J4" s="113"/>
      <c r="K4" s="35" t="str">
        <f>IFERROR(VLOOKUP(I4,Abilities,4,FALSE),"")</f>
        <v>LW2</v>
      </c>
      <c r="L4" s="112" t="s">
        <v>259</v>
      </c>
      <c r="M4" s="113"/>
      <c r="N4" s="10" t="str">
        <f>IFERROR(VLOOKUP(L4,Abilities,4,FALSE),"")</f>
        <v>LW2</v>
      </c>
      <c r="O4" s="19" t="s">
        <v>12</v>
      </c>
      <c r="P4" s="4">
        <v>3</v>
      </c>
      <c r="Q4" s="20">
        <v>0</v>
      </c>
      <c r="R4" s="20"/>
      <c r="S4" s="4">
        <v>0</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f>IFERROR(VLOOKUP(I4,Abilities,7,FALSE),"")</f>
        <v>0</v>
      </c>
      <c r="J5" s="115"/>
      <c r="K5" s="116"/>
      <c r="L5" s="115">
        <f>IFERROR(VLOOKUP(L4,Abilities,7,FALSE),"")</f>
        <v>0</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3</v>
      </c>
      <c r="Q6" s="20">
        <v>0</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0</v>
      </c>
      <c r="T7" s="27"/>
      <c r="U7" s="29"/>
      <c r="V7" s="104" t="s">
        <v>778</v>
      </c>
      <c r="W7" s="105"/>
      <c r="X7" s="102" t="s">
        <v>803</v>
      </c>
      <c r="Y7" s="103"/>
    </row>
    <row r="8" spans="1:25" ht="15" customHeight="1" thickBot="1" x14ac:dyDescent="0.3">
      <c r="A8" s="6"/>
      <c r="B8" s="5" t="b">
        <v>0</v>
      </c>
      <c r="C8" s="157" t="s">
        <v>317</v>
      </c>
      <c r="D8" s="158"/>
      <c r="E8" s="12" t="s">
        <v>636</v>
      </c>
      <c r="F8" s="114" t="str">
        <f>IFERROR(VLOOKUP(F7,Abilities,7,FALSE),"")</f>
        <v/>
      </c>
      <c r="G8" s="115"/>
      <c r="H8" s="116"/>
      <c r="I8" s="120" t="str">
        <f>IFERROR(VLOOKUP(I7,Abilities,7,FALSE),"")</f>
        <v/>
      </c>
      <c r="J8" s="115"/>
      <c r="K8" s="116"/>
      <c r="L8" s="115" t="str">
        <f>IFERROR(VLOOKUP(L7,Abilities,7,FALSE),"")</f>
        <v/>
      </c>
      <c r="M8" s="115"/>
      <c r="N8" s="122"/>
      <c r="O8" s="21" t="s">
        <v>457</v>
      </c>
      <c r="P8" s="4">
        <v>3</v>
      </c>
      <c r="Q8" s="20">
        <v>1</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3</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464</v>
      </c>
      <c r="G11" s="165"/>
      <c r="H11" s="166"/>
      <c r="I11" s="167"/>
      <c r="J11" s="165"/>
      <c r="K11" s="166"/>
      <c r="L11" s="165" t="s">
        <v>465</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263</v>
      </c>
      <c r="G13" s="113"/>
      <c r="H13" s="4" t="str">
        <f>IFERROR(VLOOKUP(F13,Abilities,4,FALSE),"")</f>
        <v>LW2</v>
      </c>
      <c r="I13" s="127" t="s">
        <v>961</v>
      </c>
      <c r="J13" s="113"/>
      <c r="K13" s="35" t="str">
        <f>IFERROR(VLOOKUP(I13,Abilities,4,FALSE),"")</f>
        <v>BLANK</v>
      </c>
      <c r="L13" s="112" t="s">
        <v>146</v>
      </c>
      <c r="M13" s="113"/>
      <c r="N13" s="10" t="str">
        <f>IFERROR(VLOOKUP(L13,Abilities,4,FALSE),"")</f>
        <v>XCOM2</v>
      </c>
      <c r="O13" s="152"/>
      <c r="P13" s="153"/>
      <c r="Q13" s="153"/>
      <c r="R13" s="153"/>
      <c r="S13" s="153"/>
      <c r="T13" s="153"/>
      <c r="U13" s="154"/>
      <c r="V13" s="104" t="s">
        <v>817</v>
      </c>
      <c r="W13" s="105"/>
      <c r="X13" s="102" t="s">
        <v>808</v>
      </c>
      <c r="Y13" s="103"/>
    </row>
    <row r="14" spans="1:25" ht="15.75" thickBot="1" x14ac:dyDescent="0.3">
      <c r="A14" s="6"/>
      <c r="B14" s="7" t="b">
        <v>1</v>
      </c>
      <c r="F14" s="114">
        <f>IFERROR(VLOOKUP(F13,Abilities,7,FALSE),"")</f>
        <v>0</v>
      </c>
      <c r="G14" s="115"/>
      <c r="H14" s="116"/>
      <c r="I14" s="120" t="str">
        <f>IFERROR(VLOOKUP(I13,Abilities,7,FALSE),"")</f>
        <v xml:space="preserve"> </v>
      </c>
      <c r="J14" s="115"/>
      <c r="K14" s="116"/>
      <c r="L14" s="115" t="str">
        <f>IFERROR(VLOOKUP(L13,Abilities,7,FALSE),"")</f>
        <v>Overwatch shots can now be triggered by enemy actions, not just movement.</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265</v>
      </c>
      <c r="J17" s="113"/>
      <c r="K17" s="35" t="str">
        <f>IFERROR(VLOOKUP(I17,Abilities,4,FALSE),"")</f>
        <v>LW2</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972</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267</v>
      </c>
      <c r="G21" s="113"/>
      <c r="H21" s="4" t="str">
        <f>IFERROR(VLOOKUP(F21,Abilities,4,FALSE),"")</f>
        <v>LW2</v>
      </c>
      <c r="I21" s="127" t="s">
        <v>961</v>
      </c>
      <c r="J21" s="113"/>
      <c r="K21" s="35" t="str">
        <f>IFERROR(VLOOKUP(I21,Abilities,4,FALSE),"")</f>
        <v>BLANK</v>
      </c>
      <c r="L21" s="112" t="s">
        <v>99</v>
      </c>
      <c r="M21" s="113"/>
      <c r="N21" s="10" t="str">
        <f>IFERROR(VLOOKUP(L21,Abilities,4,FALSE),"")</f>
        <v>LW2</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t="str">
        <f>IFERROR(VLOOKUP(L21,Abilities,7,FALSE),"")</f>
        <v>Fire a barrage that pins down a target, grants reaction fire against it if it moves, restricts the use of many abilities, and imposes a -30 penalty to the target's aim.</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413</v>
      </c>
      <c r="G25" s="113"/>
      <c r="H25" s="4" t="str">
        <f>IFERROR(VLOOKUP(F25,Abilities,4,FALSE),"")</f>
        <v>LW2</v>
      </c>
      <c r="I25" s="127" t="s">
        <v>961</v>
      </c>
      <c r="J25" s="113"/>
      <c r="K25" s="35" t="str">
        <f>IFERROR(VLOOKUP(I25,Abilities,4,FALSE),"")</f>
        <v>BLANK</v>
      </c>
      <c r="L25" s="112" t="s">
        <v>306</v>
      </c>
      <c r="M25" s="113"/>
      <c r="N25" s="10" t="str">
        <f>IFERROR(VLOOKUP(L25,Abilities,4,FALSE),"")</f>
        <v>LW2</v>
      </c>
      <c r="O25" s="14"/>
      <c r="P25" s="14"/>
      <c r="Q25" s="3"/>
      <c r="V25" s="102" t="s">
        <v>794</v>
      </c>
      <c r="W25" s="103"/>
    </row>
    <row r="26" spans="1:23" x14ac:dyDescent="0.25">
      <c r="A26" s="66"/>
      <c r="B26" s="67"/>
      <c r="C26" s="67"/>
      <c r="D26" s="67"/>
      <c r="E26" s="68"/>
      <c r="F26" s="114">
        <f>IFERROR(VLOOKUP(F25,Abilities,7,FALSE),"")</f>
        <v>0</v>
      </c>
      <c r="G26" s="115"/>
      <c r="H26" s="116"/>
      <c r="I26" s="120" t="str">
        <f>IFERROR(VLOOKUP(I25,Abilities,7,FALSE),"")</f>
        <v xml:space="preserve"> </v>
      </c>
      <c r="J26" s="115"/>
      <c r="K26" s="116"/>
      <c r="L26" s="115" t="str">
        <f>IFERROR(VLOOKUP(L25,Abilities,7,FALSE),"")</f>
        <v>Activate to grant +20 defense until the beginning of the next turn. Does not cost an action. Has a 5-turn cooldown.</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236</v>
      </c>
      <c r="G29" s="113"/>
      <c r="H29" s="4" t="str">
        <f>IFERROR(VLOOKUP(F29,Abilities,4,FALSE),"")</f>
        <v>LW2</v>
      </c>
      <c r="I29" s="127" t="s">
        <v>961</v>
      </c>
      <c r="J29" s="113"/>
      <c r="K29" s="35" t="str">
        <f>IFERROR(VLOOKUP(I29,Abilities,4,FALSE),"")</f>
        <v>BLANK</v>
      </c>
      <c r="L29" s="112" t="s">
        <v>916</v>
      </c>
      <c r="M29" s="113"/>
      <c r="N29" s="10" t="str">
        <f>IFERROR(VLOOKUP(L29,Abilities,4,FALSE),"")</f>
        <v>SOLW</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t="str">
        <f>IFERROR(VLOOKUP(L29,Abilities,7,FALSE),"")</f>
        <v>When you make a standard attack with your &lt;Ability:WeaponName/&gt; you automatically enter overwatch.</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43</v>
      </c>
      <c r="J33" s="113"/>
      <c r="K33" s="35" t="str">
        <f>IFERROR(VLOOKUP(I33,Abilities,4,FALSE),"")</f>
        <v>XCOM2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Fire twice in a row at an enemy. Each shot suffers an Aim penalty of -15. There is no cooldown on this ability.</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421</v>
      </c>
      <c r="G37" s="113"/>
      <c r="H37" s="4" t="str">
        <f>IFERROR(VLOOKUP(F37,Abilities,4,FALSE),"")</f>
        <v>LW2</v>
      </c>
      <c r="I37" s="127" t="s">
        <v>961</v>
      </c>
      <c r="J37" s="113"/>
      <c r="K37" s="35" t="str">
        <f>IFERROR(VLOOKUP(I37,Abilities,4,FALSE),"")</f>
        <v>BLANK</v>
      </c>
      <c r="L37" s="112" t="s">
        <v>271</v>
      </c>
      <c r="M37" s="113"/>
      <c r="N37" s="10" t="str">
        <f>IFERROR(VLOOKUP(L37,Abilities,4,FALSE),"")</f>
        <v>LW2</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Ranger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580</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LWD_Recon</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104</v>
      </c>
      <c r="G4" s="113"/>
      <c r="H4" s="4" t="str">
        <f>IFERROR(VLOOKUP(F4,Abilities,4,FALSE),"")</f>
        <v>Spark</v>
      </c>
      <c r="I4" s="127" t="s">
        <v>600</v>
      </c>
      <c r="J4" s="113"/>
      <c r="K4" s="35" t="str">
        <f>IFERROR(VLOOKUP(I4,Abilities,4,FALSE),"")</f>
        <v>SOLW</v>
      </c>
      <c r="L4" s="112"/>
      <c r="M4" s="113"/>
      <c r="N4" s="10" t="str">
        <f>IFERROR(VLOOKUP(L4,Abilities,4,FALSE),"")</f>
        <v/>
      </c>
      <c r="O4" s="19" t="s">
        <v>12</v>
      </c>
      <c r="P4" s="4">
        <v>3</v>
      </c>
      <c r="Q4" s="20">
        <v>0</v>
      </c>
      <c r="R4" s="20"/>
      <c r="S4" s="4">
        <v>5</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t="str">
        <f>IFERROR(VLOOKUP(I4,Abilities,7,FALSE),"")</f>
        <v>If you begin your turn with no enemies able to see you, you gain concealment. This effect has a 2 turn cooldown.</v>
      </c>
      <c r="J5" s="115"/>
      <c r="K5" s="116"/>
      <c r="L5" s="115" t="str">
        <f>IFERROR(VLOOKUP(L4,Abilities,7,FALSE),"")</f>
        <v/>
      </c>
      <c r="M5" s="115"/>
      <c r="N5" s="122"/>
      <c r="O5" s="26" t="s">
        <v>456</v>
      </c>
      <c r="P5" s="27">
        <v>2</v>
      </c>
      <c r="Q5" s="28">
        <v>0</v>
      </c>
      <c r="R5" s="28"/>
      <c r="S5" s="27">
        <v>5</v>
      </c>
      <c r="T5" s="27"/>
      <c r="U5" s="29"/>
      <c r="V5" s="102" t="s">
        <v>875</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3</v>
      </c>
      <c r="Q6" s="20">
        <v>1</v>
      </c>
      <c r="R6" s="20"/>
      <c r="S6" s="4">
        <v>5</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5</v>
      </c>
      <c r="T7" s="27"/>
      <c r="U7" s="29"/>
      <c r="V7" s="104" t="s">
        <v>778</v>
      </c>
      <c r="W7" s="105"/>
      <c r="X7" s="102" t="s">
        <v>803</v>
      </c>
      <c r="Y7" s="103"/>
    </row>
    <row r="8" spans="1:25" ht="15" customHeight="1" thickBot="1" x14ac:dyDescent="0.3">
      <c r="A8" s="6"/>
      <c r="B8" s="5" t="b">
        <v>0</v>
      </c>
      <c r="C8" s="157" t="s">
        <v>317</v>
      </c>
      <c r="D8" s="158"/>
      <c r="E8" s="12" t="s">
        <v>759</v>
      </c>
      <c r="F8" s="114" t="str">
        <f>IFERROR(VLOOKUP(F7,Abilities,7,FALSE),"")</f>
        <v/>
      </c>
      <c r="G8" s="115"/>
      <c r="H8" s="116"/>
      <c r="I8" s="120" t="str">
        <f>IFERROR(VLOOKUP(I7,Abilities,7,FALSE),"")</f>
        <v/>
      </c>
      <c r="J8" s="115"/>
      <c r="K8" s="116"/>
      <c r="L8" s="115" t="str">
        <f>IFERROR(VLOOKUP(L7,Abilities,7,FALSE),"")</f>
        <v/>
      </c>
      <c r="M8" s="115"/>
      <c r="N8" s="122"/>
      <c r="O8" s="21" t="s">
        <v>457</v>
      </c>
      <c r="P8" s="4">
        <v>3</v>
      </c>
      <c r="Q8" s="20">
        <v>0</v>
      </c>
      <c r="R8" s="20"/>
      <c r="S8" s="4">
        <v>5</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5</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3</v>
      </c>
      <c r="Q10" s="37">
        <v>1</v>
      </c>
      <c r="R10" s="37"/>
      <c r="S10" s="37">
        <v>5</v>
      </c>
      <c r="T10" s="37"/>
      <c r="U10" s="38"/>
      <c r="V10" s="102" t="s">
        <v>781</v>
      </c>
      <c r="W10" s="103"/>
      <c r="X10" s="104" t="s">
        <v>805</v>
      </c>
      <c r="Y10" s="105"/>
    </row>
    <row r="11" spans="1:25" ht="15.75" customHeight="1" thickBot="1" x14ac:dyDescent="0.3">
      <c r="A11" s="6"/>
      <c r="B11" s="5" t="b">
        <v>0</v>
      </c>
      <c r="C11" s="157" t="s">
        <v>320</v>
      </c>
      <c r="D11" s="158"/>
      <c r="E11" s="12">
        <v>3</v>
      </c>
      <c r="F11" s="164" t="s">
        <v>586</v>
      </c>
      <c r="G11" s="165"/>
      <c r="H11" s="166"/>
      <c r="I11" s="167"/>
      <c r="J11" s="165"/>
      <c r="K11" s="166"/>
      <c r="L11" s="165" t="s">
        <v>353</v>
      </c>
      <c r="M11" s="165"/>
      <c r="N11" s="168"/>
      <c r="O11" s="39" t="s">
        <v>460</v>
      </c>
      <c r="P11" s="40">
        <v>2</v>
      </c>
      <c r="Q11" s="41">
        <v>0</v>
      </c>
      <c r="R11" s="41"/>
      <c r="S11" s="40">
        <v>5</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925</v>
      </c>
      <c r="G13" s="113"/>
      <c r="H13" s="4" t="str">
        <f>IFERROR(VLOOKUP(F13,Abilities,4,FALSE),"")</f>
        <v>LWD</v>
      </c>
      <c r="I13" s="127" t="s">
        <v>961</v>
      </c>
      <c r="J13" s="113"/>
      <c r="K13" s="35" t="str">
        <f>IFERROR(VLOOKUP(I13,Abilities,4,FALSE),"")</f>
        <v>BLANK</v>
      </c>
      <c r="L13" s="112" t="s">
        <v>429</v>
      </c>
      <c r="M13" s="113"/>
      <c r="N13" s="10" t="str">
        <f>IFERROR(VLOOKUP(L13,Abilities,4,FALSE),"")</f>
        <v>LW2</v>
      </c>
      <c r="O13" s="152"/>
      <c r="P13" s="153"/>
      <c r="Q13" s="153"/>
      <c r="R13" s="153"/>
      <c r="S13" s="153"/>
      <c r="T13" s="153"/>
      <c r="U13" s="154"/>
      <c r="V13" s="104" t="s">
        <v>876</v>
      </c>
      <c r="W13" s="105"/>
      <c r="X13" s="102" t="s">
        <v>808</v>
      </c>
      <c r="Y13" s="103"/>
    </row>
    <row r="14" spans="1:25" ht="15.75" thickBot="1" x14ac:dyDescent="0.3">
      <c r="A14" s="6"/>
      <c r="B14" s="7" t="b">
        <v>0</v>
      </c>
      <c r="F14" s="114" t="str">
        <f>IFERROR(VLOOKUP(F13,Abilities,7,FALSE),"")</f>
        <v>Scan for enemies in a large cone.</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1</v>
      </c>
      <c r="F16" s="128" t="s">
        <v>15</v>
      </c>
      <c r="G16" s="129"/>
      <c r="H16" s="129"/>
      <c r="I16" s="129"/>
      <c r="J16" s="129"/>
      <c r="K16" s="129"/>
      <c r="L16" s="129"/>
      <c r="M16" s="129"/>
      <c r="N16" s="130"/>
      <c r="O16" s="26" t="s">
        <v>456</v>
      </c>
      <c r="P16" s="27"/>
      <c r="Q16" s="28">
        <v>3</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927</v>
      </c>
      <c r="J17" s="113"/>
      <c r="K17" s="35" t="str">
        <f>IFERROR(VLOOKUP(I17,Abilities,4,FALSE),"")</f>
        <v>LWD</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Your vision radius increases by 3 tiles, and your critical chance increases by 5%.</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917</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607</v>
      </c>
      <c r="G21" s="113"/>
      <c r="H21" s="4" t="str">
        <f>IFERROR(VLOOKUP(F21,Abilities,4,FALSE),"")</f>
        <v>SOLW</v>
      </c>
      <c r="I21" s="127" t="s">
        <v>961</v>
      </c>
      <c r="J21" s="113"/>
      <c r="K21" s="35" t="str">
        <f>IFERROR(VLOOKUP(I21,Abilities,4,FALSE),"")</f>
        <v>BLANK</v>
      </c>
      <c r="L21" s="112" t="s">
        <v>426</v>
      </c>
      <c r="M21" s="113"/>
      <c r="N21" s="10" t="str">
        <f>IFERROR(VLOOKUP(L21,Abilities,4,FALSE),"")</f>
        <v>LW2</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You detect nearby units even without line of sight.</v>
      </c>
      <c r="G22" s="115"/>
      <c r="H22" s="116"/>
      <c r="I22" s="120" t="str">
        <f>IFERROR(VLOOKUP(I21,Abilities,7,FALSE),"")</f>
        <v xml:space="preserve"> </v>
      </c>
      <c r="J22" s="115"/>
      <c r="K22" s="116"/>
      <c r="L22" s="115">
        <f>IFERROR(VLOOKUP(L21,Abilities,7,FALSE),"")</f>
        <v>0</v>
      </c>
      <c r="M22" s="115"/>
      <c r="N22" s="122"/>
      <c r="O22" s="39" t="s">
        <v>460</v>
      </c>
      <c r="P22" s="40"/>
      <c r="Q22" s="41"/>
      <c r="R22" s="41"/>
      <c r="S22" s="40"/>
      <c r="T22" s="40"/>
      <c r="U22" s="42"/>
      <c r="V22" s="104" t="s">
        <v>855</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873</v>
      </c>
      <c r="W24" s="105"/>
    </row>
    <row r="25" spans="1:23" ht="15.75" thickTop="1" x14ac:dyDescent="0.25">
      <c r="A25" s="66"/>
      <c r="B25" s="67"/>
      <c r="C25" s="67"/>
      <c r="D25" s="67"/>
      <c r="E25" s="68"/>
      <c r="F25" s="126" t="s">
        <v>1060</v>
      </c>
      <c r="G25" s="113"/>
      <c r="H25" s="4" t="str">
        <f>IFERROR(VLOOKUP(F25,Abilities,4,FALSE),"")</f>
        <v>LWD</v>
      </c>
      <c r="I25" s="127" t="s">
        <v>961</v>
      </c>
      <c r="J25" s="113"/>
      <c r="K25" s="35" t="str">
        <f>IFERROR(VLOOKUP(I25,Abilities,4,FALSE),"")</f>
        <v>BLANK</v>
      </c>
      <c r="L25" s="112" t="s">
        <v>1062</v>
      </c>
      <c r="M25" s="113"/>
      <c r="N25" s="10" t="str">
        <f>IFERROR(VLOOKUP(L25,Abilities,4,FALSE),"")</f>
        <v>LWD</v>
      </c>
      <c r="O25" s="14"/>
      <c r="P25" s="14"/>
      <c r="Q25" s="3"/>
      <c r="V25" s="102" t="s">
        <v>794</v>
      </c>
      <c r="W25" s="103"/>
    </row>
    <row r="26" spans="1:23" x14ac:dyDescent="0.25">
      <c r="A26" s="66"/>
      <c r="B26" s="67"/>
      <c r="C26" s="67"/>
      <c r="D26" s="67"/>
      <c r="E26" s="68"/>
      <c r="F26" s="114" t="str">
        <f>IFERROR(VLOOKUP(F25,Abilities,7,FALSE),"")</f>
        <v xml:space="preserve">Entering overwatch increases your vision radius significantly. </v>
      </c>
      <c r="G26" s="115"/>
      <c r="H26" s="116"/>
      <c r="I26" s="120" t="str">
        <f>IFERROR(VLOOKUP(I25,Abilities,7,FALSE),"")</f>
        <v xml:space="preserve"> </v>
      </c>
      <c r="J26" s="115"/>
      <c r="K26" s="116"/>
      <c r="L26" s="115" t="str">
        <f>IFERROR(VLOOKUP(L25,Abilities,7,FALSE),"")</f>
        <v>Marking an enemy with your holotargeter increases your allies' defense against them.</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408</v>
      </c>
      <c r="G29" s="113"/>
      <c r="H29" s="4" t="str">
        <f>IFERROR(VLOOKUP(F29,Abilities,4,FALSE),"")</f>
        <v>LW2</v>
      </c>
      <c r="I29" s="127" t="s">
        <v>961</v>
      </c>
      <c r="J29" s="113"/>
      <c r="K29" s="35" t="str">
        <f>IFERROR(VLOOKUP(I29,Abilities,4,FALSE),"")</f>
        <v>BLANK</v>
      </c>
      <c r="L29" s="112" t="s">
        <v>425</v>
      </c>
      <c r="M29" s="113"/>
      <c r="N29" s="10" t="str">
        <f>IFERROR(VLOOKUP(L29,Abilities,4,FALSE),"")</f>
        <v>LW2</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874</v>
      </c>
      <c r="W32" s="105"/>
    </row>
    <row r="33" spans="1:23" ht="15.75" thickTop="1" x14ac:dyDescent="0.25">
      <c r="A33" s="66"/>
      <c r="B33" s="67"/>
      <c r="C33" s="67"/>
      <c r="D33" s="67"/>
      <c r="E33" s="68"/>
      <c r="F33" s="127" t="s">
        <v>961</v>
      </c>
      <c r="G33" s="113"/>
      <c r="H33" s="4" t="str">
        <f>IFERROR(VLOOKUP(F33,Abilities,4,FALSE),"")</f>
        <v>BLANK</v>
      </c>
      <c r="I33" s="127" t="s">
        <v>393</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1139</v>
      </c>
      <c r="G37" s="113"/>
      <c r="H37" s="4" t="str">
        <f>IFERROR(VLOOKUP(F37,Abilities,4,FALSE),"")</f>
        <v>LWD</v>
      </c>
      <c r="I37" s="127" t="s">
        <v>961</v>
      </c>
      <c r="J37" s="113"/>
      <c r="K37" s="35" t="str">
        <f>IFERROR(VLOOKUP(I37,Abilities,4,FALSE),"")</f>
        <v>BLANK</v>
      </c>
      <c r="L37" s="112" t="s">
        <v>617</v>
      </c>
      <c r="M37" s="113"/>
      <c r="N37" s="10" t="str">
        <f>IFERROR(VLOOKUP(L37,Abilities,4,FALSE),"")</f>
        <v>SOLW</v>
      </c>
    </row>
    <row r="38" spans="1:23" x14ac:dyDescent="0.25">
      <c r="A38" s="66"/>
      <c r="B38" s="67"/>
      <c r="C38" s="67"/>
      <c r="D38" s="67"/>
      <c r="E38" s="68"/>
      <c r="F38" s="114" t="str">
        <f>IFERROR(VLOOKUP(F37,Abilities,7,FALSE),"")</f>
        <v>Your detection radius is reduced by 25%, and an additional 25% on your turn.</v>
      </c>
      <c r="G38" s="115"/>
      <c r="H38" s="116"/>
      <c r="I38" s="120" t="str">
        <f>IFERROR(VLOOKUP(I37,Abilities,7,FALSE),"")</f>
        <v xml:space="preserve"> </v>
      </c>
      <c r="J38" s="115"/>
      <c r="K38" s="116"/>
      <c r="L38" s="115" t="str">
        <f>IFERROR(VLOOKUP(L37,Abilities,7,FALSE),"")</f>
        <v>Once per mission, call in an airstrike that does 8-12 damage in a large area. Costs both actions.</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Recon</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403</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LWD_Sapper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88</v>
      </c>
      <c r="G4" s="113"/>
      <c r="H4" s="4" t="str">
        <f>IFERROR(VLOOKUP(F4,Abilities,4,FALSE),"")</f>
        <v>XCOM2</v>
      </c>
      <c r="I4" s="127" t="s">
        <v>403</v>
      </c>
      <c r="J4" s="113"/>
      <c r="K4" s="35" t="str">
        <f>IFERROR(VLOOKUP(I4,Abilities,4,FALSE),"")</f>
        <v>LW2</v>
      </c>
      <c r="L4" s="112" t="s">
        <v>469</v>
      </c>
      <c r="M4" s="113"/>
      <c r="N4" s="10" t="str">
        <f>IFERROR(VLOOKUP(L4,Abilities,4,FALSE),"")</f>
        <v>SOLW</v>
      </c>
      <c r="O4" s="19" t="s">
        <v>12</v>
      </c>
      <c r="P4" s="4">
        <v>2</v>
      </c>
      <c r="Q4" s="20">
        <v>0</v>
      </c>
      <c r="R4" s="20"/>
      <c r="S4" s="4">
        <v>0</v>
      </c>
      <c r="T4" s="4">
        <v>1</v>
      </c>
      <c r="U4" s="10"/>
      <c r="V4" s="104" t="s">
        <v>776</v>
      </c>
      <c r="W4" s="105"/>
      <c r="X4" s="104" t="s">
        <v>800</v>
      </c>
      <c r="Y4" s="105"/>
    </row>
    <row r="5" spans="1:25" ht="15" customHeight="1" x14ac:dyDescent="0.25">
      <c r="A5" s="6"/>
      <c r="B5" s="5" t="b">
        <v>0</v>
      </c>
      <c r="C5" s="186"/>
      <c r="D5" s="187"/>
      <c r="E5" s="187"/>
      <c r="F5" s="188" t="str">
        <f>IFERROR(VLOOKUP(F4,Abilities,7,FALSE),"")</f>
        <v>The Grenadier uses a grenade launcher to fire grenades rather than throwing them. This allows for greater grenade range and grenade capacity.The grenadier gains an extra inventory slot that may only be used for grenades.</v>
      </c>
      <c r="G5" s="189"/>
      <c r="H5" s="190"/>
      <c r="I5" s="120">
        <f>IFERROR(VLOOKUP(I4,Abilities,7,FALSE),"")</f>
        <v>0</v>
      </c>
      <c r="J5" s="115"/>
      <c r="K5" s="116"/>
      <c r="L5" s="115" t="str">
        <f>IFERROR(VLOOKUP(L4,Abilities,7,FALSE),"")</f>
        <v>Your standard &lt;Ability:WeaponName/&gt; attacks deal &lt;Ability:Damage&gt;% more damage to inanimate objects such as relays and gas tanks.</v>
      </c>
      <c r="M5" s="115"/>
      <c r="N5" s="122"/>
      <c r="O5" s="26" t="s">
        <v>456</v>
      </c>
      <c r="P5" s="27">
        <v>2</v>
      </c>
      <c r="Q5" s="28">
        <v>1</v>
      </c>
      <c r="R5" s="28"/>
      <c r="S5" s="27">
        <v>0</v>
      </c>
      <c r="T5" s="27"/>
      <c r="U5" s="29"/>
      <c r="V5" s="102" t="s">
        <v>820</v>
      </c>
      <c r="W5" s="103"/>
      <c r="X5" s="102" t="s">
        <v>801</v>
      </c>
      <c r="Y5" s="103"/>
    </row>
    <row r="6" spans="1:25" ht="15" customHeight="1" x14ac:dyDescent="0.25">
      <c r="A6" s="6"/>
      <c r="B6" s="5" t="b">
        <v>1</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1</v>
      </c>
      <c r="R7" s="28"/>
      <c r="S7" s="27">
        <v>0</v>
      </c>
      <c r="T7" s="27"/>
      <c r="U7" s="29"/>
      <c r="V7" s="104" t="s">
        <v>778</v>
      </c>
      <c r="W7" s="105"/>
      <c r="X7" s="102" t="s">
        <v>803</v>
      </c>
      <c r="Y7" s="103"/>
    </row>
    <row r="8" spans="1:25" ht="15" customHeight="1" thickBot="1" x14ac:dyDescent="0.3">
      <c r="A8" s="6"/>
      <c r="B8" s="5" t="b">
        <v>0</v>
      </c>
      <c r="C8" s="157" t="s">
        <v>317</v>
      </c>
      <c r="D8" s="158"/>
      <c r="E8" s="12" t="s">
        <v>757</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1</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1</v>
      </c>
      <c r="C11" s="157" t="s">
        <v>320</v>
      </c>
      <c r="D11" s="158"/>
      <c r="E11" s="12">
        <v>4</v>
      </c>
      <c r="F11" s="164" t="s">
        <v>753</v>
      </c>
      <c r="G11" s="165"/>
      <c r="H11" s="166"/>
      <c r="I11" s="167"/>
      <c r="J11" s="165"/>
      <c r="K11" s="166"/>
      <c r="L11" s="165" t="s">
        <v>752</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833</v>
      </c>
      <c r="W12" s="105"/>
      <c r="X12" s="104" t="s">
        <v>807</v>
      </c>
      <c r="Y12" s="105"/>
    </row>
    <row r="13" spans="1:25" ht="16.5" thickTop="1" thickBot="1" x14ac:dyDescent="0.3">
      <c r="A13" s="6"/>
      <c r="B13" s="5" t="b">
        <v>0</v>
      </c>
      <c r="C13" s="155" t="s">
        <v>322</v>
      </c>
      <c r="D13" s="156"/>
      <c r="E13" s="13" t="s">
        <v>323</v>
      </c>
      <c r="F13" s="126" t="s">
        <v>416</v>
      </c>
      <c r="G13" s="113"/>
      <c r="H13" s="4" t="str">
        <f>IFERROR(VLOOKUP(F13,Abilities,4,FALSE),"")</f>
        <v>LW2</v>
      </c>
      <c r="I13" s="127" t="s">
        <v>961</v>
      </c>
      <c r="J13" s="113"/>
      <c r="K13" s="35" t="str">
        <f>IFERROR(VLOOKUP(I13,Abilities,4,FALSE),"")</f>
        <v>BLANK</v>
      </c>
      <c r="L13" s="112" t="s">
        <v>582</v>
      </c>
      <c r="M13" s="113"/>
      <c r="N13" s="10" t="str">
        <f>IFERROR(VLOOKUP(L13,Abilities,4,FALSE),"")</f>
        <v>SOLW</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t="str">
        <f>IFERROR(VLOOKUP(L13,Abilities,7,FALSE),"")</f>
        <v>Fire a shot that destroys cover and shreds &lt;Ability:Shred/&gt; armor in a small area, but deals reduced damage and can't get critical hits. Shotgun only.</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c r="T15" s="4"/>
      <c r="U15" s="10"/>
      <c r="V15" s="102" t="s">
        <v>877</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c r="T16" s="27"/>
      <c r="U16" s="29"/>
      <c r="V16" s="102" t="s">
        <v>878</v>
      </c>
      <c r="W16" s="103"/>
    </row>
    <row r="17" spans="1:23" ht="16.5" thickTop="1" thickBot="1" x14ac:dyDescent="0.3">
      <c r="A17" s="8"/>
      <c r="B17" s="9" t="b">
        <v>0</v>
      </c>
      <c r="F17" s="127" t="s">
        <v>961</v>
      </c>
      <c r="G17" s="113"/>
      <c r="H17" s="4" t="str">
        <f>IFERROR(VLOOKUP(F17,Abilities,4,FALSE),"")</f>
        <v>BLANK</v>
      </c>
      <c r="I17" s="127" t="s">
        <v>101</v>
      </c>
      <c r="J17" s="113"/>
      <c r="K17" s="35" t="str">
        <f>IFERROR(VLOOKUP(I17,Abilities,4,FALSE),"")</f>
        <v>LW2</v>
      </c>
      <c r="L17" s="127" t="s">
        <v>961</v>
      </c>
      <c r="M17" s="113"/>
      <c r="N17" s="10" t="str">
        <f>IFERROR(VLOOKUP(L17,Abilities,4,FALSE),"")</f>
        <v>BLANK</v>
      </c>
      <c r="O17" s="19" t="s">
        <v>15</v>
      </c>
      <c r="P17" s="4"/>
      <c r="Q17" s="20"/>
      <c r="R17" s="20"/>
      <c r="S17" s="4"/>
      <c r="T17" s="4"/>
      <c r="U17" s="10"/>
      <c r="V17" s="104" t="s">
        <v>879</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918</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295</v>
      </c>
      <c r="G21" s="113"/>
      <c r="H21" s="4" t="str">
        <f>IFERROR(VLOOKUP(F21,Abilities,4,FALSE),"")</f>
        <v>LW2</v>
      </c>
      <c r="I21" s="127" t="s">
        <v>961</v>
      </c>
      <c r="J21" s="113"/>
      <c r="K21" s="35" t="str">
        <f>IFERROR(VLOOKUP(I21,Abilities,4,FALSE),"")</f>
        <v>BLANK</v>
      </c>
      <c r="L21" s="112" t="s">
        <v>1090</v>
      </c>
      <c r="M21" s="113"/>
      <c r="N21" s="10" t="str">
        <f>IFERROR(VLOOKUP(L21,Abilities,4,FALSE),"")</f>
        <v>LWD</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t="str">
        <f>IFERROR(VLOOKUP(L21,Abilities,7,FALSE),"")</f>
        <v>You always carry a shaped charge into battle, and using shaped charges doesn't cost an action.</v>
      </c>
      <c r="M22" s="115"/>
      <c r="N22" s="122"/>
      <c r="O22" s="39" t="s">
        <v>460</v>
      </c>
      <c r="P22" s="40"/>
      <c r="Q22" s="41"/>
      <c r="R22" s="41"/>
      <c r="S22" s="40"/>
      <c r="T22" s="40"/>
      <c r="U22" s="42"/>
      <c r="V22" s="104" t="s">
        <v>880</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427</v>
      </c>
      <c r="G25" s="113"/>
      <c r="H25" s="4" t="str">
        <f>IFERROR(VLOOKUP(F25,Abilities,4,FALSE),"")</f>
        <v>LW2</v>
      </c>
      <c r="I25" s="127" t="s">
        <v>961</v>
      </c>
      <c r="J25" s="113"/>
      <c r="K25" s="35" t="str">
        <f>IFERROR(VLOOKUP(I25,Abilities,4,FALSE),"")</f>
        <v>BLANK</v>
      </c>
      <c r="L25" s="112" t="s">
        <v>418</v>
      </c>
      <c r="M25" s="113"/>
      <c r="N25" s="10" t="str">
        <f>IFERROR(VLOOKUP(L25,Abilities,4,FALSE),"")</f>
        <v>LW2</v>
      </c>
      <c r="O25" s="14"/>
      <c r="P25" s="14"/>
      <c r="Q25" s="3"/>
      <c r="V25" s="102" t="s">
        <v>794</v>
      </c>
      <c r="W25" s="103"/>
    </row>
    <row r="26" spans="1:23" x14ac:dyDescent="0.25">
      <c r="A26" s="66"/>
      <c r="B26" s="67"/>
      <c r="C26" s="67"/>
      <c r="D26" s="67"/>
      <c r="E26" s="68"/>
      <c r="F26" s="114">
        <f>IFERROR(VLOOKUP(F25,Abilities,7,FALSE),"")</f>
        <v>0</v>
      </c>
      <c r="G26" s="115"/>
      <c r="H26" s="116"/>
      <c r="I26" s="120" t="str">
        <f>IFERROR(VLOOKUP(I25,Abilities,7,FALSE),"")</f>
        <v xml:space="preserve"> </v>
      </c>
      <c r="J26" s="115"/>
      <c r="K26" s="116"/>
      <c r="L26" s="115">
        <f>IFERROR(VLOOKUP(L25,Abilities,7,FALSE),"")</f>
        <v>0</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297</v>
      </c>
      <c r="G29" s="113"/>
      <c r="H29" s="4" t="str">
        <f>IFERROR(VLOOKUP(F29,Abilities,4,FALSE),"")</f>
        <v>LW2</v>
      </c>
      <c r="I29" s="127" t="s">
        <v>961</v>
      </c>
      <c r="J29" s="113"/>
      <c r="K29" s="35" t="str">
        <f>IFERROR(VLOOKUP(I29,Abilities,4,FALSE),"")</f>
        <v>BLANK</v>
      </c>
      <c r="L29" s="112" t="s">
        <v>427</v>
      </c>
      <c r="M29" s="113"/>
      <c r="N29" s="10" t="str">
        <f>IFERROR(VLOOKUP(L29,Abilities,4,FALSE),"")</f>
        <v>LW2</v>
      </c>
      <c r="O29" s="14"/>
      <c r="P29" s="14"/>
      <c r="Q29" s="3"/>
      <c r="V29" s="102" t="s">
        <v>824</v>
      </c>
      <c r="W29" s="103"/>
    </row>
    <row r="30" spans="1:23" x14ac:dyDescent="0.25">
      <c r="A30" s="66"/>
      <c r="B30" s="67"/>
      <c r="C30" s="67"/>
      <c r="D30" s="67"/>
      <c r="E30" s="68"/>
      <c r="F30" s="114" t="str">
        <f>IFERROR(VLOOKUP(F29,Abilities,7,FALSE),"")</f>
        <v>Your grenades and standard rockets can inflict critical damage (50% chance for +2 damage)</v>
      </c>
      <c r="G30" s="115"/>
      <c r="H30" s="116"/>
      <c r="I30" s="120" t="str">
        <f>IFERROR(VLOOKUP(I29,Abilities,7,FALSE),"")</f>
        <v xml:space="preserve"> </v>
      </c>
      <c r="J30" s="115"/>
      <c r="K30" s="116"/>
      <c r="L30" s="115">
        <f>IFERROR(VLOOKUP(L29,Abilities,7,FALSE),"")</f>
        <v>0</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113</v>
      </c>
      <c r="J33" s="113"/>
      <c r="K33" s="35" t="str">
        <f>IFERROR(VLOOKUP(I33,Abilities,4,FALSE),"")</f>
        <v>XCOM2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Using the grenade launcher or a heavy weapon as your first action does not end the turn.</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799</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302</v>
      </c>
      <c r="G37" s="113"/>
      <c r="H37" s="4" t="str">
        <f>IFERROR(VLOOKUP(F37,Abilities,4,FALSE),"")</f>
        <v>LW2</v>
      </c>
      <c r="I37" s="127" t="s">
        <v>961</v>
      </c>
      <c r="J37" s="113"/>
      <c r="K37" s="35" t="str">
        <f>IFERROR(VLOOKUP(I37,Abilities,4,FALSE),"")</f>
        <v>BLANK</v>
      </c>
      <c r="L37" s="112" t="s">
        <v>304</v>
      </c>
      <c r="M37" s="113"/>
      <c r="N37" s="10" t="str">
        <f>IFERROR(VLOOKUP(L37,Abilities,4,FALSE),"")</f>
        <v>LW2</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Sapper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581</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LWD_Scrapper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420</v>
      </c>
      <c r="G4" s="113"/>
      <c r="H4" s="4" t="str">
        <f>IFERROR(VLOOKUP(F4,Abilities,4,FALSE),"")</f>
        <v>LW2</v>
      </c>
      <c r="I4" s="127" t="s">
        <v>618</v>
      </c>
      <c r="J4" s="113"/>
      <c r="K4" s="35" t="str">
        <f>IFERROR(VLOOKUP(I4,Abilities,4,FALSE),"")</f>
        <v>SOLW</v>
      </c>
      <c r="L4" s="112"/>
      <c r="M4" s="113"/>
      <c r="N4" s="10" t="str">
        <f>IFERROR(VLOOKUP(L4,Abilities,4,FALSE),"")</f>
        <v/>
      </c>
      <c r="O4" s="19" t="s">
        <v>12</v>
      </c>
      <c r="P4" s="4">
        <v>2</v>
      </c>
      <c r="Q4" s="20">
        <v>0</v>
      </c>
      <c r="R4" s="20"/>
      <c r="S4" s="4">
        <v>0</v>
      </c>
      <c r="T4" s="4">
        <v>1</v>
      </c>
      <c r="U4" s="10"/>
      <c r="V4" s="104" t="s">
        <v>826</v>
      </c>
      <c r="W4" s="105"/>
      <c r="X4" s="104" t="s">
        <v>884</v>
      </c>
      <c r="Y4" s="105"/>
    </row>
    <row r="5" spans="1:25" ht="15" customHeight="1" x14ac:dyDescent="0.25">
      <c r="A5" s="6"/>
      <c r="B5" s="5" t="b">
        <v>0</v>
      </c>
      <c r="C5" s="186"/>
      <c r="D5" s="187"/>
      <c r="E5" s="187"/>
      <c r="F5" s="188">
        <f>IFERROR(VLOOKUP(F4,Abilities,7,FALSE),"")</f>
        <v>0</v>
      </c>
      <c r="G5" s="189"/>
      <c r="H5" s="190"/>
      <c r="I5" s="120" t="str">
        <f>IFERROR(VLOOKUP(I4,Abilities,7,FALSE),"")</f>
        <v>Make a special melee attack against any enemy within movement range that deals little damage but stuns the target for 1 turn</v>
      </c>
      <c r="J5" s="115"/>
      <c r="K5" s="116"/>
      <c r="L5" s="115" t="str">
        <f>IFERROR(VLOOKUP(L4,Abilities,7,FALSE),"")</f>
        <v/>
      </c>
      <c r="M5" s="115"/>
      <c r="N5" s="122"/>
      <c r="O5" s="26" t="s">
        <v>456</v>
      </c>
      <c r="P5" s="27">
        <v>2</v>
      </c>
      <c r="Q5" s="28">
        <v>1</v>
      </c>
      <c r="R5" s="28"/>
      <c r="S5" s="27">
        <v>0</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0</v>
      </c>
      <c r="R6" s="20"/>
      <c r="S6" s="4">
        <v>0</v>
      </c>
      <c r="T6" s="4"/>
      <c r="U6" s="10"/>
      <c r="V6" s="102" t="s">
        <v>777</v>
      </c>
      <c r="W6" s="103"/>
      <c r="X6" s="104" t="s">
        <v>802</v>
      </c>
      <c r="Y6" s="105"/>
    </row>
    <row r="7" spans="1:25" ht="15" customHeight="1" x14ac:dyDescent="0.25">
      <c r="A7" s="6"/>
      <c r="B7" s="5" t="b">
        <v>1</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1</v>
      </c>
      <c r="R7" s="28"/>
      <c r="S7" s="27">
        <v>0</v>
      </c>
      <c r="T7" s="27"/>
      <c r="U7" s="29"/>
      <c r="V7" s="104" t="s">
        <v>778</v>
      </c>
      <c r="W7" s="105"/>
      <c r="X7" s="102" t="s">
        <v>803</v>
      </c>
      <c r="Y7" s="103"/>
    </row>
    <row r="8" spans="1:25" ht="15" customHeight="1" thickBot="1" x14ac:dyDescent="0.3">
      <c r="A8" s="6"/>
      <c r="B8" s="5" t="b">
        <v>0</v>
      </c>
      <c r="C8" s="157" t="s">
        <v>317</v>
      </c>
      <c r="D8" s="158"/>
      <c r="E8" s="12" t="s">
        <v>760</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1</v>
      </c>
      <c r="R9" s="28"/>
      <c r="S9" s="27">
        <v>0</v>
      </c>
      <c r="T9" s="27"/>
      <c r="U9" s="29"/>
      <c r="V9" s="104" t="s">
        <v>780</v>
      </c>
      <c r="W9" s="105"/>
      <c r="X9" s="110" t="s">
        <v>811</v>
      </c>
      <c r="Y9" s="111"/>
    </row>
    <row r="10" spans="1:25" ht="18.75" x14ac:dyDescent="0.3">
      <c r="A10" s="6"/>
      <c r="B10" s="5" t="b">
        <v>1</v>
      </c>
      <c r="C10" s="157" t="s">
        <v>318</v>
      </c>
      <c r="D10" s="158"/>
      <c r="E10" s="12">
        <v>4</v>
      </c>
      <c r="F10" s="159" t="s">
        <v>311</v>
      </c>
      <c r="G10" s="160"/>
      <c r="H10" s="161"/>
      <c r="I10" s="162" t="s">
        <v>349</v>
      </c>
      <c r="J10" s="160"/>
      <c r="K10" s="161"/>
      <c r="L10" s="160" t="s">
        <v>312</v>
      </c>
      <c r="M10" s="160"/>
      <c r="N10" s="163"/>
      <c r="O10" s="36" t="s">
        <v>459</v>
      </c>
      <c r="P10" s="37">
        <v>2</v>
      </c>
      <c r="Q10" s="37">
        <v>0</v>
      </c>
      <c r="R10" s="37"/>
      <c r="S10" s="37">
        <v>0</v>
      </c>
      <c r="T10" s="37"/>
      <c r="U10" s="38"/>
      <c r="V10" s="102" t="s">
        <v>781</v>
      </c>
      <c r="W10" s="103"/>
      <c r="X10" s="104" t="s">
        <v>805</v>
      </c>
      <c r="Y10" s="105"/>
    </row>
    <row r="11" spans="1:25" ht="15.75" customHeight="1" thickBot="1" x14ac:dyDescent="0.3">
      <c r="A11" s="6"/>
      <c r="B11" s="5" t="b">
        <v>0</v>
      </c>
      <c r="C11" s="157" t="s">
        <v>320</v>
      </c>
      <c r="D11" s="158"/>
      <c r="E11" s="12">
        <v>4</v>
      </c>
      <c r="F11" s="164" t="s">
        <v>742</v>
      </c>
      <c r="G11" s="165"/>
      <c r="H11" s="166"/>
      <c r="I11" s="167"/>
      <c r="J11" s="165"/>
      <c r="K11" s="166"/>
      <c r="L11" s="165" t="s">
        <v>743</v>
      </c>
      <c r="M11" s="165"/>
      <c r="N11" s="168"/>
      <c r="O11" s="39" t="s">
        <v>460</v>
      </c>
      <c r="P11" s="40">
        <v>2</v>
      </c>
      <c r="Q11" s="41">
        <v>1</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0</v>
      </c>
      <c r="C13" s="155" t="s">
        <v>322</v>
      </c>
      <c r="D13" s="156"/>
      <c r="E13" s="13" t="s">
        <v>323</v>
      </c>
      <c r="F13" s="126" t="s">
        <v>214</v>
      </c>
      <c r="G13" s="113"/>
      <c r="H13" s="4" t="str">
        <f>IFERROR(VLOOKUP(F13,Abilities,4,FALSE),"")</f>
        <v>LW2</v>
      </c>
      <c r="I13" s="127" t="s">
        <v>961</v>
      </c>
      <c r="J13" s="113"/>
      <c r="K13" s="35" t="str">
        <f>IFERROR(VLOOKUP(I13,Abilities,4,FALSE),"")</f>
        <v>BLANK</v>
      </c>
      <c r="L13" s="112" t="s">
        <v>619</v>
      </c>
      <c r="M13" s="113"/>
      <c r="N13" s="10" t="str">
        <f>IFERROR(VLOOKUP(L13,Abilities,4,FALSE),"")</f>
        <v>SOLW</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t="str">
        <f>IFERROR(VLOOKUP(L13,Abilities,7,FALSE),"")</f>
        <v>Your melee attacks deal &lt;Ability:+Damage/&gt; damage.</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5</v>
      </c>
      <c r="R15" s="20"/>
      <c r="S15" s="4">
        <v>2</v>
      </c>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5</v>
      </c>
      <c r="R16" s="28"/>
      <c r="S16" s="27">
        <v>2</v>
      </c>
      <c r="T16" s="27"/>
      <c r="U16" s="29"/>
      <c r="V16" s="102" t="s">
        <v>785</v>
      </c>
      <c r="W16" s="103"/>
    </row>
    <row r="17" spans="1:23" ht="16.5" thickTop="1" thickBot="1" x14ac:dyDescent="0.3">
      <c r="A17" s="8"/>
      <c r="B17" s="9" t="b">
        <v>0</v>
      </c>
      <c r="F17" s="127" t="s">
        <v>961</v>
      </c>
      <c r="G17" s="113"/>
      <c r="H17" s="4" t="str">
        <f>IFERROR(VLOOKUP(F17,Abilities,4,FALSE),"")</f>
        <v>BLANK</v>
      </c>
      <c r="I17" s="127" t="s">
        <v>383</v>
      </c>
      <c r="J17" s="113"/>
      <c r="K17" s="35" t="str">
        <f>IFERROR(VLOOKUP(I17,Abilities,4,FALSE),"")</f>
        <v>LW2</v>
      </c>
      <c r="L17" s="127" t="s">
        <v>961</v>
      </c>
      <c r="M17" s="113"/>
      <c r="N17" s="10" t="str">
        <f>IFERROR(VLOOKUP(L17,Abilities,4,FALSE),"")</f>
        <v>BLANK</v>
      </c>
      <c r="O17" s="19" t="s">
        <v>15</v>
      </c>
      <c r="P17" s="4"/>
      <c r="Q17" s="20"/>
      <c r="R17" s="20"/>
      <c r="S17" s="4">
        <v>1</v>
      </c>
      <c r="T17" s="4"/>
      <c r="U17" s="10"/>
      <c r="V17" s="104" t="s">
        <v>883</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919</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620</v>
      </c>
      <c r="G21" s="113"/>
      <c r="H21" s="4" t="str">
        <f>IFERROR(VLOOKUP(F21,Abilities,4,FALSE),"")</f>
        <v>SOLW</v>
      </c>
      <c r="I21" s="127" t="s">
        <v>961</v>
      </c>
      <c r="J21" s="113"/>
      <c r="K21" s="35" t="str">
        <f>IFERROR(VLOOKUP(I21,Abilities,4,FALSE),"")</f>
        <v>BLANK</v>
      </c>
      <c r="L21" s="112" t="s">
        <v>23</v>
      </c>
      <c r="M21" s="113"/>
      <c r="N21" s="10" t="str">
        <f>IFERROR(VLOOKUP(L21,Abilities,4,FALSE),"")</f>
        <v>XCOM2</v>
      </c>
      <c r="O21" s="36" t="s">
        <v>459</v>
      </c>
      <c r="P21" s="37"/>
      <c r="Q21" s="37"/>
      <c r="R21" s="37"/>
      <c r="S21" s="37"/>
      <c r="T21" s="37"/>
      <c r="U21" s="38"/>
      <c r="V21" s="102" t="s">
        <v>790</v>
      </c>
      <c r="W21" s="103"/>
    </row>
    <row r="22" spans="1:23" ht="15.75" thickBot="1" x14ac:dyDescent="0.3">
      <c r="A22" s="140"/>
      <c r="B22" s="141"/>
      <c r="C22" s="141"/>
      <c r="D22" s="141"/>
      <c r="E22" s="142"/>
      <c r="F22" s="114" t="str">
        <f>IFERROR(VLOOKUP(F21,Abilities,7,FALSE),"")</f>
        <v>Grants 1 free incendiary grenade item to your inventory.</v>
      </c>
      <c r="G22" s="115"/>
      <c r="H22" s="116"/>
      <c r="I22" s="120" t="str">
        <f>IFERROR(VLOOKUP(I21,Abilities,7,FALSE),"")</f>
        <v xml:space="preserve"> </v>
      </c>
      <c r="J22" s="115"/>
      <c r="K22" s="116"/>
      <c r="L22" s="115" t="str">
        <f>IFERROR(VLOOKUP(L21,Abilities,7,FALSE),"")</f>
        <v>This soldier does not trigger overwatch or reaction fire.</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596</v>
      </c>
      <c r="G25" s="113"/>
      <c r="H25" s="4" t="str">
        <f>IFERROR(VLOOKUP(F25,Abilities,4,FALSE),"")</f>
        <v>SOLW</v>
      </c>
      <c r="I25" s="127" t="s">
        <v>961</v>
      </c>
      <c r="J25" s="113"/>
      <c r="K25" s="35" t="str">
        <f>IFERROR(VLOOKUP(I25,Abilities,4,FALSE),"")</f>
        <v>BLANK</v>
      </c>
      <c r="L25" s="112" t="s">
        <v>744</v>
      </c>
      <c r="M25" s="113"/>
      <c r="N25" s="10" t="str">
        <f>IFERROR(VLOOKUP(L25,Abilities,4,FALSE),"")</f>
        <v>LW2</v>
      </c>
      <c r="O25" s="14"/>
      <c r="P25" s="14"/>
      <c r="Q25" s="3"/>
      <c r="V25" s="102" t="s">
        <v>896</v>
      </c>
      <c r="W25" s="103"/>
    </row>
    <row r="26" spans="1:23" x14ac:dyDescent="0.25">
      <c r="A26" s="66"/>
      <c r="B26" s="67"/>
      <c r="C26" s="67"/>
      <c r="D26" s="67"/>
      <c r="E26" s="68"/>
      <c r="F26" s="114" t="str">
        <f>IFERROR(VLOOKUP(F25,Abilities,7,FALSE),"")</f>
        <v>Increases Will by &lt;Ability:Will&gt;, and guarantees that you bleed out instead of die outright once per mission.</v>
      </c>
      <c r="G26" s="115"/>
      <c r="H26" s="116"/>
      <c r="I26" s="120" t="str">
        <f>IFERROR(VLOOKUP(I25,Abilities,7,FALSE),"")</f>
        <v xml:space="preserve"> </v>
      </c>
      <c r="J26" s="115"/>
      <c r="K26" s="116"/>
      <c r="L26" s="115" t="str">
        <f>IFERROR(VLOOKUP(L25,Abilities,7,FALSE),"")</f>
        <v>Enemy attacks against you suffer a -50 penalty to critical hit chances.</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217</v>
      </c>
      <c r="G29" s="113"/>
      <c r="H29" s="4" t="str">
        <f>IFERROR(VLOOKUP(F29,Abilities,4,FALSE),"")</f>
        <v>LW2</v>
      </c>
      <c r="I29" s="127" t="s">
        <v>961</v>
      </c>
      <c r="J29" s="113"/>
      <c r="K29" s="35" t="str">
        <f>IFERROR(VLOOKUP(I29,Abilities,4,FALSE),"")</f>
        <v>BLANK</v>
      </c>
      <c r="L29" s="112" t="s">
        <v>35</v>
      </c>
      <c r="M29" s="113"/>
      <c r="N29" s="10" t="str">
        <f>IFERROR(VLOOKUP(L29,Abilities,4,FALSE),"")</f>
        <v>XCOM2</v>
      </c>
      <c r="O29" s="14"/>
      <c r="P29" s="14"/>
      <c r="Q29" s="3"/>
      <c r="V29" s="102" t="s">
        <v>882</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t="str">
        <f>IFERROR(VLOOKUP(L29,Abilities,7,FALSE),"")</f>
        <v>Free sword attacks on enemies that enter or attack from melee range. If an enemy attempts to attack a Ranger with Bladestorm within melee range, Bladestorm will activate before the enemy attack.</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41</v>
      </c>
      <c r="J33" s="113"/>
      <c r="K33" s="35" t="str">
        <f>IFERROR(VLOOKUP(I33,Abilities,4,FALSE),"")</f>
        <v>XCOM2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t="str">
        <f>IFERROR(VLOOKUP(I33,Abilities,7,FALSE),"")</f>
        <v>If you score a kill during your turn, the next attack against you during the enemy turn will miss.</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881</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432</v>
      </c>
      <c r="G37" s="113"/>
      <c r="H37" s="4" t="str">
        <f>IFERROR(VLOOKUP(F37,Abilities,4,FALSE),"")</f>
        <v>LW2</v>
      </c>
      <c r="I37" s="127" t="s">
        <v>961</v>
      </c>
      <c r="J37" s="113"/>
      <c r="K37" s="35" t="str">
        <f>IFERROR(VLOOKUP(I37,Abilities,4,FALSE),"")</f>
        <v>BLANK</v>
      </c>
      <c r="L37" s="112" t="s">
        <v>609</v>
      </c>
      <c r="M37" s="113"/>
      <c r="N37" s="10" t="str">
        <f>IFERROR(VLOOKUP(L37,Abilities,4,FALSE),"")</f>
        <v>SOLW</v>
      </c>
    </row>
    <row r="38" spans="1:23" x14ac:dyDescent="0.25">
      <c r="A38" s="66"/>
      <c r="B38" s="67"/>
      <c r="C38" s="67"/>
      <c r="D38" s="67"/>
      <c r="E38" s="68"/>
      <c r="F38" s="114">
        <f>IFERROR(VLOOKUP(F37,Abilities,7,FALSE),"")</f>
        <v>0</v>
      </c>
      <c r="G38" s="115"/>
      <c r="H38" s="116"/>
      <c r="I38" s="120" t="str">
        <f>IFERROR(VLOOKUP(I37,Abilities,7,FALSE),"")</f>
        <v xml:space="preserve"> </v>
      </c>
      <c r="J38" s="115"/>
      <c r="K38" s="116"/>
      <c r="L38" s="115" t="str">
        <f>IFERROR(VLOOKUP(L37,Abilities,7,FALSE),"")</f>
        <v>Increases damage against organic targets by 30%.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Scrapper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(AbilityName="Bladestorm",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52</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LWD_Sharpshooter</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104</v>
      </c>
      <c r="G4" s="113"/>
      <c r="H4" s="4" t="str">
        <f>IFERROR(VLOOKUP(F4,Abilities,4,FALSE),"")</f>
        <v>Spark</v>
      </c>
      <c r="I4" s="127" t="s">
        <v>53</v>
      </c>
      <c r="J4" s="113"/>
      <c r="K4" s="35" t="str">
        <f>IFERROR(VLOOKUP(I4,Abilities,4,FALSE),"")</f>
        <v>XCOM2</v>
      </c>
      <c r="L4" s="112"/>
      <c r="M4" s="113"/>
      <c r="N4" s="10" t="str">
        <f>IFERROR(VLOOKUP(L4,Abilities,4,FALSE),"")</f>
        <v/>
      </c>
      <c r="O4" s="19" t="s">
        <v>12</v>
      </c>
      <c r="P4" s="4">
        <v>4</v>
      </c>
      <c r="Q4" s="20">
        <v>0</v>
      </c>
      <c r="R4" s="20"/>
      <c r="S4" s="4">
        <v>0</v>
      </c>
      <c r="T4" s="4">
        <v>1</v>
      </c>
      <c r="U4" s="10"/>
      <c r="V4" s="104" t="s">
        <v>776</v>
      </c>
      <c r="W4" s="105"/>
      <c r="X4" s="104" t="s">
        <v>800</v>
      </c>
      <c r="Y4" s="105"/>
    </row>
    <row r="5" spans="1:25" ht="15" customHeight="1" x14ac:dyDescent="0.25">
      <c r="A5" s="6"/>
      <c r="B5" s="5" t="b">
        <v>0</v>
      </c>
      <c r="C5" s="186"/>
      <c r="D5" s="187"/>
      <c r="E5" s="187"/>
      <c r="F5" s="188">
        <f>IFERROR(VLOOKUP(F4,Abilities,7,FALSE),"")</f>
        <v>0</v>
      </c>
      <c r="G5" s="189"/>
      <c r="H5" s="190"/>
      <c r="I5" s="120" t="str">
        <f>IFERROR(VLOOKUP(I4,Abilities,7,FALSE),"")</f>
        <v>You can target enemies within squadmates' sight, provided there is line of sight to the target.</v>
      </c>
      <c r="J5" s="115"/>
      <c r="K5" s="116"/>
      <c r="L5" s="115" t="str">
        <f>IFERROR(VLOOKUP(L4,Abilities,7,FALSE),"")</f>
        <v/>
      </c>
      <c r="M5" s="115"/>
      <c r="N5" s="122"/>
      <c r="O5" s="26" t="s">
        <v>456</v>
      </c>
      <c r="P5" s="27">
        <v>3</v>
      </c>
      <c r="Q5" s="28">
        <v>0</v>
      </c>
      <c r="R5" s="28"/>
      <c r="S5" s="27">
        <v>0</v>
      </c>
      <c r="T5" s="27"/>
      <c r="U5" s="29"/>
      <c r="V5" s="102" t="s">
        <v>820</v>
      </c>
      <c r="W5" s="103"/>
      <c r="X5" s="102" t="s">
        <v>888</v>
      </c>
      <c r="Y5" s="103"/>
    </row>
    <row r="6" spans="1:25" ht="15" customHeight="1" x14ac:dyDescent="0.25">
      <c r="A6" s="6"/>
      <c r="B6" s="5" t="b">
        <v>0</v>
      </c>
      <c r="C6" s="157" t="s">
        <v>315</v>
      </c>
      <c r="D6" s="198"/>
      <c r="E6" s="11">
        <v>0</v>
      </c>
      <c r="F6" s="191"/>
      <c r="G6" s="192"/>
      <c r="H6" s="193"/>
      <c r="I6" s="194"/>
      <c r="J6" s="195"/>
      <c r="K6" s="196"/>
      <c r="L6" s="195"/>
      <c r="M6" s="195"/>
      <c r="N6" s="197"/>
      <c r="O6" s="19" t="s">
        <v>15</v>
      </c>
      <c r="P6" s="4">
        <v>4</v>
      </c>
      <c r="Q6" s="20">
        <v>1</v>
      </c>
      <c r="R6" s="20"/>
      <c r="S6" s="4">
        <v>0</v>
      </c>
      <c r="T6" s="4"/>
      <c r="U6" s="10"/>
      <c r="V6" s="102" t="s">
        <v>777</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3</v>
      </c>
      <c r="Q7" s="28">
        <v>0</v>
      </c>
      <c r="R7" s="28"/>
      <c r="S7" s="27">
        <v>0</v>
      </c>
      <c r="T7" s="27"/>
      <c r="U7" s="29"/>
      <c r="V7" s="104" t="s">
        <v>778</v>
      </c>
      <c r="W7" s="105"/>
      <c r="X7" s="102" t="s">
        <v>803</v>
      </c>
      <c r="Y7" s="103"/>
    </row>
    <row r="8" spans="1:25" ht="15" customHeight="1" thickBot="1" x14ac:dyDescent="0.3">
      <c r="A8" s="6"/>
      <c r="B8" s="5" t="b">
        <v>1</v>
      </c>
      <c r="C8" s="157" t="s">
        <v>317</v>
      </c>
      <c r="D8" s="158"/>
      <c r="E8" s="12" t="s">
        <v>637</v>
      </c>
      <c r="F8" s="114" t="str">
        <f>IFERROR(VLOOKUP(F7,Abilities,7,FALSE),"")</f>
        <v/>
      </c>
      <c r="G8" s="115"/>
      <c r="H8" s="116"/>
      <c r="I8" s="120" t="str">
        <f>IFERROR(VLOOKUP(I7,Abilities,7,FALSE),"")</f>
        <v/>
      </c>
      <c r="J8" s="115"/>
      <c r="K8" s="116"/>
      <c r="L8" s="115" t="str">
        <f>IFERROR(VLOOKUP(L7,Abilities,7,FALSE),"")</f>
        <v/>
      </c>
      <c r="M8" s="115"/>
      <c r="N8" s="122"/>
      <c r="O8" s="21" t="s">
        <v>457</v>
      </c>
      <c r="P8" s="4">
        <v>4</v>
      </c>
      <c r="Q8" s="20">
        <v>0</v>
      </c>
      <c r="R8" s="20"/>
      <c r="S8" s="4">
        <v>0</v>
      </c>
      <c r="T8" s="4"/>
      <c r="U8" s="10"/>
      <c r="V8" s="102" t="s">
        <v>779</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3</v>
      </c>
      <c r="Q9" s="28">
        <v>0</v>
      </c>
      <c r="R9" s="28"/>
      <c r="S9" s="27">
        <v>0</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4</v>
      </c>
      <c r="Q10" s="37">
        <v>1</v>
      </c>
      <c r="R10" s="37"/>
      <c r="S10" s="37">
        <v>0</v>
      </c>
      <c r="T10" s="37"/>
      <c r="U10" s="38"/>
      <c r="V10" s="102" t="s">
        <v>781</v>
      </c>
      <c r="W10" s="103"/>
      <c r="X10" s="104" t="s">
        <v>805</v>
      </c>
      <c r="Y10" s="105"/>
    </row>
    <row r="11" spans="1:25" ht="15.75" customHeight="1" thickBot="1" x14ac:dyDescent="0.3">
      <c r="A11" s="6"/>
      <c r="B11" s="5" t="b">
        <v>0</v>
      </c>
      <c r="C11" s="157" t="s">
        <v>320</v>
      </c>
      <c r="D11" s="158"/>
      <c r="E11" s="12">
        <v>5</v>
      </c>
      <c r="F11" s="164" t="s">
        <v>466</v>
      </c>
      <c r="G11" s="165"/>
      <c r="H11" s="166"/>
      <c r="I11" s="167"/>
      <c r="J11" s="165"/>
      <c r="K11" s="166"/>
      <c r="L11" s="165" t="s">
        <v>61</v>
      </c>
      <c r="M11" s="165"/>
      <c r="N11" s="168"/>
      <c r="O11" s="39" t="s">
        <v>460</v>
      </c>
      <c r="P11" s="40">
        <v>3</v>
      </c>
      <c r="Q11" s="41">
        <v>0</v>
      </c>
      <c r="R11" s="41"/>
      <c r="S11" s="40">
        <v>0</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889</v>
      </c>
      <c r="W12" s="105"/>
      <c r="X12" s="104" t="s">
        <v>807</v>
      </c>
      <c r="Y12" s="105"/>
    </row>
    <row r="13" spans="1:25" ht="16.5" thickTop="1" thickBot="1" x14ac:dyDescent="0.3">
      <c r="A13" s="6"/>
      <c r="B13" s="5" t="b">
        <v>0</v>
      </c>
      <c r="C13" s="155" t="s">
        <v>322</v>
      </c>
      <c r="D13" s="156"/>
      <c r="E13" s="13" t="s">
        <v>323</v>
      </c>
      <c r="F13" s="126" t="s">
        <v>55</v>
      </c>
      <c r="G13" s="113"/>
      <c r="H13" s="4" t="str">
        <f>IFERROR(VLOOKUP(F13,Abilities,4,FALSE),"")</f>
        <v>XCOM2</v>
      </c>
      <c r="I13" s="127" t="s">
        <v>961</v>
      </c>
      <c r="J13" s="113"/>
      <c r="K13" s="35" t="str">
        <f>IFERROR(VLOOKUP(I13,Abilities,4,FALSE),"")</f>
        <v>BLANK</v>
      </c>
      <c r="L13" s="112" t="s">
        <v>66</v>
      </c>
      <c r="M13" s="113"/>
      <c r="N13" s="10" t="str">
        <f>IFERROR(VLOOKUP(L13,Abilities,4,FALSE),"")</f>
        <v>XCOM2</v>
      </c>
      <c r="O13" s="152"/>
      <c r="P13" s="153"/>
      <c r="Q13" s="153"/>
      <c r="R13" s="153"/>
      <c r="S13" s="153"/>
      <c r="T13" s="153"/>
      <c r="U13" s="154"/>
      <c r="V13" s="104" t="s">
        <v>817</v>
      </c>
      <c r="W13" s="105"/>
      <c r="X13" s="102" t="s">
        <v>885</v>
      </c>
      <c r="Y13" s="103"/>
    </row>
    <row r="14" spans="1:25" ht="15.75" thickBot="1" x14ac:dyDescent="0.3">
      <c r="A14" s="6"/>
      <c r="B14" s="7" t="b">
        <v>0</v>
      </c>
      <c r="F14" s="114" t="str">
        <f>IFERROR(VLOOKUP(F13,Abilities,7,FALSE),"")</f>
        <v>Allow Overwatch to trigger with Squadsight.</v>
      </c>
      <c r="G14" s="115"/>
      <c r="H14" s="116"/>
      <c r="I14" s="120" t="str">
        <f>IFERROR(VLOOKUP(I13,Abilities,7,FALSE),"")</f>
        <v xml:space="preserve"> </v>
      </c>
      <c r="J14" s="115"/>
      <c r="K14" s="116"/>
      <c r="L14" s="115" t="str">
        <f>IFERROR(VLOOKUP(L13,Abilities,7,FALSE),"")</f>
        <v>Killing an enemy at a lower elevation with your sniper rifle costs only a single action and does not end your turn.</v>
      </c>
      <c r="M14" s="115"/>
      <c r="N14" s="122"/>
      <c r="O14" s="22"/>
      <c r="P14" s="23" t="s">
        <v>331</v>
      </c>
      <c r="Q14" s="24" t="s">
        <v>332</v>
      </c>
      <c r="R14" s="24" t="s">
        <v>333</v>
      </c>
      <c r="S14" s="24" t="s">
        <v>334</v>
      </c>
      <c r="T14" s="24" t="s">
        <v>336</v>
      </c>
      <c r="U14" s="25" t="s">
        <v>335</v>
      </c>
      <c r="V14" s="102" t="s">
        <v>783</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3</v>
      </c>
      <c r="R15" s="20"/>
      <c r="S15" s="4"/>
      <c r="T15" s="4"/>
      <c r="U15" s="10"/>
      <c r="V15" s="102" t="s">
        <v>822</v>
      </c>
      <c r="W15" s="103"/>
    </row>
    <row r="16" spans="1:25" ht="18" thickBot="1" x14ac:dyDescent="0.35">
      <c r="A16" s="6"/>
      <c r="B16" s="7" t="b">
        <v>1</v>
      </c>
      <c r="F16" s="128" t="s">
        <v>15</v>
      </c>
      <c r="G16" s="129"/>
      <c r="H16" s="129"/>
      <c r="I16" s="129"/>
      <c r="J16" s="129"/>
      <c r="K16" s="129"/>
      <c r="L16" s="129"/>
      <c r="M16" s="129"/>
      <c r="N16" s="130"/>
      <c r="O16" s="26" t="s">
        <v>456</v>
      </c>
      <c r="P16" s="27"/>
      <c r="Q16" s="28">
        <v>3</v>
      </c>
      <c r="R16" s="28"/>
      <c r="S16" s="27"/>
      <c r="T16" s="27"/>
      <c r="U16" s="29"/>
      <c r="V16" s="102" t="s">
        <v>785</v>
      </c>
      <c r="W16" s="103"/>
    </row>
    <row r="17" spans="1:23" ht="16.5" thickTop="1" thickBot="1" x14ac:dyDescent="0.3">
      <c r="A17" s="8"/>
      <c r="B17" s="9" t="b">
        <v>0</v>
      </c>
      <c r="F17" s="127" t="s">
        <v>961</v>
      </c>
      <c r="G17" s="113"/>
      <c r="H17" s="4" t="str">
        <f>IFERROR(VLOOKUP(F17,Abilities,4,FALSE),"")</f>
        <v>BLANK</v>
      </c>
      <c r="I17" s="127" t="s">
        <v>949</v>
      </c>
      <c r="J17" s="113"/>
      <c r="K17" s="35" t="str">
        <f>IFERROR(VLOOKUP(I17,Abilities,4,FALSE),"")</f>
        <v>SOLW</v>
      </c>
      <c r="L17" s="127" t="s">
        <v>961</v>
      </c>
      <c r="M17" s="113"/>
      <c r="N17" s="10" t="str">
        <f>IFERROR(VLOOKUP(L17,Abilities,4,FALSE),"")</f>
        <v>BLANK</v>
      </c>
      <c r="O17" s="19" t="s">
        <v>15</v>
      </c>
      <c r="P17" s="4"/>
      <c r="Q17" s="20"/>
      <c r="R17" s="20"/>
      <c r="S17" s="4"/>
      <c r="T17" s="4"/>
      <c r="U17" s="10"/>
      <c r="V17" s="104" t="s">
        <v>786</v>
      </c>
      <c r="W17" s="105"/>
    </row>
    <row r="18" spans="1:23" x14ac:dyDescent="0.25">
      <c r="A18" s="224" t="s">
        <v>344</v>
      </c>
      <c r="B18" s="225"/>
      <c r="F18" s="114" t="str">
        <f>IFERROR(VLOOKUP(F17,Abilities,7,FALSE),"")</f>
        <v xml:space="preserve"> </v>
      </c>
      <c r="G18" s="115"/>
      <c r="H18" s="116"/>
      <c r="I18" s="120" t="str">
        <f>IFERROR(VLOOKUP(I17,Abilities,7,FALSE),"")</f>
        <v>Mark a target, giving you &lt;Ability:+Crit:ShadowOps_ThisOnesMine_Passive/&gt; Crit chance and &lt;Ability:+Defense:ShadowOps_ThisOnesMine_Passive/&gt; Defense against it for 3 turns. This ability doesn't cost an action.</v>
      </c>
      <c r="J18" s="115"/>
      <c r="K18" s="116"/>
      <c r="L18" s="115" t="str">
        <f>IFERROR(VLOOKUP(L17,Abilities,7,FALSE),"")</f>
        <v xml:space="preserve"> </v>
      </c>
      <c r="M18" s="115"/>
      <c r="N18" s="122"/>
      <c r="O18" s="26" t="s">
        <v>21</v>
      </c>
      <c r="P18" s="27"/>
      <c r="Q18" s="28"/>
      <c r="R18" s="28"/>
      <c r="S18" s="27"/>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c r="T19" s="4"/>
      <c r="U19" s="10"/>
      <c r="V19" s="104" t="s">
        <v>788</v>
      </c>
      <c r="W19" s="105"/>
    </row>
    <row r="20" spans="1:23" ht="18" thickBot="1" x14ac:dyDescent="0.35">
      <c r="A20" s="135" t="s">
        <v>973</v>
      </c>
      <c r="B20" s="136"/>
      <c r="C20" s="137"/>
      <c r="D20" s="137"/>
      <c r="E20" s="138"/>
      <c r="F20" s="128" t="s">
        <v>21</v>
      </c>
      <c r="G20" s="129"/>
      <c r="H20" s="129"/>
      <c r="I20" s="129"/>
      <c r="J20" s="129"/>
      <c r="K20" s="129"/>
      <c r="L20" s="129"/>
      <c r="M20" s="129"/>
      <c r="N20" s="130"/>
      <c r="O20" s="26" t="s">
        <v>458</v>
      </c>
      <c r="P20" s="27"/>
      <c r="Q20" s="28"/>
      <c r="R20" s="28"/>
      <c r="S20" s="27"/>
      <c r="T20" s="27"/>
      <c r="U20" s="29"/>
      <c r="V20" s="104" t="s">
        <v>789</v>
      </c>
      <c r="W20" s="105"/>
    </row>
    <row r="21" spans="1:23" ht="15.75" thickTop="1" x14ac:dyDescent="0.25">
      <c r="A21" s="135"/>
      <c r="B21" s="136"/>
      <c r="C21" s="136"/>
      <c r="D21" s="136"/>
      <c r="E21" s="139"/>
      <c r="F21" s="126" t="s">
        <v>254</v>
      </c>
      <c r="G21" s="113"/>
      <c r="H21" s="4" t="str">
        <f>IFERROR(VLOOKUP(F21,Abilities,4,FALSE),"")</f>
        <v>LW2</v>
      </c>
      <c r="I21" s="127" t="s">
        <v>961</v>
      </c>
      <c r="J21" s="113"/>
      <c r="K21" s="35" t="str">
        <f>IFERROR(VLOOKUP(I21,Abilities,4,FALSE),"")</f>
        <v>BLANK</v>
      </c>
      <c r="L21" s="112" t="s">
        <v>429</v>
      </c>
      <c r="M21" s="113"/>
      <c r="N21" s="10" t="str">
        <f>IFERROR(VLOOKUP(L21,Abilities,4,FALSE),"")</f>
        <v>LW2</v>
      </c>
      <c r="O21" s="36" t="s">
        <v>459</v>
      </c>
      <c r="P21" s="37"/>
      <c r="Q21" s="37"/>
      <c r="R21" s="37"/>
      <c r="S21" s="37"/>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f>IFERROR(VLOOKUP(L21,Abilities,7,FALSE),"")</f>
        <v>0</v>
      </c>
      <c r="M22" s="115"/>
      <c r="N22" s="122"/>
      <c r="O22" s="39" t="s">
        <v>460</v>
      </c>
      <c r="P22" s="40"/>
      <c r="Q22" s="41"/>
      <c r="R22" s="41"/>
      <c r="S22" s="40"/>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793</v>
      </c>
      <c r="W24" s="105"/>
    </row>
    <row r="25" spans="1:23" ht="15.75" thickTop="1" x14ac:dyDescent="0.25">
      <c r="A25" s="66"/>
      <c r="B25" s="67"/>
      <c r="C25" s="67"/>
      <c r="D25" s="67"/>
      <c r="E25" s="68"/>
      <c r="F25" s="126" t="s">
        <v>14</v>
      </c>
      <c r="G25" s="113"/>
      <c r="H25" s="4" t="str">
        <f>IFERROR(VLOOKUP(F25,Abilities,4,FALSE),"")</f>
        <v>XCOM2</v>
      </c>
      <c r="I25" s="127" t="s">
        <v>961</v>
      </c>
      <c r="J25" s="113"/>
      <c r="K25" s="35" t="str">
        <f>IFERROR(VLOOKUP(I25,Abilities,4,FALSE),"")</f>
        <v>BLANK</v>
      </c>
      <c r="L25" s="112" t="s">
        <v>622</v>
      </c>
      <c r="M25" s="113"/>
      <c r="N25" s="10" t="str">
        <f>IFERROR(VLOOKUP(L25,Abilities,4,FALSE),"")</f>
        <v>SOLW</v>
      </c>
      <c r="O25" s="14"/>
      <c r="P25" s="14"/>
      <c r="Q25" s="3"/>
      <c r="V25" s="102" t="s">
        <v>794</v>
      </c>
      <c r="W25" s="103"/>
    </row>
    <row r="26" spans="1:23" x14ac:dyDescent="0.25">
      <c r="A26" s="66"/>
      <c r="B26" s="67"/>
      <c r="C26" s="67"/>
      <c r="D26" s="67"/>
      <c r="E26" s="68"/>
      <c r="F26" s="114" t="str">
        <f>IFERROR(VLOOKUP(F25,Abilities,7,FALSE),"")</f>
        <v>When the squad is revealed, this soldier remains concealed.</v>
      </c>
      <c r="G26" s="115"/>
      <c r="H26" s="116"/>
      <c r="I26" s="120" t="str">
        <f>IFERROR(VLOOKUP(I25,Abilities,7,FALSE),"")</f>
        <v xml:space="preserve"> </v>
      </c>
      <c r="J26" s="115"/>
      <c r="K26" s="116"/>
      <c r="L26" s="115" t="str">
        <f>IFERROR(VLOOKUP(L25,Abilities,7,FALSE),"")</f>
        <v>Once per turn, you get a free overwatch shot when your This One's Mine target moves or attacks.</v>
      </c>
      <c r="M26" s="115"/>
      <c r="N26" s="122"/>
      <c r="O26" s="14"/>
      <c r="P26" s="14"/>
      <c r="Q26" s="3"/>
      <c r="V26" s="102" t="s">
        <v>796</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606</v>
      </c>
      <c r="G29" s="113"/>
      <c r="H29" s="4" t="str">
        <f>IFERROR(VLOOKUP(F29,Abilities,4,FALSE),"")</f>
        <v>SOLW</v>
      </c>
      <c r="I29" s="127" t="s">
        <v>961</v>
      </c>
      <c r="J29" s="113"/>
      <c r="K29" s="35" t="str">
        <f>IFERROR(VLOOKUP(I29,Abilities,4,FALSE),"")</f>
        <v>BLANK</v>
      </c>
      <c r="L29" s="112" t="s">
        <v>25</v>
      </c>
      <c r="M29" s="113"/>
      <c r="N29" s="10" t="str">
        <f>IFERROR(VLOOKUP(L29,Abilities,4,FALSE),"")</f>
        <v>XCOM2</v>
      </c>
      <c r="O29" s="14"/>
      <c r="P29" s="14"/>
      <c r="Q29" s="3"/>
      <c r="V29" s="102" t="s">
        <v>824</v>
      </c>
      <c r="W29" s="103"/>
    </row>
    <row r="30" spans="1:23" x14ac:dyDescent="0.25">
      <c r="A30" s="66"/>
      <c r="B30" s="67"/>
      <c r="C30" s="67"/>
      <c r="D30" s="67"/>
      <c r="E30" s="68"/>
      <c r="F30" s="114" t="str">
        <f>IFERROR(VLOOKUP(F29,Abilities,7,FALSE),"")</f>
        <v>Fire a shot that deals critical damage and gives the target penalties to Aim, Defense, and Will. &lt;Ability:SelfCooldown/&gt; turn cooldown.</v>
      </c>
      <c r="G30" s="115"/>
      <c r="H30" s="116"/>
      <c r="I30" s="120" t="str">
        <f>IFERROR(VLOOKUP(I29,Abilities,7,FALSE),"")</f>
        <v xml:space="preserve"> </v>
      </c>
      <c r="J30" s="115"/>
      <c r="K30" s="116"/>
      <c r="L30" s="115" t="str">
        <f>IFERROR(VLOOKUP(L29,Abilities,7,FALSE),"")</f>
        <v>Immediately enter concealment once per mission.</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350</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887</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71</v>
      </c>
      <c r="G37" s="113"/>
      <c r="H37" s="4" t="str">
        <f>IFERROR(VLOOKUP(F37,Abilities,4,FALSE),"")</f>
        <v>XCOM2</v>
      </c>
      <c r="I37" s="127" t="s">
        <v>961</v>
      </c>
      <c r="J37" s="113"/>
      <c r="K37" s="35" t="str">
        <f>IFERROR(VLOOKUP(I37,Abilities,4,FALSE),"")</f>
        <v>BLANK</v>
      </c>
      <c r="L37" s="112" t="s">
        <v>431</v>
      </c>
      <c r="M37" s="113"/>
      <c r="N37" s="10" t="str">
        <f>IFERROR(VLOOKUP(L37,Abilities,4,FALSE),"")</f>
        <v>LW2</v>
      </c>
    </row>
    <row r="38" spans="1:23" x14ac:dyDescent="0.25">
      <c r="A38" s="66"/>
      <c r="B38" s="67"/>
      <c r="C38" s="67"/>
      <c r="D38" s="67"/>
      <c r="E38" s="68"/>
      <c r="F38" s="114" t="str">
        <f>IFERROR(VLOOKUP(F37,Abilities,7,FALSE),"")</f>
        <v>Take a reaction shot against any enemy that moves or attacks within a cone of fire. 3 turn cooldown.</v>
      </c>
      <c r="G38" s="115"/>
      <c r="H38" s="116"/>
      <c r="I38" s="120" t="str">
        <f>IFERROR(VLOOKUP(I37,Abilities,7,FALSE),"")</f>
        <v xml:space="preserve"> </v>
      </c>
      <c r="J38" s="115"/>
      <c r="K38" s="116"/>
      <c r="L38" s="115">
        <f>IFERROR(VLOOKUP(L37,Abilities,7,FALSE),"")</f>
        <v>0</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Sharpshooter</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09" t="s">
        <v>308</v>
      </c>
      <c r="B1" s="210"/>
      <c r="C1" s="213" t="s">
        <v>235</v>
      </c>
      <c r="D1" s="214"/>
      <c r="E1" s="214"/>
      <c r="F1" s="217" t="s">
        <v>324</v>
      </c>
      <c r="G1" s="218"/>
      <c r="H1" s="218"/>
      <c r="I1" s="218"/>
      <c r="J1" s="218"/>
      <c r="K1" s="218"/>
      <c r="L1" s="218"/>
      <c r="M1" s="218"/>
      <c r="N1" s="218"/>
      <c r="O1" s="169" t="s">
        <v>325</v>
      </c>
      <c r="P1" s="170"/>
      <c r="Q1" s="170"/>
      <c r="R1" s="170"/>
      <c r="S1" s="170"/>
      <c r="T1" s="170"/>
      <c r="U1" s="171"/>
      <c r="V1" s="106" t="s">
        <v>775</v>
      </c>
      <c r="W1" s="107"/>
      <c r="X1" s="107"/>
      <c r="Y1" s="107"/>
    </row>
    <row r="2" spans="1:25" ht="15" customHeight="1" thickBot="1" x14ac:dyDescent="0.3">
      <c r="A2" s="211"/>
      <c r="B2" s="212"/>
      <c r="C2" s="215"/>
      <c r="D2" s="216"/>
      <c r="E2" s="216"/>
      <c r="F2" s="217"/>
      <c r="G2" s="218"/>
      <c r="H2" s="218"/>
      <c r="I2" s="218"/>
      <c r="J2" s="218"/>
      <c r="K2" s="218"/>
      <c r="L2" s="218"/>
      <c r="M2" s="218"/>
      <c r="N2" s="218"/>
      <c r="O2" s="172"/>
      <c r="P2" s="173"/>
      <c r="Q2" s="173"/>
      <c r="R2" s="173"/>
      <c r="S2" s="173"/>
      <c r="T2" s="173"/>
      <c r="U2" s="174"/>
      <c r="V2" s="108"/>
      <c r="W2" s="109"/>
      <c r="X2" s="109"/>
      <c r="Y2" s="109"/>
    </row>
    <row r="3" spans="1:25" ht="18" thickBot="1" x14ac:dyDescent="0.35">
      <c r="A3" s="175" t="s">
        <v>309</v>
      </c>
      <c r="B3" s="176"/>
      <c r="C3" s="177" t="str">
        <f>Output!$L$1&amp;SUBSTITUTE(C1," ","")</f>
        <v>LWD_Shinobi</v>
      </c>
      <c r="D3" s="178"/>
      <c r="E3" s="178"/>
      <c r="F3" s="179" t="s">
        <v>12</v>
      </c>
      <c r="G3" s="180"/>
      <c r="H3" s="180"/>
      <c r="I3" s="180"/>
      <c r="J3" s="180"/>
      <c r="K3" s="180"/>
      <c r="L3" s="180"/>
      <c r="M3" s="180"/>
      <c r="N3" s="181"/>
      <c r="O3" s="15"/>
      <c r="P3" s="16" t="s">
        <v>79</v>
      </c>
      <c r="Q3" s="17" t="s">
        <v>326</v>
      </c>
      <c r="R3" s="17" t="s">
        <v>328</v>
      </c>
      <c r="S3" s="17" t="s">
        <v>327</v>
      </c>
      <c r="T3" s="17" t="s">
        <v>330</v>
      </c>
      <c r="U3" s="18" t="s">
        <v>329</v>
      </c>
      <c r="V3" s="110" t="s">
        <v>809</v>
      </c>
      <c r="W3" s="111"/>
      <c r="X3" s="110" t="s">
        <v>810</v>
      </c>
      <c r="Y3" s="111"/>
    </row>
    <row r="4" spans="1:25" ht="18" thickTop="1" x14ac:dyDescent="0.3">
      <c r="A4" s="182" t="s">
        <v>310</v>
      </c>
      <c r="B4" s="183"/>
      <c r="C4" s="184" t="s">
        <v>314</v>
      </c>
      <c r="D4" s="185"/>
      <c r="E4" s="185"/>
      <c r="F4" s="126" t="s">
        <v>8</v>
      </c>
      <c r="G4" s="113"/>
      <c r="H4" s="4" t="str">
        <f>IFERROR(VLOOKUP(F4,Abilities,4,FALSE),"")</f>
        <v>LW2</v>
      </c>
      <c r="I4" s="127" t="s">
        <v>208</v>
      </c>
      <c r="J4" s="113"/>
      <c r="K4" s="35" t="str">
        <f>IFERROR(VLOOKUP(I4,Abilities,4,FALSE),"")</f>
        <v>LW2</v>
      </c>
      <c r="L4" s="112" t="s">
        <v>14</v>
      </c>
      <c r="M4" s="113"/>
      <c r="N4" s="10" t="str">
        <f>IFERROR(VLOOKUP(L4,Abilities,4,FALSE),"")</f>
        <v>XCOM2</v>
      </c>
      <c r="O4" s="19" t="s">
        <v>12</v>
      </c>
      <c r="P4" s="4">
        <v>2</v>
      </c>
      <c r="Q4" s="20">
        <v>0</v>
      </c>
      <c r="R4" s="20"/>
      <c r="S4" s="4">
        <v>5</v>
      </c>
      <c r="T4" s="4">
        <v>1</v>
      </c>
      <c r="U4" s="10"/>
      <c r="V4" s="104" t="s">
        <v>776</v>
      </c>
      <c r="W4" s="105"/>
      <c r="X4" s="104" t="s">
        <v>800</v>
      </c>
      <c r="Y4" s="105"/>
    </row>
    <row r="5" spans="1:25" ht="15" customHeight="1" x14ac:dyDescent="0.25">
      <c r="A5" s="6"/>
      <c r="B5" s="5" t="b">
        <v>1</v>
      </c>
      <c r="C5" s="186"/>
      <c r="D5" s="187"/>
      <c r="E5" s="187"/>
      <c r="F5" s="188">
        <f>IFERROR(VLOOKUP(F4,Abilities,7,FALSE),"")</f>
        <v>0</v>
      </c>
      <c r="G5" s="189"/>
      <c r="H5" s="190"/>
      <c r="I5" s="120">
        <f>IFERROR(VLOOKUP(I4,Abilities,7,FALSE),"")</f>
        <v>0</v>
      </c>
      <c r="J5" s="115"/>
      <c r="K5" s="116"/>
      <c r="L5" s="115" t="str">
        <f>IFERROR(VLOOKUP(L4,Abilities,7,FALSE),"")</f>
        <v>When the squad is revealed, this soldier remains concealed.</v>
      </c>
      <c r="M5" s="115"/>
      <c r="N5" s="122"/>
      <c r="O5" s="26" t="s">
        <v>456</v>
      </c>
      <c r="P5" s="27">
        <v>2</v>
      </c>
      <c r="Q5" s="28">
        <v>0</v>
      </c>
      <c r="R5" s="28"/>
      <c r="S5" s="27">
        <v>5</v>
      </c>
      <c r="T5" s="27"/>
      <c r="U5" s="29"/>
      <c r="V5" s="102" t="s">
        <v>820</v>
      </c>
      <c r="W5" s="103"/>
      <c r="X5" s="102" t="s">
        <v>801</v>
      </c>
      <c r="Y5" s="103"/>
    </row>
    <row r="6" spans="1:25" ht="15" customHeight="1" x14ac:dyDescent="0.25">
      <c r="A6" s="6"/>
      <c r="B6" s="5" t="b">
        <v>0</v>
      </c>
      <c r="C6" s="157" t="s">
        <v>315</v>
      </c>
      <c r="D6" s="198"/>
      <c r="E6" s="11">
        <v>0</v>
      </c>
      <c r="F6" s="191"/>
      <c r="G6" s="192"/>
      <c r="H6" s="193"/>
      <c r="I6" s="194"/>
      <c r="J6" s="195"/>
      <c r="K6" s="196"/>
      <c r="L6" s="195"/>
      <c r="M6" s="195"/>
      <c r="N6" s="197"/>
      <c r="O6" s="19" t="s">
        <v>15</v>
      </c>
      <c r="P6" s="4">
        <v>2</v>
      </c>
      <c r="Q6" s="20">
        <v>1</v>
      </c>
      <c r="R6" s="20"/>
      <c r="S6" s="4">
        <v>5</v>
      </c>
      <c r="T6" s="4"/>
      <c r="U6" s="10"/>
      <c r="V6" s="102" t="s">
        <v>893</v>
      </c>
      <c r="W6" s="103"/>
      <c r="X6" s="104" t="s">
        <v>802</v>
      </c>
      <c r="Y6" s="105"/>
    </row>
    <row r="7" spans="1:25" ht="15" customHeight="1" x14ac:dyDescent="0.25">
      <c r="A7" s="6"/>
      <c r="B7" s="5" t="b">
        <v>0</v>
      </c>
      <c r="C7" s="157" t="s">
        <v>316</v>
      </c>
      <c r="D7" s="198"/>
      <c r="E7" s="11">
        <v>4</v>
      </c>
      <c r="F7" s="219"/>
      <c r="G7" s="220"/>
      <c r="H7" s="4" t="str">
        <f>IFERROR(VLOOKUP(F7,Abilities,4,FALSE),"")</f>
        <v/>
      </c>
      <c r="I7" s="221"/>
      <c r="J7" s="220"/>
      <c r="K7" s="4" t="str">
        <f>IFERROR(VLOOKUP(I7,Abilities,4,FALSE),"")</f>
        <v/>
      </c>
      <c r="L7" s="222"/>
      <c r="M7" s="220"/>
      <c r="N7" s="10" t="str">
        <f>IFERROR(VLOOKUP(L7,Abilities,4,FALSE),"")</f>
        <v/>
      </c>
      <c r="O7" s="26" t="s">
        <v>21</v>
      </c>
      <c r="P7" s="27">
        <v>2</v>
      </c>
      <c r="Q7" s="28">
        <v>0</v>
      </c>
      <c r="R7" s="28"/>
      <c r="S7" s="27">
        <v>5</v>
      </c>
      <c r="T7" s="27"/>
      <c r="U7" s="29"/>
      <c r="V7" s="104" t="s">
        <v>778</v>
      </c>
      <c r="W7" s="105"/>
      <c r="X7" s="102" t="s">
        <v>803</v>
      </c>
      <c r="Y7" s="103"/>
    </row>
    <row r="8" spans="1:25" ht="15" customHeight="1" thickBot="1" x14ac:dyDescent="0.3">
      <c r="A8" s="6"/>
      <c r="B8" s="5" t="b">
        <v>0</v>
      </c>
      <c r="C8" s="157" t="s">
        <v>317</v>
      </c>
      <c r="D8" s="158"/>
      <c r="E8" s="12" t="s">
        <v>639</v>
      </c>
      <c r="F8" s="114" t="str">
        <f>IFERROR(VLOOKUP(F7,Abilities,7,FALSE),"")</f>
        <v/>
      </c>
      <c r="G8" s="115"/>
      <c r="H8" s="116"/>
      <c r="I8" s="120" t="str">
        <f>IFERROR(VLOOKUP(I7,Abilities,7,FALSE),"")</f>
        <v/>
      </c>
      <c r="J8" s="115"/>
      <c r="K8" s="116"/>
      <c r="L8" s="115" t="str">
        <f>IFERROR(VLOOKUP(L7,Abilities,7,FALSE),"")</f>
        <v/>
      </c>
      <c r="M8" s="115"/>
      <c r="N8" s="122"/>
      <c r="O8" s="21" t="s">
        <v>457</v>
      </c>
      <c r="P8" s="4">
        <v>2</v>
      </c>
      <c r="Q8" s="20">
        <v>0</v>
      </c>
      <c r="R8" s="20"/>
      <c r="S8" s="4">
        <v>5</v>
      </c>
      <c r="T8" s="4"/>
      <c r="U8" s="10"/>
      <c r="V8" s="102" t="s">
        <v>892</v>
      </c>
      <c r="W8" s="103"/>
      <c r="X8" s="104" t="s">
        <v>804</v>
      </c>
      <c r="Y8" s="105"/>
    </row>
    <row r="9" spans="1:25" ht="15.75" thickBot="1" x14ac:dyDescent="0.3">
      <c r="A9" s="6"/>
      <c r="B9" s="5" t="b">
        <v>0</v>
      </c>
      <c r="C9" s="157" t="s">
        <v>319</v>
      </c>
      <c r="D9" s="158"/>
      <c r="E9" s="12">
        <v>1</v>
      </c>
      <c r="F9" s="223"/>
      <c r="G9" s="195"/>
      <c r="H9" s="196"/>
      <c r="I9" s="121"/>
      <c r="J9" s="118"/>
      <c r="K9" s="119"/>
      <c r="L9" s="195"/>
      <c r="M9" s="195"/>
      <c r="N9" s="197"/>
      <c r="O9" s="26" t="s">
        <v>458</v>
      </c>
      <c r="P9" s="27">
        <v>2</v>
      </c>
      <c r="Q9" s="28">
        <v>0</v>
      </c>
      <c r="R9" s="28"/>
      <c r="S9" s="27">
        <v>5</v>
      </c>
      <c r="T9" s="27"/>
      <c r="U9" s="29"/>
      <c r="V9" s="104" t="s">
        <v>780</v>
      </c>
      <c r="W9" s="105"/>
      <c r="X9" s="110" t="s">
        <v>811</v>
      </c>
      <c r="Y9" s="111"/>
    </row>
    <row r="10" spans="1:25" ht="18.75" x14ac:dyDescent="0.3">
      <c r="A10" s="6"/>
      <c r="B10" s="5" t="b">
        <v>0</v>
      </c>
      <c r="C10" s="157" t="s">
        <v>318</v>
      </c>
      <c r="D10" s="158"/>
      <c r="E10" s="12">
        <v>4</v>
      </c>
      <c r="F10" s="159" t="s">
        <v>311</v>
      </c>
      <c r="G10" s="160"/>
      <c r="H10" s="161"/>
      <c r="I10" s="162" t="s">
        <v>349</v>
      </c>
      <c r="J10" s="160"/>
      <c r="K10" s="161"/>
      <c r="L10" s="160" t="s">
        <v>312</v>
      </c>
      <c r="M10" s="160"/>
      <c r="N10" s="163"/>
      <c r="O10" s="36" t="s">
        <v>459</v>
      </c>
      <c r="P10" s="37">
        <v>2</v>
      </c>
      <c r="Q10" s="37">
        <v>1</v>
      </c>
      <c r="R10" s="37"/>
      <c r="S10" s="37">
        <v>5</v>
      </c>
      <c r="T10" s="37"/>
      <c r="U10" s="38"/>
      <c r="V10" s="102" t="s">
        <v>781</v>
      </c>
      <c r="W10" s="103"/>
      <c r="X10" s="104" t="s">
        <v>805</v>
      </c>
      <c r="Y10" s="105"/>
    </row>
    <row r="11" spans="1:25" ht="15.75" customHeight="1" thickBot="1" x14ac:dyDescent="0.3">
      <c r="A11" s="6"/>
      <c r="B11" s="5" t="b">
        <v>0</v>
      </c>
      <c r="C11" s="157" t="s">
        <v>320</v>
      </c>
      <c r="D11" s="158"/>
      <c r="E11" s="12">
        <v>4</v>
      </c>
      <c r="F11" s="164" t="s">
        <v>469</v>
      </c>
      <c r="G11" s="165"/>
      <c r="H11" s="166"/>
      <c r="I11" s="167"/>
      <c r="J11" s="165"/>
      <c r="K11" s="166"/>
      <c r="L11" s="165" t="s">
        <v>468</v>
      </c>
      <c r="M11" s="165"/>
      <c r="N11" s="168"/>
      <c r="O11" s="39" t="s">
        <v>460</v>
      </c>
      <c r="P11" s="40">
        <v>2</v>
      </c>
      <c r="Q11" s="41">
        <v>0</v>
      </c>
      <c r="R11" s="41"/>
      <c r="S11" s="40">
        <v>5</v>
      </c>
      <c r="T11" s="40"/>
      <c r="U11" s="42"/>
      <c r="V11" s="104" t="s">
        <v>823</v>
      </c>
      <c r="W11" s="105"/>
      <c r="X11" s="102" t="s">
        <v>806</v>
      </c>
      <c r="Y11" s="103"/>
    </row>
    <row r="12" spans="1:25" ht="18" customHeight="1" thickBot="1" x14ac:dyDescent="0.35">
      <c r="A12" s="6"/>
      <c r="B12" s="5" t="b">
        <v>0</v>
      </c>
      <c r="C12" s="157" t="s">
        <v>321</v>
      </c>
      <c r="D12" s="158"/>
      <c r="E12" s="12">
        <v>1</v>
      </c>
      <c r="F12" s="128" t="s">
        <v>443</v>
      </c>
      <c r="G12" s="129"/>
      <c r="H12" s="129"/>
      <c r="I12" s="129"/>
      <c r="J12" s="129"/>
      <c r="K12" s="129"/>
      <c r="L12" s="129"/>
      <c r="M12" s="129"/>
      <c r="N12" s="130"/>
      <c r="O12" s="149" t="s">
        <v>812</v>
      </c>
      <c r="P12" s="150"/>
      <c r="Q12" s="150"/>
      <c r="R12" s="150"/>
      <c r="S12" s="150"/>
      <c r="T12" s="150"/>
      <c r="U12" s="151"/>
      <c r="V12" s="104" t="s">
        <v>782</v>
      </c>
      <c r="W12" s="105"/>
      <c r="X12" s="104" t="s">
        <v>807</v>
      </c>
      <c r="Y12" s="105"/>
    </row>
    <row r="13" spans="1:25" ht="16.5" thickTop="1" thickBot="1" x14ac:dyDescent="0.3">
      <c r="A13" s="6"/>
      <c r="B13" s="5" t="b">
        <v>1</v>
      </c>
      <c r="C13" s="155" t="s">
        <v>322</v>
      </c>
      <c r="D13" s="156"/>
      <c r="E13" s="13" t="s">
        <v>323</v>
      </c>
      <c r="F13" s="126" t="s">
        <v>249</v>
      </c>
      <c r="G13" s="113"/>
      <c r="H13" s="4" t="str">
        <f>IFERROR(VLOOKUP(F13,Abilities,4,FALSE),"")</f>
        <v>LW2</v>
      </c>
      <c r="I13" s="127" t="s">
        <v>961</v>
      </c>
      <c r="J13" s="113"/>
      <c r="K13" s="35" t="str">
        <f>IFERROR(VLOOKUP(I13,Abilities,4,FALSE),"")</f>
        <v>BLANK</v>
      </c>
      <c r="L13" s="112" t="s">
        <v>234</v>
      </c>
      <c r="M13" s="113"/>
      <c r="N13" s="10" t="str">
        <f>IFERROR(VLOOKUP(L13,Abilities,4,FALSE),"")</f>
        <v>LW2</v>
      </c>
      <c r="O13" s="152"/>
      <c r="P13" s="153"/>
      <c r="Q13" s="153"/>
      <c r="R13" s="153"/>
      <c r="S13" s="153"/>
      <c r="T13" s="153"/>
      <c r="U13" s="154"/>
      <c r="V13" s="104" t="s">
        <v>817</v>
      </c>
      <c r="W13" s="105"/>
      <c r="X13" s="102" t="s">
        <v>808</v>
      </c>
      <c r="Y13" s="103"/>
    </row>
    <row r="14" spans="1:25" ht="15.75" thickBot="1" x14ac:dyDescent="0.3">
      <c r="A14" s="6"/>
      <c r="B14" s="7" t="b">
        <v>0</v>
      </c>
      <c r="F14" s="114">
        <f>IFERROR(VLOOKUP(F13,Abilities,7,FALSE),"")</f>
        <v>0</v>
      </c>
      <c r="G14" s="115"/>
      <c r="H14" s="116"/>
      <c r="I14" s="120" t="str">
        <f>IFERROR(VLOOKUP(I13,Abilities,7,FALSE),"")</f>
        <v xml:space="preserve"> </v>
      </c>
      <c r="J14" s="115"/>
      <c r="K14" s="116"/>
      <c r="L14" s="115">
        <f>IFERROR(VLOOKUP(L13,Abilities,7,FALSE),"")</f>
        <v>0</v>
      </c>
      <c r="M14" s="115"/>
      <c r="N14" s="122"/>
      <c r="O14" s="22"/>
      <c r="P14" s="23" t="s">
        <v>331</v>
      </c>
      <c r="Q14" s="24" t="s">
        <v>332</v>
      </c>
      <c r="R14" s="24" t="s">
        <v>333</v>
      </c>
      <c r="S14" s="24" t="s">
        <v>334</v>
      </c>
      <c r="T14" s="24" t="s">
        <v>336</v>
      </c>
      <c r="U14" s="25" t="s">
        <v>335</v>
      </c>
      <c r="V14" s="102" t="s">
        <v>890</v>
      </c>
      <c r="W14" s="103"/>
      <c r="X14" s="124" t="s">
        <v>813</v>
      </c>
      <c r="Y14" s="125"/>
    </row>
    <row r="15" spans="1:25" ht="15.75" thickBot="1" x14ac:dyDescent="0.3">
      <c r="A15" s="6"/>
      <c r="B15" s="7" t="b">
        <v>0</v>
      </c>
      <c r="F15" s="117"/>
      <c r="G15" s="118"/>
      <c r="H15" s="119"/>
      <c r="I15" s="121"/>
      <c r="J15" s="118"/>
      <c r="K15" s="119"/>
      <c r="L15" s="118"/>
      <c r="M15" s="118"/>
      <c r="N15" s="123"/>
      <c r="O15" s="19" t="s">
        <v>12</v>
      </c>
      <c r="P15" s="4"/>
      <c r="Q15" s="20">
        <v>4</v>
      </c>
      <c r="R15" s="20"/>
      <c r="S15" s="4">
        <v>2</v>
      </c>
      <c r="T15" s="4"/>
      <c r="U15" s="10"/>
      <c r="V15" s="102" t="s">
        <v>822</v>
      </c>
      <c r="W15" s="103"/>
    </row>
    <row r="16" spans="1:25" ht="18" thickBot="1" x14ac:dyDescent="0.35">
      <c r="A16" s="6"/>
      <c r="B16" s="7" t="b">
        <v>0</v>
      </c>
      <c r="F16" s="128" t="s">
        <v>15</v>
      </c>
      <c r="G16" s="129"/>
      <c r="H16" s="129"/>
      <c r="I16" s="129"/>
      <c r="J16" s="129"/>
      <c r="K16" s="129"/>
      <c r="L16" s="129"/>
      <c r="M16" s="129"/>
      <c r="N16" s="130"/>
      <c r="O16" s="26" t="s">
        <v>456</v>
      </c>
      <c r="P16" s="27"/>
      <c r="Q16" s="28">
        <v>4</v>
      </c>
      <c r="R16" s="28"/>
      <c r="S16" s="27">
        <v>2</v>
      </c>
      <c r="T16" s="27"/>
      <c r="U16" s="29"/>
      <c r="V16" s="102" t="s">
        <v>785</v>
      </c>
      <c r="W16" s="103"/>
    </row>
    <row r="17" spans="1:23" ht="16.5" thickTop="1" thickBot="1" x14ac:dyDescent="0.3">
      <c r="A17" s="8"/>
      <c r="B17" s="9" t="b">
        <v>0</v>
      </c>
      <c r="F17" s="127" t="s">
        <v>961</v>
      </c>
      <c r="G17" s="113"/>
      <c r="H17" s="4" t="str">
        <f>IFERROR(VLOOKUP(F17,Abilities,4,FALSE),"")</f>
        <v>BLANK</v>
      </c>
      <c r="I17" s="127" t="s">
        <v>248</v>
      </c>
      <c r="J17" s="113"/>
      <c r="K17" s="35" t="str">
        <f>IFERROR(VLOOKUP(I17,Abilities,4,FALSE),"")</f>
        <v>LW2</v>
      </c>
      <c r="L17" s="127" t="s">
        <v>961</v>
      </c>
      <c r="M17" s="113"/>
      <c r="N17" s="10" t="str">
        <f>IFERROR(VLOOKUP(L17,Abilities,4,FALSE),"")</f>
        <v>BLANK</v>
      </c>
      <c r="O17" s="19" t="s">
        <v>15</v>
      </c>
      <c r="P17" s="4"/>
      <c r="Q17" s="20"/>
      <c r="R17" s="20"/>
      <c r="S17" s="4">
        <v>1</v>
      </c>
      <c r="T17" s="4"/>
      <c r="U17" s="10"/>
      <c r="V17" s="104" t="s">
        <v>771</v>
      </c>
      <c r="W17" s="105"/>
    </row>
    <row r="18" spans="1:23" x14ac:dyDescent="0.25">
      <c r="A18" s="224" t="s">
        <v>344</v>
      </c>
      <c r="B18" s="225"/>
      <c r="F18" s="114" t="str">
        <f>IFERROR(VLOOKUP(F17,Abilities,7,FALSE),"")</f>
        <v xml:space="preserve"> </v>
      </c>
      <c r="G18" s="115"/>
      <c r="H18" s="116"/>
      <c r="I18" s="120">
        <f>IFERROR(VLOOKUP(I17,Abilities,7,FALSE),"")</f>
        <v>0</v>
      </c>
      <c r="J18" s="115"/>
      <c r="K18" s="116"/>
      <c r="L18" s="115" t="str">
        <f>IFERROR(VLOOKUP(L17,Abilities,7,FALSE),"")</f>
        <v xml:space="preserve"> </v>
      </c>
      <c r="M18" s="115"/>
      <c r="N18" s="122"/>
      <c r="O18" s="26" t="s">
        <v>21</v>
      </c>
      <c r="P18" s="27"/>
      <c r="Q18" s="28"/>
      <c r="R18" s="28"/>
      <c r="S18" s="27">
        <v>1</v>
      </c>
      <c r="T18" s="27"/>
      <c r="U18" s="29"/>
      <c r="V18" s="102" t="s">
        <v>787</v>
      </c>
      <c r="W18" s="103"/>
    </row>
    <row r="19" spans="1:23" ht="15.75" thickBot="1" x14ac:dyDescent="0.3">
      <c r="A19" s="226"/>
      <c r="B19" s="227"/>
      <c r="D19" s="3"/>
      <c r="F19" s="117"/>
      <c r="G19" s="118"/>
      <c r="H19" s="119"/>
      <c r="I19" s="121"/>
      <c r="J19" s="118"/>
      <c r="K19" s="119"/>
      <c r="L19" s="118"/>
      <c r="M19" s="118"/>
      <c r="N19" s="123"/>
      <c r="O19" s="21" t="s">
        <v>457</v>
      </c>
      <c r="P19" s="4"/>
      <c r="Q19" s="20"/>
      <c r="R19" s="20"/>
      <c r="S19" s="4">
        <v>1</v>
      </c>
      <c r="T19" s="4"/>
      <c r="U19" s="10"/>
      <c r="V19" s="104" t="s">
        <v>788</v>
      </c>
      <c r="W19" s="105"/>
    </row>
    <row r="20" spans="1:23" ht="18" thickBot="1" x14ac:dyDescent="0.35">
      <c r="A20" s="135" t="s">
        <v>774</v>
      </c>
      <c r="B20" s="136"/>
      <c r="C20" s="137"/>
      <c r="D20" s="137"/>
      <c r="E20" s="138"/>
      <c r="F20" s="128" t="s">
        <v>21</v>
      </c>
      <c r="G20" s="129"/>
      <c r="H20" s="129"/>
      <c r="I20" s="129"/>
      <c r="J20" s="129"/>
      <c r="K20" s="129"/>
      <c r="L20" s="129"/>
      <c r="M20" s="129"/>
      <c r="N20" s="130"/>
      <c r="O20" s="26" t="s">
        <v>458</v>
      </c>
      <c r="P20" s="27"/>
      <c r="Q20" s="28"/>
      <c r="R20" s="28"/>
      <c r="S20" s="27">
        <v>1</v>
      </c>
      <c r="T20" s="27"/>
      <c r="U20" s="29"/>
      <c r="V20" s="104" t="s">
        <v>789</v>
      </c>
      <c r="W20" s="105"/>
    </row>
    <row r="21" spans="1:23" ht="15.75" thickTop="1" x14ac:dyDescent="0.25">
      <c r="A21" s="135"/>
      <c r="B21" s="136"/>
      <c r="C21" s="136"/>
      <c r="D21" s="136"/>
      <c r="E21" s="139"/>
      <c r="F21" s="126" t="s">
        <v>237</v>
      </c>
      <c r="G21" s="113"/>
      <c r="H21" s="4" t="str">
        <f>IFERROR(VLOOKUP(F21,Abilities,4,FALSE),"")</f>
        <v>LW2</v>
      </c>
      <c r="I21" s="127" t="s">
        <v>961</v>
      </c>
      <c r="J21" s="113"/>
      <c r="K21" s="35" t="str">
        <f>IFERROR(VLOOKUP(I21,Abilities,4,FALSE),"")</f>
        <v>BLANK</v>
      </c>
      <c r="L21" s="112" t="s">
        <v>17</v>
      </c>
      <c r="M21" s="113"/>
      <c r="N21" s="10" t="str">
        <f>IFERROR(VLOOKUP(L21,Abilities,4,FALSE),"")</f>
        <v>XCOM2</v>
      </c>
      <c r="O21" s="36" t="s">
        <v>459</v>
      </c>
      <c r="P21" s="37"/>
      <c r="Q21" s="37"/>
      <c r="R21" s="37"/>
      <c r="S21" s="37">
        <v>1</v>
      </c>
      <c r="T21" s="37"/>
      <c r="U21" s="38"/>
      <c r="V21" s="102" t="s">
        <v>790</v>
      </c>
      <c r="W21" s="103"/>
    </row>
    <row r="22" spans="1:23" ht="15.75" thickBot="1" x14ac:dyDescent="0.3">
      <c r="A22" s="140"/>
      <c r="B22" s="141"/>
      <c r="C22" s="141"/>
      <c r="D22" s="141"/>
      <c r="E22" s="142"/>
      <c r="F22" s="114">
        <f>IFERROR(VLOOKUP(F21,Abilities,7,FALSE),"")</f>
        <v>0</v>
      </c>
      <c r="G22" s="115"/>
      <c r="H22" s="116"/>
      <c r="I22" s="120" t="str">
        <f>IFERROR(VLOOKUP(I21,Abilities,7,FALSE),"")</f>
        <v xml:space="preserve"> </v>
      </c>
      <c r="J22" s="115"/>
      <c r="K22" s="116"/>
      <c r="L22" s="115" t="str">
        <f>IFERROR(VLOOKUP(L21,Abilities,7,FALSE),"")</f>
        <v>Deal +2 extra damage on all sword attacks.</v>
      </c>
      <c r="M22" s="115"/>
      <c r="N22" s="122"/>
      <c r="O22" s="39" t="s">
        <v>460</v>
      </c>
      <c r="P22" s="40"/>
      <c r="Q22" s="41"/>
      <c r="R22" s="41"/>
      <c r="S22" s="40">
        <v>1</v>
      </c>
      <c r="T22" s="40"/>
      <c r="U22" s="42"/>
      <c r="V22" s="104" t="s">
        <v>791</v>
      </c>
      <c r="W22" s="105"/>
    </row>
    <row r="23" spans="1:23" ht="15.75" thickBot="1" x14ac:dyDescent="0.3">
      <c r="A23" s="143" t="s">
        <v>352</v>
      </c>
      <c r="B23" s="144"/>
      <c r="C23" s="144"/>
      <c r="D23" s="144"/>
      <c r="E23" s="145"/>
      <c r="F23" s="117"/>
      <c r="G23" s="118"/>
      <c r="H23" s="119"/>
      <c r="I23" s="121"/>
      <c r="J23" s="118"/>
      <c r="K23" s="119"/>
      <c r="L23" s="118"/>
      <c r="M23" s="118"/>
      <c r="N23" s="123"/>
      <c r="O23" s="14"/>
      <c r="P23" s="14"/>
      <c r="Q23" s="3"/>
      <c r="V23" s="102" t="s">
        <v>792</v>
      </c>
      <c r="W23" s="103"/>
    </row>
    <row r="24" spans="1:23" ht="18" thickBot="1" x14ac:dyDescent="0.35">
      <c r="A24" s="146"/>
      <c r="B24" s="147"/>
      <c r="C24" s="147"/>
      <c r="D24" s="147"/>
      <c r="E24" s="148"/>
      <c r="F24" s="128" t="s">
        <v>444</v>
      </c>
      <c r="G24" s="129"/>
      <c r="H24" s="129"/>
      <c r="I24" s="129"/>
      <c r="J24" s="129"/>
      <c r="K24" s="129"/>
      <c r="L24" s="129"/>
      <c r="M24" s="129"/>
      <c r="N24" s="130"/>
      <c r="O24" s="14"/>
      <c r="P24" s="14"/>
      <c r="Q24" s="3"/>
      <c r="V24" s="104" t="s">
        <v>895</v>
      </c>
      <c r="W24" s="105"/>
    </row>
    <row r="25" spans="1:23" ht="15.75" thickTop="1" x14ac:dyDescent="0.25">
      <c r="A25" s="66"/>
      <c r="B25" s="67"/>
      <c r="C25" s="67"/>
      <c r="D25" s="67"/>
      <c r="E25" s="68"/>
      <c r="F25" s="126" t="s">
        <v>19</v>
      </c>
      <c r="G25" s="113"/>
      <c r="H25" s="4" t="str">
        <f>IFERROR(VLOOKUP(F25,Abilities,4,FALSE),"")</f>
        <v>LW2</v>
      </c>
      <c r="I25" s="127" t="s">
        <v>961</v>
      </c>
      <c r="J25" s="113"/>
      <c r="K25" s="35" t="str">
        <f>IFERROR(VLOOKUP(I25,Abilities,4,FALSE),"")</f>
        <v>BLANK</v>
      </c>
      <c r="L25" s="112" t="s">
        <v>35</v>
      </c>
      <c r="M25" s="113"/>
      <c r="N25" s="10" t="str">
        <f>IFERROR(VLOOKUP(L25,Abilities,4,FALSE),"")</f>
        <v>XCOM2</v>
      </c>
      <c r="O25" s="14"/>
      <c r="P25" s="14"/>
      <c r="Q25" s="3"/>
      <c r="V25" s="102" t="s">
        <v>896</v>
      </c>
      <c r="W25" s="103"/>
    </row>
    <row r="26" spans="1:23" x14ac:dyDescent="0.25">
      <c r="A26" s="66"/>
      <c r="B26" s="67"/>
      <c r="C26" s="67"/>
      <c r="D26" s="67"/>
      <c r="E26" s="68"/>
      <c r="F26" s="114">
        <f>IFERROR(VLOOKUP(F25,Abilities,7,FALSE),"")</f>
        <v>0</v>
      </c>
      <c r="G26" s="115"/>
      <c r="H26" s="116"/>
      <c r="I26" s="120" t="str">
        <f>IFERROR(VLOOKUP(I25,Abilities,7,FALSE),"")</f>
        <v xml:space="preserve"> </v>
      </c>
      <c r="J26" s="115"/>
      <c r="K26" s="116"/>
      <c r="L26" s="115" t="str">
        <f>IFERROR(VLOOKUP(L25,Abilities,7,FALSE),"")</f>
        <v>Free sword attacks on enemies that enter or attack from melee range. If an enemy attempts to attack a Ranger with Bladestorm within melee range, Bladestorm will activate before the enemy attack.</v>
      </c>
      <c r="M26" s="115"/>
      <c r="N26" s="122"/>
      <c r="O26" s="14"/>
      <c r="P26" s="14"/>
      <c r="Q26" s="3"/>
      <c r="V26" s="102" t="s">
        <v>894</v>
      </c>
      <c r="W26" s="103"/>
    </row>
    <row r="27" spans="1:23" ht="15.75" thickBot="1" x14ac:dyDescent="0.3">
      <c r="A27" s="66"/>
      <c r="B27" s="67"/>
      <c r="C27" s="67"/>
      <c r="D27" s="67"/>
      <c r="E27" s="68"/>
      <c r="F27" s="117"/>
      <c r="G27" s="118"/>
      <c r="H27" s="119"/>
      <c r="I27" s="121"/>
      <c r="J27" s="118"/>
      <c r="K27" s="119"/>
      <c r="L27" s="118"/>
      <c r="M27" s="118"/>
      <c r="N27" s="123"/>
      <c r="O27" s="14"/>
      <c r="P27" s="14"/>
      <c r="Q27" s="3"/>
      <c r="V27" s="104" t="s">
        <v>797</v>
      </c>
      <c r="W27" s="105"/>
    </row>
    <row r="28" spans="1:23" ht="18" thickBot="1" x14ac:dyDescent="0.35">
      <c r="A28" s="66"/>
      <c r="B28" s="67"/>
      <c r="C28" s="67"/>
      <c r="D28" s="67"/>
      <c r="E28" s="68"/>
      <c r="F28" s="128" t="s">
        <v>445</v>
      </c>
      <c r="G28" s="129"/>
      <c r="H28" s="129"/>
      <c r="I28" s="129"/>
      <c r="J28" s="129"/>
      <c r="K28" s="129"/>
      <c r="L28" s="129"/>
      <c r="M28" s="129"/>
      <c r="N28" s="130"/>
      <c r="O28" s="14"/>
      <c r="P28" s="14"/>
      <c r="Q28" s="3"/>
      <c r="V28" s="102" t="s">
        <v>798</v>
      </c>
      <c r="W28" s="103"/>
    </row>
    <row r="29" spans="1:23" ht="15.75" thickTop="1" x14ac:dyDescent="0.25">
      <c r="A29" s="66"/>
      <c r="B29" s="67"/>
      <c r="C29" s="67"/>
      <c r="D29" s="67"/>
      <c r="E29" s="68"/>
      <c r="F29" s="126" t="s">
        <v>246</v>
      </c>
      <c r="G29" s="113"/>
      <c r="H29" s="4" t="str">
        <f>IFERROR(VLOOKUP(F29,Abilities,4,FALSE),"")</f>
        <v>LW2</v>
      </c>
      <c r="I29" s="127" t="s">
        <v>961</v>
      </c>
      <c r="J29" s="113"/>
      <c r="K29" s="35" t="str">
        <f>IFERROR(VLOOKUP(I29,Abilities,4,FALSE),"")</f>
        <v>BLANK</v>
      </c>
      <c r="L29" s="112" t="s">
        <v>978</v>
      </c>
      <c r="M29" s="113"/>
      <c r="N29" s="10" t="str">
        <f>IFERROR(VLOOKUP(L29,Abilities,4,FALSE),"")</f>
        <v>LW2</v>
      </c>
      <c r="O29" s="14"/>
      <c r="P29" s="14"/>
      <c r="Q29" s="3"/>
      <c r="V29" s="102" t="s">
        <v>824</v>
      </c>
      <c r="W29" s="103"/>
    </row>
    <row r="30" spans="1:23" x14ac:dyDescent="0.25">
      <c r="A30" s="66"/>
      <c r="B30" s="67"/>
      <c r="C30" s="67"/>
      <c r="D30" s="67"/>
      <c r="E30" s="68"/>
      <c r="F30" s="114">
        <f>IFERROR(VLOOKUP(F29,Abilities,7,FALSE),"")</f>
        <v>0</v>
      </c>
      <c r="G30" s="115"/>
      <c r="H30" s="116"/>
      <c r="I30" s="120" t="str">
        <f>IFERROR(VLOOKUP(I29,Abilities,7,FALSE),"")</f>
        <v xml:space="preserve"> </v>
      </c>
      <c r="J30" s="115"/>
      <c r="K30" s="116"/>
      <c r="L30" s="115" t="str">
        <f>IFERROR(VLOOKUP(L29,Abilities,7,FALSE),"")</f>
        <v>Gain a bonus move action after hitting an enemy with your sword.</v>
      </c>
      <c r="M30" s="115"/>
      <c r="N30" s="122"/>
      <c r="O30" s="14"/>
      <c r="P30" s="14"/>
      <c r="Q30" s="3"/>
      <c r="V30" s="102" t="s">
        <v>818</v>
      </c>
      <c r="W30" s="103"/>
    </row>
    <row r="31" spans="1:23" ht="15.75" thickBot="1" x14ac:dyDescent="0.3">
      <c r="A31" s="66"/>
      <c r="B31" s="67"/>
      <c r="C31" s="67"/>
      <c r="D31" s="67"/>
      <c r="E31" s="68"/>
      <c r="F31" s="117"/>
      <c r="G31" s="118"/>
      <c r="H31" s="119"/>
      <c r="I31" s="121"/>
      <c r="J31" s="118"/>
      <c r="K31" s="119"/>
      <c r="L31" s="118"/>
      <c r="M31" s="118"/>
      <c r="N31" s="123"/>
      <c r="O31" s="14"/>
      <c r="P31" s="14"/>
      <c r="Q31" s="3"/>
      <c r="V31" s="104" t="s">
        <v>819</v>
      </c>
      <c r="W31" s="105"/>
    </row>
    <row r="32" spans="1:23" ht="18" thickBot="1" x14ac:dyDescent="0.35">
      <c r="A32" s="66"/>
      <c r="B32" s="67"/>
      <c r="C32" s="67"/>
      <c r="D32" s="67"/>
      <c r="E32" s="68"/>
      <c r="F32" s="128" t="s">
        <v>446</v>
      </c>
      <c r="G32" s="129"/>
      <c r="H32" s="129"/>
      <c r="I32" s="129"/>
      <c r="J32" s="129"/>
      <c r="K32" s="129"/>
      <c r="L32" s="129"/>
      <c r="M32" s="129"/>
      <c r="N32" s="130"/>
      <c r="O32" s="14"/>
      <c r="P32" s="14"/>
      <c r="Q32" s="3"/>
      <c r="V32" s="104" t="s">
        <v>814</v>
      </c>
      <c r="W32" s="105"/>
    </row>
    <row r="33" spans="1:23" ht="15.75" thickTop="1" x14ac:dyDescent="0.25">
      <c r="A33" s="66"/>
      <c r="B33" s="67"/>
      <c r="C33" s="67"/>
      <c r="D33" s="67"/>
      <c r="E33" s="68"/>
      <c r="F33" s="127" t="s">
        <v>961</v>
      </c>
      <c r="G33" s="113"/>
      <c r="H33" s="4" t="str">
        <f>IFERROR(VLOOKUP(F33,Abilities,4,FALSE),"")</f>
        <v>BLANK</v>
      </c>
      <c r="I33" s="127" t="s">
        <v>408</v>
      </c>
      <c r="J33" s="113"/>
      <c r="K33" s="35" t="str">
        <f>IFERROR(VLOOKUP(I33,Abilities,4,FALSE),"")</f>
        <v>LW2</v>
      </c>
      <c r="L33" s="127" t="s">
        <v>961</v>
      </c>
      <c r="M33" s="113"/>
      <c r="N33" s="10" t="str">
        <f>IFERROR(VLOOKUP(L33,Abilities,4,FALSE),"")</f>
        <v>BLANK</v>
      </c>
      <c r="O33" s="14"/>
      <c r="P33" s="14"/>
      <c r="Q33" s="3"/>
      <c r="V33" s="104" t="s">
        <v>821</v>
      </c>
      <c r="W33" s="105"/>
    </row>
    <row r="34" spans="1:23" x14ac:dyDescent="0.25">
      <c r="A34" s="66"/>
      <c r="B34" s="67"/>
      <c r="C34" s="67"/>
      <c r="D34" s="67"/>
      <c r="E34" s="68"/>
      <c r="F34" s="114" t="str">
        <f>IFERROR(VLOOKUP(F33,Abilities,7,FALSE),"")</f>
        <v xml:space="preserve"> </v>
      </c>
      <c r="G34" s="115"/>
      <c r="H34" s="116"/>
      <c r="I34" s="120">
        <f>IFERROR(VLOOKUP(I33,Abilities,7,FALSE),"")</f>
        <v>0</v>
      </c>
      <c r="J34" s="115"/>
      <c r="K34" s="116"/>
      <c r="L34" s="115" t="str">
        <f>IFERROR(VLOOKUP(L33,Abilities,7,FALSE),"")</f>
        <v xml:space="preserve"> </v>
      </c>
      <c r="M34" s="115"/>
      <c r="N34" s="122"/>
      <c r="O34" s="14"/>
      <c r="P34" s="14"/>
      <c r="Q34" s="3"/>
      <c r="V34" s="102" t="s">
        <v>815</v>
      </c>
      <c r="W34" s="103"/>
    </row>
    <row r="35" spans="1:23" ht="15.75" thickBot="1" x14ac:dyDescent="0.3">
      <c r="A35" s="66"/>
      <c r="B35" s="67"/>
      <c r="C35" s="67"/>
      <c r="D35" s="67"/>
      <c r="E35" s="68"/>
      <c r="F35" s="117"/>
      <c r="G35" s="118"/>
      <c r="H35" s="119"/>
      <c r="I35" s="121"/>
      <c r="J35" s="118"/>
      <c r="K35" s="119"/>
      <c r="L35" s="118"/>
      <c r="M35" s="118"/>
      <c r="N35" s="123"/>
      <c r="O35" s="14"/>
      <c r="P35" s="14"/>
      <c r="Q35" s="3"/>
      <c r="V35" s="124" t="s">
        <v>891</v>
      </c>
      <c r="W35" s="125"/>
    </row>
    <row r="36" spans="1:23" ht="18" thickBot="1" x14ac:dyDescent="0.35">
      <c r="A36" s="66"/>
      <c r="B36" s="67"/>
      <c r="C36" s="67"/>
      <c r="D36" s="67"/>
      <c r="E36" s="68"/>
      <c r="F36" s="128" t="s">
        <v>447</v>
      </c>
      <c r="G36" s="129"/>
      <c r="H36" s="129"/>
      <c r="I36" s="129"/>
      <c r="J36" s="129"/>
      <c r="K36" s="129"/>
      <c r="L36" s="129"/>
      <c r="M36" s="129"/>
      <c r="N36" s="130"/>
    </row>
    <row r="37" spans="1:23" ht="15.75" thickTop="1" x14ac:dyDescent="0.25">
      <c r="A37" s="66"/>
      <c r="B37" s="67"/>
      <c r="C37" s="67"/>
      <c r="D37" s="67"/>
      <c r="E37" s="68"/>
      <c r="F37" s="126" t="s">
        <v>510</v>
      </c>
      <c r="G37" s="113"/>
      <c r="H37" s="4" t="str">
        <f>IFERROR(VLOOKUP(F37,Abilities,4,FALSE),"")</f>
        <v>SOLW</v>
      </c>
      <c r="I37" s="127" t="s">
        <v>961</v>
      </c>
      <c r="J37" s="113"/>
      <c r="K37" s="35" t="str">
        <f>IFERROR(VLOOKUP(I37,Abilities,4,FALSE),"")</f>
        <v>BLANK</v>
      </c>
      <c r="L37" s="112" t="s">
        <v>48</v>
      </c>
      <c r="M37" s="113"/>
      <c r="N37" s="10" t="str">
        <f>IFERROR(VLOOKUP(L37,Abilities,4,FALSE),"")</f>
        <v>XCOM2</v>
      </c>
    </row>
    <row r="38" spans="1:23" x14ac:dyDescent="0.25">
      <c r="A38" s="66"/>
      <c r="B38" s="67"/>
      <c r="C38" s="67"/>
      <c r="D38" s="67"/>
      <c r="E38" s="68"/>
      <c r="F38" s="114" t="str">
        <f>IFERROR(VLOOKUP(F37,Abilities,7,FALSE),"")</f>
        <v>When you kill a flanked or uncovered enemy with your &lt;Ability:WeaponName/&gt;, you gain concealment.</v>
      </c>
      <c r="G38" s="115"/>
      <c r="H38" s="116"/>
      <c r="I38" s="120" t="str">
        <f>IFERROR(VLOOKUP(I37,Abilities,7,FALSE),"")</f>
        <v xml:space="preserve"> </v>
      </c>
      <c r="J38" s="115"/>
      <c r="K38" s="116"/>
      <c r="L38" s="115" t="str">
        <f>IFERROR(VLOOKUP(L37,Abilities,7,FALSE),"")</f>
        <v>A devastating chain melee attack where the first melee attack cannot miss. Each melee kill in Reaper mode grants an extra action, but further melee attacks deal reduced damage. 4 turn cooldown.</v>
      </c>
      <c r="M38" s="115"/>
      <c r="N38" s="122"/>
    </row>
    <row r="39" spans="1:23" ht="15.75" thickBot="1" x14ac:dyDescent="0.3">
      <c r="A39" s="69"/>
      <c r="B39" s="70"/>
      <c r="C39" s="70"/>
      <c r="D39" s="70"/>
      <c r="E39" s="71"/>
      <c r="F39" s="117"/>
      <c r="G39" s="118"/>
      <c r="H39" s="119"/>
      <c r="I39" s="121"/>
      <c r="J39" s="118"/>
      <c r="K39" s="119"/>
      <c r="L39" s="118"/>
      <c r="M39" s="118"/>
      <c r="N39" s="123"/>
    </row>
    <row r="40" spans="1:23" ht="15" customHeight="1" x14ac:dyDescent="0.25">
      <c r="A40" s="199" t="s">
        <v>1198</v>
      </c>
      <c r="B40" s="199"/>
      <c r="C40" s="201" t="str">
        <f>SUBSTITUTE(C1," ","")</f>
        <v>Shinobi</v>
      </c>
      <c r="D40" s="201"/>
      <c r="E40" s="201"/>
      <c r="F40" s="53"/>
      <c r="G40" s="53"/>
      <c r="H40" s="52"/>
      <c r="I40" s="52"/>
      <c r="J40" s="52"/>
    </row>
    <row r="41" spans="1:23" ht="15" customHeight="1" thickBot="1" x14ac:dyDescent="0.3">
      <c r="A41" s="200"/>
      <c r="B41" s="200"/>
      <c r="C41" s="202"/>
      <c r="D41" s="202"/>
      <c r="E41" s="202"/>
      <c r="F41" s="54"/>
      <c r="G41" s="54"/>
      <c r="H41" s="52"/>
      <c r="I41" s="52"/>
      <c r="J41" s="52"/>
    </row>
    <row r="42" spans="1:23" ht="16.5" thickBot="1" x14ac:dyDescent="0.3">
      <c r="A42" s="203" t="s">
        <v>339</v>
      </c>
      <c r="B42" s="204"/>
      <c r="C42" s="205" t="s">
        <v>342</v>
      </c>
      <c r="D42" s="206"/>
      <c r="E42" s="207" t="s">
        <v>343</v>
      </c>
      <c r="F42" s="208"/>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(AbilityName="Reaper",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D20" sqref="D20"/>
    </sheetView>
  </sheetViews>
  <sheetFormatPr defaultRowHeight="15" x14ac:dyDescent="0.25"/>
  <sheetData>
    <row r="1" spans="1:14" ht="15.75" customHeight="1" x14ac:dyDescent="0.25">
      <c r="A1" s="249" t="s">
        <v>339</v>
      </c>
      <c r="B1" s="250"/>
      <c r="C1" s="251"/>
      <c r="D1" s="255" t="s">
        <v>342</v>
      </c>
      <c r="E1" s="256"/>
      <c r="F1" s="257"/>
      <c r="G1" s="261" t="s">
        <v>343</v>
      </c>
      <c r="H1" s="262"/>
      <c r="I1" s="263"/>
      <c r="J1" s="267" t="s">
        <v>922</v>
      </c>
      <c r="K1" s="268"/>
      <c r="L1" s="245" t="s">
        <v>755</v>
      </c>
      <c r="M1" s="245"/>
      <c r="N1" s="246"/>
    </row>
    <row r="2" spans="1:14" ht="15.75" thickBot="1" x14ac:dyDescent="0.3">
      <c r="A2" s="252"/>
      <c r="B2" s="253"/>
      <c r="C2" s="254"/>
      <c r="D2" s="258"/>
      <c r="E2" s="259"/>
      <c r="F2" s="260"/>
      <c r="G2" s="264"/>
      <c r="H2" s="265"/>
      <c r="I2" s="266"/>
      <c r="J2" s="269"/>
      <c r="K2" s="270"/>
      <c r="L2" s="247"/>
      <c r="M2" s="247"/>
      <c r="N2" s="248"/>
    </row>
    <row r="3" spans="1:14" x14ac:dyDescent="0.25">
      <c r="B3" s="43" t="str">
        <f ca="1">Dirty!U2</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(AbilityName="GrazingFire",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(AbilityName="Lethal",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39" t="s">
        <v>1200</v>
      </c>
      <c r="B15" s="240"/>
      <c r="C15" s="240"/>
      <c r="D15" s="234" t="s">
        <v>1203</v>
      </c>
      <c r="E15" s="235"/>
      <c r="F15" s="235"/>
      <c r="G15" s="235"/>
      <c r="H15" s="235"/>
      <c r="I15" s="235"/>
      <c r="J15" s="235"/>
      <c r="K15" s="235"/>
      <c r="L15" s="236"/>
    </row>
    <row r="16" spans="1:14" ht="15" customHeight="1" x14ac:dyDescent="0.25">
      <c r="A16" s="241"/>
      <c r="B16" s="242"/>
      <c r="C16" s="242"/>
      <c r="D16" s="237"/>
      <c r="E16" s="67"/>
      <c r="F16" s="67"/>
      <c r="G16" s="67"/>
      <c r="H16" s="67"/>
      <c r="I16" s="67"/>
      <c r="J16" s="67"/>
      <c r="K16" s="67"/>
      <c r="L16" s="68"/>
    </row>
    <row r="17" spans="1:12" x14ac:dyDescent="0.25">
      <c r="A17" s="241"/>
      <c r="B17" s="242"/>
      <c r="C17" s="242"/>
      <c r="D17" s="237"/>
      <c r="E17" s="67"/>
      <c r="F17" s="67"/>
      <c r="G17" s="67"/>
      <c r="H17" s="67"/>
      <c r="I17" s="67"/>
      <c r="J17" s="67"/>
      <c r="K17" s="67"/>
      <c r="L17" s="68"/>
    </row>
    <row r="18" spans="1:12" x14ac:dyDescent="0.25">
      <c r="A18" s="241"/>
      <c r="B18" s="242"/>
      <c r="C18" s="242"/>
      <c r="D18" s="237"/>
      <c r="E18" s="67"/>
      <c r="F18" s="67"/>
      <c r="G18" s="67"/>
      <c r="H18" s="67"/>
      <c r="I18" s="67"/>
      <c r="J18" s="67"/>
      <c r="K18" s="67"/>
      <c r="L18" s="68"/>
    </row>
    <row r="19" spans="1:12" ht="15.75" thickBot="1" x14ac:dyDescent="0.3">
      <c r="A19" s="243"/>
      <c r="B19" s="244"/>
      <c r="C19" s="244"/>
      <c r="D19" s="238"/>
      <c r="E19" s="70"/>
      <c r="F19" s="70"/>
      <c r="G19" s="70"/>
      <c r="H19" s="70"/>
      <c r="I19" s="70"/>
      <c r="J19" s="70"/>
      <c r="K19" s="70"/>
      <c r="L19" s="71"/>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5"/>
  <sheetViews>
    <sheetView zoomScaleNormal="100" workbookViewId="0">
      <pane ySplit="1" topLeftCell="A313" activePane="bottomLeft" state="frozen"/>
      <selection pane="bottomLeft" activeCell="C339" sqref="C339"/>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961</v>
      </c>
      <c r="B2" s="1" t="s">
        <v>340</v>
      </c>
      <c r="C2" s="1"/>
      <c r="D2" s="2" t="s">
        <v>1118</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504</v>
      </c>
      <c r="B71" t="s">
        <v>497</v>
      </c>
      <c r="D71" t="s">
        <v>509</v>
      </c>
      <c r="E71" t="s">
        <v>509</v>
      </c>
    </row>
    <row r="72" spans="1:7" x14ac:dyDescent="0.25">
      <c r="A72" t="s">
        <v>503</v>
      </c>
      <c r="B72" t="s">
        <v>486</v>
      </c>
      <c r="C72" t="s">
        <v>10</v>
      </c>
      <c r="D72" t="s">
        <v>509</v>
      </c>
      <c r="E72" t="s">
        <v>509</v>
      </c>
    </row>
    <row r="73" spans="1:7" x14ac:dyDescent="0.25">
      <c r="A73" t="s">
        <v>483</v>
      </c>
      <c r="B73" t="s">
        <v>483</v>
      </c>
      <c r="C73" t="s">
        <v>20</v>
      </c>
      <c r="D73" t="s">
        <v>509</v>
      </c>
      <c r="E73" t="s">
        <v>509</v>
      </c>
    </row>
    <row r="74" spans="1:7" x14ac:dyDescent="0.25">
      <c r="A74" t="s">
        <v>428</v>
      </c>
      <c r="B74" t="s">
        <v>428</v>
      </c>
      <c r="C74" t="s">
        <v>10</v>
      </c>
      <c r="D74" t="s">
        <v>509</v>
      </c>
      <c r="E74" t="s">
        <v>509</v>
      </c>
    </row>
    <row r="75" spans="1:7" x14ac:dyDescent="0.25">
      <c r="A75" t="s">
        <v>495</v>
      </c>
      <c r="B75" t="s">
        <v>495</v>
      </c>
      <c r="D75" t="s">
        <v>509</v>
      </c>
      <c r="E75" t="s">
        <v>509</v>
      </c>
    </row>
    <row r="76" spans="1:7" x14ac:dyDescent="0.25">
      <c r="A76" t="s">
        <v>481</v>
      </c>
      <c r="B76" t="s">
        <v>494</v>
      </c>
      <c r="D76" t="s">
        <v>509</v>
      </c>
      <c r="E76" t="s">
        <v>509</v>
      </c>
    </row>
    <row r="77" spans="1:7" x14ac:dyDescent="0.25">
      <c r="A77" t="s">
        <v>506</v>
      </c>
      <c r="B77" t="s">
        <v>499</v>
      </c>
      <c r="D77" t="s">
        <v>509</v>
      </c>
      <c r="E77" t="s">
        <v>509</v>
      </c>
    </row>
    <row r="78" spans="1:7" x14ac:dyDescent="0.25">
      <c r="A78" t="s">
        <v>104</v>
      </c>
      <c r="B78" t="s">
        <v>489</v>
      </c>
      <c r="C78" t="s">
        <v>45</v>
      </c>
      <c r="D78" t="s">
        <v>509</v>
      </c>
      <c r="E78" t="s">
        <v>509</v>
      </c>
    </row>
    <row r="79" spans="1:7" x14ac:dyDescent="0.25">
      <c r="A79" t="s">
        <v>507</v>
      </c>
      <c r="B79" t="s">
        <v>490</v>
      </c>
      <c r="C79" t="s">
        <v>45</v>
      </c>
      <c r="D79" t="s">
        <v>509</v>
      </c>
      <c r="E79" t="s">
        <v>509</v>
      </c>
    </row>
    <row r="80" spans="1:7" x14ac:dyDescent="0.25">
      <c r="A80" t="s">
        <v>508</v>
      </c>
      <c r="B80" t="s">
        <v>500</v>
      </c>
      <c r="D80" t="s">
        <v>509</v>
      </c>
      <c r="E80" t="s">
        <v>509</v>
      </c>
    </row>
    <row r="81" spans="1:6" x14ac:dyDescent="0.25">
      <c r="A81" t="s">
        <v>496</v>
      </c>
      <c r="B81" t="s">
        <v>496</v>
      </c>
      <c r="D81" t="s">
        <v>509</v>
      </c>
      <c r="E81" t="s">
        <v>509</v>
      </c>
    </row>
    <row r="82" spans="1:6" x14ac:dyDescent="0.25">
      <c r="A82" t="s">
        <v>502</v>
      </c>
      <c r="B82" t="s">
        <v>493</v>
      </c>
      <c r="D82" t="s">
        <v>509</v>
      </c>
      <c r="E82" t="s">
        <v>509</v>
      </c>
    </row>
    <row r="83" spans="1:6" x14ac:dyDescent="0.25">
      <c r="A83" t="s">
        <v>501</v>
      </c>
      <c r="B83" t="s">
        <v>484</v>
      </c>
      <c r="C83" t="s">
        <v>20</v>
      </c>
      <c r="D83" t="s">
        <v>509</v>
      </c>
      <c r="E83" t="s">
        <v>509</v>
      </c>
    </row>
    <row r="84" spans="1:6" x14ac:dyDescent="0.25">
      <c r="A84" t="s">
        <v>492</v>
      </c>
      <c r="B84" t="s">
        <v>492</v>
      </c>
      <c r="C84" t="s">
        <v>20</v>
      </c>
      <c r="D84" t="s">
        <v>509</v>
      </c>
      <c r="E84" t="s">
        <v>509</v>
      </c>
    </row>
    <row r="85" spans="1:6" x14ac:dyDescent="0.25">
      <c r="A85" t="s">
        <v>482</v>
      </c>
      <c r="B85" t="s">
        <v>482</v>
      </c>
      <c r="C85" t="s">
        <v>45</v>
      </c>
      <c r="D85" t="s">
        <v>509</v>
      </c>
      <c r="E85" t="s">
        <v>509</v>
      </c>
    </row>
    <row r="86" spans="1:6" x14ac:dyDescent="0.25">
      <c r="A86" t="s">
        <v>485</v>
      </c>
      <c r="B86" t="s">
        <v>485</v>
      </c>
      <c r="C86" t="s">
        <v>20</v>
      </c>
      <c r="D86" t="s">
        <v>509</v>
      </c>
      <c r="E86" t="s">
        <v>509</v>
      </c>
    </row>
    <row r="87" spans="1:6" x14ac:dyDescent="0.25">
      <c r="A87" t="s">
        <v>488</v>
      </c>
      <c r="B87" t="s">
        <v>488</v>
      </c>
      <c r="C87" t="s">
        <v>10</v>
      </c>
      <c r="D87" t="s">
        <v>509</v>
      </c>
      <c r="E87" t="s">
        <v>509</v>
      </c>
    </row>
    <row r="88" spans="1:6" x14ac:dyDescent="0.25">
      <c r="A88" t="s">
        <v>491</v>
      </c>
      <c r="B88" t="s">
        <v>491</v>
      </c>
      <c r="C88" t="s">
        <v>20</v>
      </c>
      <c r="D88" t="s">
        <v>509</v>
      </c>
      <c r="E88" t="s">
        <v>509</v>
      </c>
    </row>
    <row r="89" spans="1:6" x14ac:dyDescent="0.25">
      <c r="A89" t="s">
        <v>487</v>
      </c>
      <c r="B89" t="s">
        <v>487</v>
      </c>
      <c r="C89" t="s">
        <v>20</v>
      </c>
      <c r="D89" t="s">
        <v>509</v>
      </c>
      <c r="E89" t="s">
        <v>509</v>
      </c>
    </row>
    <row r="90" spans="1:6" x14ac:dyDescent="0.25">
      <c r="A90" t="s">
        <v>505</v>
      </c>
      <c r="B90" t="s">
        <v>498</v>
      </c>
      <c r="D90" t="s">
        <v>509</v>
      </c>
      <c r="E90" t="s">
        <v>509</v>
      </c>
    </row>
    <row r="91" spans="1:6" x14ac:dyDescent="0.25">
      <c r="A91" t="s">
        <v>29</v>
      </c>
      <c r="B91" t="s">
        <v>211</v>
      </c>
      <c r="D91" t="s">
        <v>356</v>
      </c>
      <c r="E91" t="s">
        <v>210</v>
      </c>
      <c r="F91" t="s">
        <v>12</v>
      </c>
    </row>
    <row r="92" spans="1:6" x14ac:dyDescent="0.25">
      <c r="A92" t="s">
        <v>410</v>
      </c>
      <c r="B92" t="s">
        <v>395</v>
      </c>
      <c r="C92" t="s">
        <v>10</v>
      </c>
      <c r="D92" t="s">
        <v>356</v>
      </c>
      <c r="E92" t="s">
        <v>210</v>
      </c>
      <c r="F92" t="s">
        <v>12</v>
      </c>
    </row>
    <row r="93" spans="1:6" x14ac:dyDescent="0.25">
      <c r="A93" t="s">
        <v>396</v>
      </c>
      <c r="B93" t="s">
        <v>396</v>
      </c>
      <c r="C93" t="s">
        <v>10</v>
      </c>
      <c r="D93" t="s">
        <v>356</v>
      </c>
      <c r="E93" t="s">
        <v>210</v>
      </c>
      <c r="F93" t="s">
        <v>443</v>
      </c>
    </row>
    <row r="94" spans="1:6" x14ac:dyDescent="0.25">
      <c r="A94" t="s">
        <v>204</v>
      </c>
      <c r="B94" t="s">
        <v>225</v>
      </c>
      <c r="C94" t="s">
        <v>20</v>
      </c>
      <c r="D94" t="s">
        <v>356</v>
      </c>
      <c r="E94" t="s">
        <v>210</v>
      </c>
      <c r="F94" t="s">
        <v>443</v>
      </c>
    </row>
    <row r="95" spans="1:6" x14ac:dyDescent="0.25">
      <c r="A95" t="s">
        <v>221</v>
      </c>
      <c r="B95" t="s">
        <v>222</v>
      </c>
      <c r="C95" t="s">
        <v>45</v>
      </c>
      <c r="D95" t="s">
        <v>356</v>
      </c>
      <c r="E95" t="s">
        <v>210</v>
      </c>
      <c r="F95" t="s">
        <v>443</v>
      </c>
    </row>
    <row r="96" spans="1:6" x14ac:dyDescent="0.25">
      <c r="A96" t="s">
        <v>411</v>
      </c>
      <c r="B96" t="s">
        <v>397</v>
      </c>
      <c r="C96" t="s">
        <v>10</v>
      </c>
      <c r="D96" t="s">
        <v>356</v>
      </c>
      <c r="E96" t="s">
        <v>210</v>
      </c>
      <c r="F96" t="s">
        <v>15</v>
      </c>
    </row>
    <row r="97" spans="1:7" x14ac:dyDescent="0.25">
      <c r="A97" t="s">
        <v>217</v>
      </c>
      <c r="B97" t="s">
        <v>218</v>
      </c>
      <c r="C97" s="46" t="s">
        <v>45</v>
      </c>
      <c r="D97" t="s">
        <v>356</v>
      </c>
      <c r="E97" t="s">
        <v>210</v>
      </c>
      <c r="F97" t="s">
        <v>15</v>
      </c>
    </row>
    <row r="98" spans="1:7" x14ac:dyDescent="0.25">
      <c r="A98" t="s">
        <v>223</v>
      </c>
      <c r="B98" t="s">
        <v>224</v>
      </c>
      <c r="C98" s="46" t="s">
        <v>20</v>
      </c>
      <c r="D98" t="s">
        <v>356</v>
      </c>
      <c r="E98" t="s">
        <v>210</v>
      </c>
      <c r="F98" t="s">
        <v>21</v>
      </c>
    </row>
    <row r="99" spans="1:7" x14ac:dyDescent="0.25">
      <c r="A99" t="s">
        <v>412</v>
      </c>
      <c r="B99" t="s">
        <v>398</v>
      </c>
      <c r="C99" t="s">
        <v>10</v>
      </c>
      <c r="D99" t="s">
        <v>356</v>
      </c>
      <c r="E99" t="s">
        <v>210</v>
      </c>
      <c r="F99" t="s">
        <v>21</v>
      </c>
    </row>
    <row r="100" spans="1:7" x14ac:dyDescent="0.25">
      <c r="A100" t="s">
        <v>226</v>
      </c>
      <c r="B100" t="s">
        <v>227</v>
      </c>
      <c r="C100" t="s">
        <v>20</v>
      </c>
      <c r="D100" t="s">
        <v>356</v>
      </c>
      <c r="E100" t="s">
        <v>210</v>
      </c>
      <c r="F100" t="s">
        <v>444</v>
      </c>
    </row>
    <row r="101" spans="1:7" x14ac:dyDescent="0.25">
      <c r="A101" t="s">
        <v>231</v>
      </c>
      <c r="B101" t="s">
        <v>232</v>
      </c>
      <c r="C101" t="s">
        <v>45</v>
      </c>
      <c r="D101" t="s">
        <v>356</v>
      </c>
      <c r="E101" t="s">
        <v>210</v>
      </c>
      <c r="F101" t="s">
        <v>445</v>
      </c>
    </row>
    <row r="102" spans="1:7" x14ac:dyDescent="0.25">
      <c r="A102" t="s">
        <v>229</v>
      </c>
      <c r="B102" t="s">
        <v>230</v>
      </c>
      <c r="C102" t="s">
        <v>45</v>
      </c>
      <c r="D102" t="s">
        <v>356</v>
      </c>
      <c r="E102" t="s">
        <v>210</v>
      </c>
      <c r="F102" t="s">
        <v>445</v>
      </c>
    </row>
    <row r="103" spans="1:7" x14ac:dyDescent="0.25">
      <c r="A103" t="s">
        <v>212</v>
      </c>
      <c r="B103" t="s">
        <v>213</v>
      </c>
      <c r="C103" t="s">
        <v>45</v>
      </c>
      <c r="D103" t="s">
        <v>356</v>
      </c>
      <c r="E103" t="s">
        <v>210</v>
      </c>
      <c r="F103" t="s">
        <v>446</v>
      </c>
    </row>
    <row r="104" spans="1:7" x14ac:dyDescent="0.25">
      <c r="A104" t="s">
        <v>415</v>
      </c>
      <c r="B104" t="s">
        <v>400</v>
      </c>
      <c r="C104" t="s">
        <v>10</v>
      </c>
      <c r="D104" t="s">
        <v>356</v>
      </c>
      <c r="E104" t="s">
        <v>210</v>
      </c>
      <c r="F104" t="s">
        <v>447</v>
      </c>
    </row>
    <row r="105" spans="1:7" x14ac:dyDescent="0.25">
      <c r="A105" t="s">
        <v>236</v>
      </c>
      <c r="B105" s="46" t="s">
        <v>236</v>
      </c>
      <c r="C105" t="s">
        <v>45</v>
      </c>
      <c r="D105" t="s">
        <v>356</v>
      </c>
      <c r="E105" t="s">
        <v>210</v>
      </c>
      <c r="F105" t="s">
        <v>447</v>
      </c>
    </row>
    <row r="106" spans="1:7" x14ac:dyDescent="0.25">
      <c r="A106" t="s">
        <v>414</v>
      </c>
      <c r="B106" t="s">
        <v>399</v>
      </c>
      <c r="C106" t="s">
        <v>45</v>
      </c>
      <c r="D106" t="s">
        <v>356</v>
      </c>
      <c r="E106" t="s">
        <v>210</v>
      </c>
      <c r="F106" t="s">
        <v>447</v>
      </c>
    </row>
    <row r="107" spans="1:7" x14ac:dyDescent="0.25">
      <c r="A107" t="s">
        <v>726</v>
      </c>
      <c r="B107" t="s">
        <v>726</v>
      </c>
      <c r="D107" t="s">
        <v>356</v>
      </c>
      <c r="E107" t="s">
        <v>206</v>
      </c>
      <c r="G107" t="s">
        <v>727</v>
      </c>
    </row>
    <row r="108" spans="1:7" x14ac:dyDescent="0.25">
      <c r="A108" t="s">
        <v>744</v>
      </c>
      <c r="B108" t="s">
        <v>744</v>
      </c>
      <c r="D108" t="s">
        <v>356</v>
      </c>
      <c r="E108" t="s">
        <v>206</v>
      </c>
      <c r="G108" t="s">
        <v>745</v>
      </c>
    </row>
    <row r="109" spans="1:7" x14ac:dyDescent="0.25">
      <c r="A109" t="s">
        <v>416</v>
      </c>
      <c r="B109" s="46" t="s">
        <v>376</v>
      </c>
      <c r="C109" s="46"/>
      <c r="D109" t="s">
        <v>356</v>
      </c>
      <c r="E109" t="s">
        <v>90</v>
      </c>
      <c r="F109" t="s">
        <v>443</v>
      </c>
    </row>
    <row r="110" spans="1:7" x14ac:dyDescent="0.25">
      <c r="A110" t="s">
        <v>300</v>
      </c>
      <c r="B110" s="46" t="s">
        <v>301</v>
      </c>
      <c r="C110" s="46"/>
      <c r="D110" t="s">
        <v>356</v>
      </c>
      <c r="E110" t="s">
        <v>90</v>
      </c>
      <c r="F110" t="s">
        <v>443</v>
      </c>
    </row>
    <row r="111" spans="1:7" x14ac:dyDescent="0.25">
      <c r="A111" t="s">
        <v>403</v>
      </c>
      <c r="B111" s="46" t="s">
        <v>403</v>
      </c>
      <c r="C111" s="46"/>
      <c r="D111" t="s">
        <v>356</v>
      </c>
      <c r="E111" t="s">
        <v>90</v>
      </c>
      <c r="F111" t="s">
        <v>443</v>
      </c>
    </row>
    <row r="112" spans="1:7" x14ac:dyDescent="0.25">
      <c r="A112" t="s">
        <v>101</v>
      </c>
      <c r="B112" s="46" t="s">
        <v>404</v>
      </c>
      <c r="C112" s="46"/>
      <c r="D112" t="s">
        <v>356</v>
      </c>
      <c r="E112" t="s">
        <v>90</v>
      </c>
      <c r="F112" t="s">
        <v>15</v>
      </c>
    </row>
    <row r="113" spans="1:7" x14ac:dyDescent="0.25">
      <c r="A113" t="s">
        <v>405</v>
      </c>
      <c r="B113" s="46" t="s">
        <v>405</v>
      </c>
      <c r="C113" s="46"/>
      <c r="D113" t="s">
        <v>356</v>
      </c>
      <c r="E113" t="s">
        <v>90</v>
      </c>
      <c r="F113" t="s">
        <v>15</v>
      </c>
    </row>
    <row r="114" spans="1:7" x14ac:dyDescent="0.25">
      <c r="A114" t="s">
        <v>417</v>
      </c>
      <c r="B114" s="46" t="s">
        <v>377</v>
      </c>
      <c r="C114" s="46" t="s">
        <v>20</v>
      </c>
      <c r="D114" t="s">
        <v>356</v>
      </c>
      <c r="E114" t="s">
        <v>90</v>
      </c>
      <c r="F114" t="s">
        <v>21</v>
      </c>
    </row>
    <row r="115" spans="1:7" x14ac:dyDescent="0.25">
      <c r="A115" t="s">
        <v>295</v>
      </c>
      <c r="B115" s="46" t="s">
        <v>296</v>
      </c>
      <c r="C115" s="46"/>
      <c r="D115" t="s">
        <v>356</v>
      </c>
      <c r="E115" t="s">
        <v>90</v>
      </c>
      <c r="F115" t="s">
        <v>21</v>
      </c>
    </row>
    <row r="116" spans="1:7" x14ac:dyDescent="0.25">
      <c r="A116" t="s">
        <v>265</v>
      </c>
      <c r="B116" s="46" t="s">
        <v>266</v>
      </c>
      <c r="C116" s="46" t="s">
        <v>45</v>
      </c>
      <c r="D116" t="s">
        <v>356</v>
      </c>
      <c r="E116" t="s">
        <v>90</v>
      </c>
      <c r="F116" t="s">
        <v>21</v>
      </c>
    </row>
    <row r="117" spans="1:7" x14ac:dyDescent="0.25">
      <c r="A117" t="s">
        <v>427</v>
      </c>
      <c r="B117" s="46" t="s">
        <v>378</v>
      </c>
      <c r="C117" s="46" t="s">
        <v>10</v>
      </c>
      <c r="D117" t="s">
        <v>356</v>
      </c>
      <c r="E117" t="s">
        <v>90</v>
      </c>
      <c r="F117" t="s">
        <v>444</v>
      </c>
    </row>
    <row r="118" spans="1:7" x14ac:dyDescent="0.25">
      <c r="A118" t="s">
        <v>298</v>
      </c>
      <c r="B118" s="46" t="s">
        <v>299</v>
      </c>
      <c r="C118" s="46" t="s">
        <v>10</v>
      </c>
      <c r="D118" t="s">
        <v>356</v>
      </c>
      <c r="E118" t="s">
        <v>90</v>
      </c>
      <c r="F118" t="s">
        <v>444</v>
      </c>
    </row>
    <row r="119" spans="1:7" x14ac:dyDescent="0.25">
      <c r="A119" t="s">
        <v>305</v>
      </c>
      <c r="B119" s="46" t="s">
        <v>406</v>
      </c>
      <c r="C119" s="46"/>
      <c r="D119" t="s">
        <v>356</v>
      </c>
      <c r="E119" t="s">
        <v>90</v>
      </c>
      <c r="F119" t="s">
        <v>445</v>
      </c>
    </row>
    <row r="120" spans="1:7" x14ac:dyDescent="0.25">
      <c r="A120" t="s">
        <v>474</v>
      </c>
      <c r="B120" s="46" t="s">
        <v>379</v>
      </c>
      <c r="C120" s="46" t="s">
        <v>20</v>
      </c>
      <c r="D120" t="s">
        <v>356</v>
      </c>
      <c r="E120" t="s">
        <v>90</v>
      </c>
      <c r="F120" t="s">
        <v>446</v>
      </c>
    </row>
    <row r="121" spans="1:7" x14ac:dyDescent="0.25">
      <c r="A121" t="s">
        <v>419</v>
      </c>
      <c r="B121" s="46" t="s">
        <v>380</v>
      </c>
      <c r="C121" s="46" t="s">
        <v>10</v>
      </c>
      <c r="D121" t="s">
        <v>356</v>
      </c>
      <c r="E121" t="s">
        <v>90</v>
      </c>
      <c r="F121" t="s">
        <v>446</v>
      </c>
    </row>
    <row r="122" spans="1:7" x14ac:dyDescent="0.25">
      <c r="A122" t="s">
        <v>304</v>
      </c>
      <c r="B122" s="46" t="s">
        <v>381</v>
      </c>
      <c r="C122" s="46"/>
      <c r="D122" t="s">
        <v>356</v>
      </c>
      <c r="E122" t="s">
        <v>90</v>
      </c>
      <c r="F122" t="s">
        <v>447</v>
      </c>
    </row>
    <row r="123" spans="1:7" x14ac:dyDescent="0.25">
      <c r="A123" t="s">
        <v>302</v>
      </c>
      <c r="B123" s="46" t="s">
        <v>303</v>
      </c>
      <c r="C123" s="46"/>
      <c r="D123" t="s">
        <v>356</v>
      </c>
      <c r="E123" t="s">
        <v>90</v>
      </c>
      <c r="F123" t="s">
        <v>447</v>
      </c>
    </row>
    <row r="124" spans="1:7" x14ac:dyDescent="0.25">
      <c r="A124" t="s">
        <v>280</v>
      </c>
      <c r="B124" t="s">
        <v>281</v>
      </c>
      <c r="C124" t="s">
        <v>45</v>
      </c>
      <c r="D124" t="s">
        <v>356</v>
      </c>
      <c r="E124" t="s">
        <v>282</v>
      </c>
      <c r="F124" t="s">
        <v>12</v>
      </c>
    </row>
    <row r="125" spans="1:7" x14ac:dyDescent="0.25">
      <c r="A125" t="s">
        <v>420</v>
      </c>
      <c r="B125" t="s">
        <v>382</v>
      </c>
      <c r="C125" t="s">
        <v>10</v>
      </c>
      <c r="D125" t="s">
        <v>356</v>
      </c>
      <c r="E125" t="s">
        <v>282</v>
      </c>
      <c r="F125" t="s">
        <v>12</v>
      </c>
    </row>
    <row r="126" spans="1:7" x14ac:dyDescent="0.25">
      <c r="A126" t="s">
        <v>383</v>
      </c>
      <c r="B126" t="s">
        <v>383</v>
      </c>
      <c r="C126" t="s">
        <v>10</v>
      </c>
      <c r="D126" t="s">
        <v>356</v>
      </c>
      <c r="E126" t="s">
        <v>282</v>
      </c>
      <c r="F126" t="s">
        <v>443</v>
      </c>
    </row>
    <row r="127" spans="1:7" x14ac:dyDescent="0.25">
      <c r="A127" t="s">
        <v>267</v>
      </c>
      <c r="B127" t="s">
        <v>268</v>
      </c>
      <c r="C127" t="s">
        <v>45</v>
      </c>
      <c r="D127" t="s">
        <v>356</v>
      </c>
      <c r="E127" t="s">
        <v>282</v>
      </c>
      <c r="F127" t="s">
        <v>443</v>
      </c>
    </row>
    <row r="128" spans="1:7" x14ac:dyDescent="0.25">
      <c r="A128" t="s">
        <v>115</v>
      </c>
      <c r="B128" t="s">
        <v>285</v>
      </c>
      <c r="C128" t="s">
        <v>45</v>
      </c>
      <c r="D128" t="s">
        <v>356</v>
      </c>
      <c r="E128" t="s">
        <v>282</v>
      </c>
      <c r="F128" t="s">
        <v>15</v>
      </c>
      <c r="G128" s="2"/>
    </row>
    <row r="129" spans="1:7" x14ac:dyDescent="0.25">
      <c r="A129" t="s">
        <v>290</v>
      </c>
      <c r="B129" t="s">
        <v>290</v>
      </c>
      <c r="C129" t="s">
        <v>45</v>
      </c>
      <c r="D129" t="s">
        <v>356</v>
      </c>
      <c r="E129" t="s">
        <v>282</v>
      </c>
      <c r="F129" t="s">
        <v>15</v>
      </c>
      <c r="G129" s="2"/>
    </row>
    <row r="130" spans="1:7" x14ac:dyDescent="0.25">
      <c r="A130" t="s">
        <v>307</v>
      </c>
      <c r="B130" t="s">
        <v>307</v>
      </c>
      <c r="C130" t="s">
        <v>45</v>
      </c>
      <c r="D130" t="s">
        <v>356</v>
      </c>
      <c r="E130" t="s">
        <v>282</v>
      </c>
      <c r="F130" t="s">
        <v>21</v>
      </c>
      <c r="G130" s="2"/>
    </row>
    <row r="131" spans="1:7" x14ac:dyDescent="0.25">
      <c r="A131" t="s">
        <v>291</v>
      </c>
      <c r="B131" t="s">
        <v>292</v>
      </c>
      <c r="C131" t="s">
        <v>45</v>
      </c>
      <c r="D131" t="s">
        <v>356</v>
      </c>
      <c r="E131" t="s">
        <v>282</v>
      </c>
      <c r="F131" t="s">
        <v>21</v>
      </c>
      <c r="G131" s="2"/>
    </row>
    <row r="132" spans="1:7" x14ac:dyDescent="0.25">
      <c r="A132" t="s">
        <v>384</v>
      </c>
      <c r="B132" t="s">
        <v>384</v>
      </c>
      <c r="C132" t="s">
        <v>45</v>
      </c>
      <c r="D132" t="s">
        <v>356</v>
      </c>
      <c r="E132" t="s">
        <v>282</v>
      </c>
      <c r="F132" t="s">
        <v>444</v>
      </c>
      <c r="G132" s="2"/>
    </row>
    <row r="133" spans="1:7" x14ac:dyDescent="0.25">
      <c r="A133" t="s">
        <v>293</v>
      </c>
      <c r="B133" t="s">
        <v>294</v>
      </c>
      <c r="C133" t="s">
        <v>45</v>
      </c>
      <c r="D133" t="s">
        <v>356</v>
      </c>
      <c r="E133" t="s">
        <v>282</v>
      </c>
      <c r="F133" t="s">
        <v>445</v>
      </c>
      <c r="G133" s="2"/>
    </row>
    <row r="134" spans="1:7" x14ac:dyDescent="0.25">
      <c r="A134" t="s">
        <v>286</v>
      </c>
      <c r="B134" t="s">
        <v>287</v>
      </c>
      <c r="D134" t="s">
        <v>356</v>
      </c>
      <c r="E134" t="s">
        <v>282</v>
      </c>
      <c r="F134" t="s">
        <v>445</v>
      </c>
      <c r="G134" s="2"/>
    </row>
    <row r="135" spans="1:7" x14ac:dyDescent="0.25">
      <c r="A135" t="s">
        <v>288</v>
      </c>
      <c r="B135" t="s">
        <v>289</v>
      </c>
      <c r="C135" t="s">
        <v>45</v>
      </c>
      <c r="D135" t="s">
        <v>356</v>
      </c>
      <c r="E135" t="s">
        <v>282</v>
      </c>
      <c r="F135" t="s">
        <v>446</v>
      </c>
      <c r="G135" s="2"/>
    </row>
    <row r="136" spans="1:7" x14ac:dyDescent="0.25">
      <c r="A136" t="s">
        <v>421</v>
      </c>
      <c r="B136" t="s">
        <v>407</v>
      </c>
      <c r="D136" t="s">
        <v>356</v>
      </c>
      <c r="E136" t="s">
        <v>282</v>
      </c>
      <c r="F136" t="s">
        <v>447</v>
      </c>
      <c r="G136" s="2"/>
    </row>
    <row r="137" spans="1:7" x14ac:dyDescent="0.25">
      <c r="A137" t="s">
        <v>1099</v>
      </c>
      <c r="B137" t="s">
        <v>1100</v>
      </c>
      <c r="D137" t="s">
        <v>356</v>
      </c>
      <c r="E137" t="s">
        <v>165</v>
      </c>
      <c r="F137" t="s">
        <v>166</v>
      </c>
      <c r="G137" t="s">
        <v>1101</v>
      </c>
    </row>
    <row r="138" spans="1:7" x14ac:dyDescent="0.25">
      <c r="A138" t="s">
        <v>423</v>
      </c>
      <c r="B138" s="46" t="s">
        <v>386</v>
      </c>
      <c r="C138" s="46" t="s">
        <v>10</v>
      </c>
      <c r="D138" t="s">
        <v>356</v>
      </c>
      <c r="E138" t="s">
        <v>11</v>
      </c>
      <c r="F138" t="s">
        <v>12</v>
      </c>
      <c r="G138" s="2"/>
    </row>
    <row r="139" spans="1:7" x14ac:dyDescent="0.25">
      <c r="A139" t="s">
        <v>259</v>
      </c>
      <c r="B139" s="46" t="s">
        <v>260</v>
      </c>
      <c r="C139" s="46" t="s">
        <v>45</v>
      </c>
      <c r="D139" t="s">
        <v>356</v>
      </c>
      <c r="E139" t="s">
        <v>11</v>
      </c>
      <c r="F139" t="s">
        <v>12</v>
      </c>
      <c r="G139" s="2"/>
    </row>
    <row r="140" spans="1:7" x14ac:dyDescent="0.25">
      <c r="A140" t="s">
        <v>422</v>
      </c>
      <c r="B140" t="s">
        <v>385</v>
      </c>
      <c r="C140" t="s">
        <v>10</v>
      </c>
      <c r="D140" t="s">
        <v>356</v>
      </c>
      <c r="E140" t="s">
        <v>11</v>
      </c>
      <c r="F140" t="s">
        <v>12</v>
      </c>
      <c r="G140" s="2"/>
    </row>
    <row r="141" spans="1:7" x14ac:dyDescent="0.25">
      <c r="A141" t="s">
        <v>214</v>
      </c>
      <c r="B141" s="46" t="s">
        <v>215</v>
      </c>
      <c r="C141" t="s">
        <v>20</v>
      </c>
      <c r="D141" t="s">
        <v>356</v>
      </c>
      <c r="E141" t="s">
        <v>11</v>
      </c>
      <c r="F141" t="s">
        <v>443</v>
      </c>
      <c r="G141" s="2"/>
    </row>
    <row r="142" spans="1:7" x14ac:dyDescent="0.25">
      <c r="A142" t="s">
        <v>261</v>
      </c>
      <c r="B142" s="46" t="s">
        <v>262</v>
      </c>
      <c r="C142" t="s">
        <v>45</v>
      </c>
      <c r="D142" t="s">
        <v>356</v>
      </c>
      <c r="E142" t="s">
        <v>11</v>
      </c>
      <c r="F142" t="s">
        <v>443</v>
      </c>
      <c r="G142" s="2"/>
    </row>
    <row r="143" spans="1:7" x14ac:dyDescent="0.25">
      <c r="A143" t="s">
        <v>283</v>
      </c>
      <c r="B143" s="46" t="s">
        <v>284</v>
      </c>
      <c r="C143" s="46" t="s">
        <v>45</v>
      </c>
      <c r="D143" t="s">
        <v>356</v>
      </c>
      <c r="E143" t="s">
        <v>11</v>
      </c>
      <c r="F143" t="s">
        <v>15</v>
      </c>
      <c r="G143" s="2"/>
    </row>
    <row r="144" spans="1:7" x14ac:dyDescent="0.25">
      <c r="A144" t="s">
        <v>424</v>
      </c>
      <c r="B144" s="46" t="s">
        <v>387</v>
      </c>
      <c r="C144" s="46" t="s">
        <v>10</v>
      </c>
      <c r="D144" t="s">
        <v>356</v>
      </c>
      <c r="E144" t="s">
        <v>11</v>
      </c>
      <c r="F144" t="s">
        <v>15</v>
      </c>
      <c r="G144" s="2"/>
    </row>
    <row r="145" spans="1:7" x14ac:dyDescent="0.25">
      <c r="A145" t="s">
        <v>228</v>
      </c>
      <c r="B145" t="s">
        <v>228</v>
      </c>
      <c r="C145" s="46" t="s">
        <v>45</v>
      </c>
      <c r="D145" t="s">
        <v>356</v>
      </c>
      <c r="E145" t="s">
        <v>11</v>
      </c>
      <c r="F145" t="s">
        <v>21</v>
      </c>
      <c r="G145" s="2"/>
    </row>
    <row r="146" spans="1:7" x14ac:dyDescent="0.25">
      <c r="A146" t="s">
        <v>256</v>
      </c>
      <c r="B146" t="s">
        <v>256</v>
      </c>
      <c r="C146" s="46" t="s">
        <v>45</v>
      </c>
      <c r="D146" t="s">
        <v>356</v>
      </c>
      <c r="E146" t="s">
        <v>11</v>
      </c>
      <c r="F146" t="s">
        <v>444</v>
      </c>
      <c r="G146" s="2"/>
    </row>
    <row r="147" spans="1:7" x14ac:dyDescent="0.25">
      <c r="A147" t="s">
        <v>413</v>
      </c>
      <c r="B147" t="s">
        <v>233</v>
      </c>
      <c r="C147" t="s">
        <v>20</v>
      </c>
      <c r="D147" t="s">
        <v>356</v>
      </c>
      <c r="E147" t="s">
        <v>11</v>
      </c>
      <c r="F147" t="s">
        <v>445</v>
      </c>
    </row>
    <row r="148" spans="1:7" x14ac:dyDescent="0.25">
      <c r="A148" t="s">
        <v>271</v>
      </c>
      <c r="B148" t="s">
        <v>272</v>
      </c>
      <c r="C148" t="s">
        <v>45</v>
      </c>
      <c r="D148" t="s">
        <v>356</v>
      </c>
      <c r="E148" t="s">
        <v>11</v>
      </c>
      <c r="F148" t="s">
        <v>446</v>
      </c>
    </row>
    <row r="149" spans="1:7" x14ac:dyDescent="0.25">
      <c r="A149" t="s">
        <v>104</v>
      </c>
      <c r="B149" t="s">
        <v>388</v>
      </c>
      <c r="C149" t="s">
        <v>10</v>
      </c>
      <c r="D149" t="s">
        <v>356</v>
      </c>
      <c r="E149" t="s">
        <v>52</v>
      </c>
      <c r="F149" t="s">
        <v>12</v>
      </c>
    </row>
    <row r="150" spans="1:7" x14ac:dyDescent="0.25">
      <c r="A150" t="s">
        <v>425</v>
      </c>
      <c r="B150" s="46" t="s">
        <v>389</v>
      </c>
      <c r="C150" t="s">
        <v>10</v>
      </c>
      <c r="D150" t="s">
        <v>356</v>
      </c>
      <c r="E150" t="s">
        <v>52</v>
      </c>
      <c r="F150" t="s">
        <v>443</v>
      </c>
    </row>
    <row r="151" spans="1:7" x14ac:dyDescent="0.25">
      <c r="A151" t="s">
        <v>252</v>
      </c>
      <c r="B151" t="s">
        <v>253</v>
      </c>
      <c r="C151" t="s">
        <v>45</v>
      </c>
      <c r="D151" t="s">
        <v>356</v>
      </c>
      <c r="E151" t="s">
        <v>52</v>
      </c>
      <c r="F151" t="s">
        <v>443</v>
      </c>
    </row>
    <row r="152" spans="1:7" x14ac:dyDescent="0.25">
      <c r="A152" t="s">
        <v>254</v>
      </c>
      <c r="B152" t="s">
        <v>255</v>
      </c>
      <c r="C152" t="s">
        <v>45</v>
      </c>
      <c r="D152" t="s">
        <v>356</v>
      </c>
      <c r="E152" t="s">
        <v>52</v>
      </c>
      <c r="F152" t="s">
        <v>15</v>
      </c>
    </row>
    <row r="153" spans="1:7" x14ac:dyDescent="0.25">
      <c r="A153" t="s">
        <v>429</v>
      </c>
      <c r="B153" s="46" t="s">
        <v>390</v>
      </c>
      <c r="C153" t="s">
        <v>10</v>
      </c>
      <c r="D153" t="s">
        <v>356</v>
      </c>
      <c r="E153" t="s">
        <v>52</v>
      </c>
      <c r="F153" t="s">
        <v>15</v>
      </c>
    </row>
    <row r="154" spans="1:7" x14ac:dyDescent="0.25">
      <c r="A154" t="s">
        <v>250</v>
      </c>
      <c r="B154" t="s">
        <v>251</v>
      </c>
      <c r="C154" t="s">
        <v>45</v>
      </c>
      <c r="D154" t="s">
        <v>356</v>
      </c>
      <c r="E154" t="s">
        <v>52</v>
      </c>
      <c r="F154" t="s">
        <v>15</v>
      </c>
    </row>
    <row r="155" spans="1:7" x14ac:dyDescent="0.25">
      <c r="A155" t="s">
        <v>219</v>
      </c>
      <c r="B155" t="s">
        <v>220</v>
      </c>
      <c r="C155" t="s">
        <v>45</v>
      </c>
      <c r="D155" t="s">
        <v>356</v>
      </c>
      <c r="E155" t="s">
        <v>52</v>
      </c>
      <c r="F155" t="s">
        <v>21</v>
      </c>
    </row>
    <row r="156" spans="1:7" x14ac:dyDescent="0.25">
      <c r="A156" t="s">
        <v>426</v>
      </c>
      <c r="B156" s="46" t="s">
        <v>391</v>
      </c>
      <c r="C156" t="s">
        <v>10</v>
      </c>
      <c r="D156" t="s">
        <v>356</v>
      </c>
      <c r="E156" t="s">
        <v>52</v>
      </c>
      <c r="F156" t="s">
        <v>444</v>
      </c>
    </row>
    <row r="157" spans="1:7" x14ac:dyDescent="0.25">
      <c r="A157" t="s">
        <v>238</v>
      </c>
      <c r="B157" t="s">
        <v>239</v>
      </c>
      <c r="D157" t="s">
        <v>356</v>
      </c>
      <c r="E157" t="s">
        <v>52</v>
      </c>
      <c r="F157" t="s">
        <v>444</v>
      </c>
    </row>
    <row r="158" spans="1:7" x14ac:dyDescent="0.25">
      <c r="A158" t="s">
        <v>430</v>
      </c>
      <c r="B158" t="s">
        <v>392</v>
      </c>
      <c r="C158" t="s">
        <v>10</v>
      </c>
      <c r="D158" t="s">
        <v>356</v>
      </c>
      <c r="E158" t="s">
        <v>52</v>
      </c>
      <c r="F158" t="s">
        <v>445</v>
      </c>
    </row>
    <row r="159" spans="1:7" x14ac:dyDescent="0.25">
      <c r="A159" t="s">
        <v>240</v>
      </c>
      <c r="B159" t="s">
        <v>241</v>
      </c>
      <c r="C159" t="s">
        <v>45</v>
      </c>
      <c r="D159" t="s">
        <v>356</v>
      </c>
      <c r="E159" t="s">
        <v>52</v>
      </c>
      <c r="F159" t="s">
        <v>446</v>
      </c>
    </row>
    <row r="160" spans="1:7" x14ac:dyDescent="0.25">
      <c r="A160" t="s">
        <v>350</v>
      </c>
      <c r="B160" t="s">
        <v>350</v>
      </c>
      <c r="C160" t="s">
        <v>45</v>
      </c>
      <c r="D160" t="s">
        <v>356</v>
      </c>
      <c r="E160" t="s">
        <v>52</v>
      </c>
      <c r="F160" t="s">
        <v>446</v>
      </c>
    </row>
    <row r="161" spans="1:7" x14ac:dyDescent="0.25">
      <c r="A161" t="s">
        <v>393</v>
      </c>
      <c r="B161" t="s">
        <v>393</v>
      </c>
      <c r="C161" t="s">
        <v>10</v>
      </c>
      <c r="D161" t="s">
        <v>356</v>
      </c>
      <c r="E161" t="s">
        <v>52</v>
      </c>
      <c r="F161" t="s">
        <v>446</v>
      </c>
    </row>
    <row r="162" spans="1:7" x14ac:dyDescent="0.25">
      <c r="A162" t="s">
        <v>431</v>
      </c>
      <c r="B162" t="s">
        <v>394</v>
      </c>
      <c r="C162" t="s">
        <v>45</v>
      </c>
      <c r="D162" t="s">
        <v>356</v>
      </c>
      <c r="E162" t="s">
        <v>52</v>
      </c>
      <c r="F162" t="s">
        <v>447</v>
      </c>
    </row>
    <row r="163" spans="1:7" x14ac:dyDescent="0.25">
      <c r="A163" t="s">
        <v>257</v>
      </c>
      <c r="B163" t="s">
        <v>258</v>
      </c>
      <c r="C163" t="s">
        <v>45</v>
      </c>
      <c r="D163" t="s">
        <v>356</v>
      </c>
      <c r="E163" t="s">
        <v>52</v>
      </c>
      <c r="F163" t="s">
        <v>447</v>
      </c>
    </row>
    <row r="164" spans="1:7" x14ac:dyDescent="0.25">
      <c r="A164" t="s">
        <v>208</v>
      </c>
      <c r="B164" s="46" t="s">
        <v>401</v>
      </c>
      <c r="C164" t="s">
        <v>10</v>
      </c>
      <c r="D164" t="s">
        <v>356</v>
      </c>
      <c r="E164" t="s">
        <v>235</v>
      </c>
      <c r="F164" t="s">
        <v>12</v>
      </c>
    </row>
    <row r="165" spans="1:7" x14ac:dyDescent="0.25">
      <c r="A165" t="s">
        <v>8</v>
      </c>
      <c r="B165" t="s">
        <v>209</v>
      </c>
      <c r="C165" t="s">
        <v>10</v>
      </c>
      <c r="D165" t="s">
        <v>356</v>
      </c>
      <c r="E165" t="s">
        <v>235</v>
      </c>
      <c r="F165" t="s">
        <v>12</v>
      </c>
    </row>
    <row r="166" spans="1:7" x14ac:dyDescent="0.25">
      <c r="A166" t="s">
        <v>234</v>
      </c>
      <c r="B166" t="s">
        <v>234</v>
      </c>
      <c r="C166" t="s">
        <v>10</v>
      </c>
      <c r="D166" t="s">
        <v>356</v>
      </c>
      <c r="E166" t="s">
        <v>235</v>
      </c>
      <c r="F166" t="s">
        <v>443</v>
      </c>
    </row>
    <row r="167" spans="1:7" x14ac:dyDescent="0.25">
      <c r="A167" t="s">
        <v>249</v>
      </c>
      <c r="B167" t="s">
        <v>249</v>
      </c>
      <c r="D167" t="s">
        <v>356</v>
      </c>
      <c r="E167" t="s">
        <v>235</v>
      </c>
      <c r="F167" t="s">
        <v>443</v>
      </c>
    </row>
    <row r="168" spans="1:7" x14ac:dyDescent="0.25">
      <c r="A168" t="s">
        <v>248</v>
      </c>
      <c r="B168" t="s">
        <v>248</v>
      </c>
      <c r="D168" t="s">
        <v>356</v>
      </c>
      <c r="E168" t="s">
        <v>235</v>
      </c>
      <c r="F168" t="s">
        <v>15</v>
      </c>
    </row>
    <row r="169" spans="1:7" x14ac:dyDescent="0.25">
      <c r="A169" t="s">
        <v>242</v>
      </c>
      <c r="B169" s="46" t="s">
        <v>243</v>
      </c>
      <c r="C169" t="s">
        <v>20</v>
      </c>
      <c r="D169" t="s">
        <v>356</v>
      </c>
      <c r="E169" t="s">
        <v>235</v>
      </c>
      <c r="F169" t="s">
        <v>15</v>
      </c>
    </row>
    <row r="170" spans="1:7" x14ac:dyDescent="0.25">
      <c r="A170" t="s">
        <v>237</v>
      </c>
      <c r="B170" t="s">
        <v>237</v>
      </c>
      <c r="D170" t="s">
        <v>356</v>
      </c>
      <c r="E170" t="s">
        <v>235</v>
      </c>
      <c r="F170" t="s">
        <v>21</v>
      </c>
    </row>
    <row r="171" spans="1:7" x14ac:dyDescent="0.25">
      <c r="A171" t="s">
        <v>245</v>
      </c>
      <c r="B171" t="s">
        <v>245</v>
      </c>
      <c r="D171" t="s">
        <v>356</v>
      </c>
      <c r="E171" t="s">
        <v>235</v>
      </c>
      <c r="F171" t="s">
        <v>444</v>
      </c>
    </row>
    <row r="172" spans="1:7" x14ac:dyDescent="0.25">
      <c r="A172" t="s">
        <v>19</v>
      </c>
      <c r="B172" t="s">
        <v>244</v>
      </c>
      <c r="C172" t="s">
        <v>409</v>
      </c>
      <c r="D172" t="s">
        <v>356</v>
      </c>
      <c r="E172" t="s">
        <v>235</v>
      </c>
      <c r="F172" t="s">
        <v>444</v>
      </c>
    </row>
    <row r="173" spans="1:7" x14ac:dyDescent="0.25">
      <c r="A173" t="s">
        <v>432</v>
      </c>
      <c r="B173" t="s">
        <v>402</v>
      </c>
      <c r="C173" t="s">
        <v>10</v>
      </c>
      <c r="D173" t="s">
        <v>356</v>
      </c>
      <c r="E173" t="s">
        <v>235</v>
      </c>
      <c r="F173" t="s">
        <v>445</v>
      </c>
    </row>
    <row r="174" spans="1:7" x14ac:dyDescent="0.25">
      <c r="A174" t="s">
        <v>246</v>
      </c>
      <c r="B174" t="s">
        <v>247</v>
      </c>
      <c r="D174" t="s">
        <v>356</v>
      </c>
      <c r="E174" t="s">
        <v>235</v>
      </c>
      <c r="F174" t="s">
        <v>445</v>
      </c>
    </row>
    <row r="175" spans="1:7" x14ac:dyDescent="0.25">
      <c r="A175" t="s">
        <v>408</v>
      </c>
      <c r="B175" t="s">
        <v>408</v>
      </c>
      <c r="D175" t="s">
        <v>356</v>
      </c>
      <c r="E175" t="s">
        <v>235</v>
      </c>
      <c r="F175" t="s">
        <v>446</v>
      </c>
    </row>
    <row r="176" spans="1:7" x14ac:dyDescent="0.25">
      <c r="A176" t="s">
        <v>978</v>
      </c>
      <c r="B176" t="s">
        <v>980</v>
      </c>
      <c r="C176" t="s">
        <v>10</v>
      </c>
      <c r="D176" t="s">
        <v>356</v>
      </c>
      <c r="E176" t="s">
        <v>235</v>
      </c>
      <c r="F176" t="s">
        <v>446</v>
      </c>
      <c r="G176" t="s">
        <v>979</v>
      </c>
    </row>
    <row r="177" spans="1:7" x14ac:dyDescent="0.25">
      <c r="A177" t="s">
        <v>440</v>
      </c>
      <c r="B177" s="46" t="s">
        <v>373</v>
      </c>
      <c r="C177" s="46" t="s">
        <v>10</v>
      </c>
      <c r="D177" t="s">
        <v>356</v>
      </c>
      <c r="E177" t="s">
        <v>126</v>
      </c>
      <c r="F177" t="s">
        <v>12</v>
      </c>
    </row>
    <row r="178" spans="1:7" x14ac:dyDescent="0.25">
      <c r="A178" t="s">
        <v>263</v>
      </c>
      <c r="B178" s="46" t="s">
        <v>264</v>
      </c>
      <c r="C178" s="46" t="s">
        <v>45</v>
      </c>
      <c r="D178" t="s">
        <v>356</v>
      </c>
      <c r="E178" t="s">
        <v>126</v>
      </c>
      <c r="F178" t="s">
        <v>443</v>
      </c>
    </row>
    <row r="179" spans="1:7" x14ac:dyDescent="0.25">
      <c r="A179" t="s">
        <v>273</v>
      </c>
      <c r="B179" s="46" t="s">
        <v>273</v>
      </c>
      <c r="C179" s="46" t="s">
        <v>10</v>
      </c>
      <c r="D179" t="s">
        <v>356</v>
      </c>
      <c r="E179" t="s">
        <v>126</v>
      </c>
      <c r="F179" t="s">
        <v>15</v>
      </c>
    </row>
    <row r="180" spans="1:7" x14ac:dyDescent="0.25">
      <c r="A180" t="s">
        <v>274</v>
      </c>
      <c r="B180" s="46" t="s">
        <v>274</v>
      </c>
      <c r="C180" s="46" t="s">
        <v>10</v>
      </c>
      <c r="D180" t="s">
        <v>356</v>
      </c>
      <c r="E180" t="s">
        <v>126</v>
      </c>
      <c r="F180" t="s">
        <v>21</v>
      </c>
    </row>
    <row r="181" spans="1:7" x14ac:dyDescent="0.25">
      <c r="A181" t="s">
        <v>374</v>
      </c>
      <c r="B181" s="46" t="s">
        <v>374</v>
      </c>
      <c r="C181" s="46" t="s">
        <v>10</v>
      </c>
      <c r="D181" t="s">
        <v>356</v>
      </c>
      <c r="E181" t="s">
        <v>126</v>
      </c>
      <c r="F181" t="s">
        <v>444</v>
      </c>
    </row>
    <row r="182" spans="1:7" x14ac:dyDescent="0.25">
      <c r="A182" t="s">
        <v>275</v>
      </c>
      <c r="B182" s="46" t="s">
        <v>276</v>
      </c>
      <c r="C182" s="46" t="s">
        <v>20</v>
      </c>
      <c r="D182" t="s">
        <v>356</v>
      </c>
      <c r="E182" t="s">
        <v>126</v>
      </c>
      <c r="F182" t="s">
        <v>444</v>
      </c>
    </row>
    <row r="183" spans="1:7" x14ac:dyDescent="0.25">
      <c r="A183" t="s">
        <v>278</v>
      </c>
      <c r="B183" s="46" t="s">
        <v>278</v>
      </c>
      <c r="C183" s="46" t="s">
        <v>20</v>
      </c>
      <c r="D183" t="s">
        <v>356</v>
      </c>
      <c r="E183" t="s">
        <v>126</v>
      </c>
      <c r="F183" t="s">
        <v>445</v>
      </c>
    </row>
    <row r="184" spans="1:7" x14ac:dyDescent="0.25">
      <c r="A184" t="s">
        <v>156</v>
      </c>
      <c r="B184" s="46" t="s">
        <v>279</v>
      </c>
      <c r="C184" s="46" t="s">
        <v>45</v>
      </c>
      <c r="D184" t="s">
        <v>356</v>
      </c>
      <c r="E184" t="s">
        <v>126</v>
      </c>
      <c r="F184" t="s">
        <v>445</v>
      </c>
    </row>
    <row r="185" spans="1:7" x14ac:dyDescent="0.25">
      <c r="A185" t="s">
        <v>277</v>
      </c>
      <c r="B185" s="46" t="s">
        <v>277</v>
      </c>
      <c r="C185" s="46" t="s">
        <v>10</v>
      </c>
      <c r="D185" t="s">
        <v>356</v>
      </c>
      <c r="E185" t="s">
        <v>126</v>
      </c>
      <c r="F185" t="s">
        <v>445</v>
      </c>
    </row>
    <row r="186" spans="1:7" x14ac:dyDescent="0.25">
      <c r="A186" t="s">
        <v>442</v>
      </c>
      <c r="B186" s="46" t="s">
        <v>375</v>
      </c>
      <c r="C186" s="46" t="s">
        <v>10</v>
      </c>
      <c r="D186" t="s">
        <v>356</v>
      </c>
      <c r="E186" t="s">
        <v>126</v>
      </c>
      <c r="F186" t="s">
        <v>447</v>
      </c>
    </row>
    <row r="187" spans="1:7" x14ac:dyDescent="0.25">
      <c r="A187" t="s">
        <v>433</v>
      </c>
      <c r="B187" s="46" t="s">
        <v>355</v>
      </c>
      <c r="C187" s="46" t="s">
        <v>20</v>
      </c>
      <c r="D187" t="s">
        <v>356</v>
      </c>
      <c r="E187" t="s">
        <v>357</v>
      </c>
      <c r="F187" t="s">
        <v>12</v>
      </c>
      <c r="G187" s="2" t="s">
        <v>640</v>
      </c>
    </row>
    <row r="188" spans="1:7" x14ac:dyDescent="0.25">
      <c r="A188" t="s">
        <v>441</v>
      </c>
      <c r="B188" s="46" t="s">
        <v>358</v>
      </c>
      <c r="C188" s="46" t="s">
        <v>10</v>
      </c>
      <c r="D188" t="s">
        <v>356</v>
      </c>
      <c r="E188" t="s">
        <v>357</v>
      </c>
      <c r="F188" t="s">
        <v>443</v>
      </c>
      <c r="G188" s="2" t="s">
        <v>641</v>
      </c>
    </row>
    <row r="189" spans="1:7" x14ac:dyDescent="0.25">
      <c r="A189" t="s">
        <v>360</v>
      </c>
      <c r="B189" s="46" t="s">
        <v>360</v>
      </c>
      <c r="C189" s="46" t="s">
        <v>10</v>
      </c>
      <c r="D189" t="s">
        <v>356</v>
      </c>
      <c r="E189" t="s">
        <v>357</v>
      </c>
      <c r="F189" t="s">
        <v>443</v>
      </c>
      <c r="G189" s="2" t="s">
        <v>643</v>
      </c>
    </row>
    <row r="190" spans="1:7" x14ac:dyDescent="0.25">
      <c r="A190" t="s">
        <v>99</v>
      </c>
      <c r="B190" s="46" t="s">
        <v>359</v>
      </c>
      <c r="C190" s="46" t="s">
        <v>45</v>
      </c>
      <c r="D190" t="s">
        <v>356</v>
      </c>
      <c r="E190" t="s">
        <v>357</v>
      </c>
      <c r="F190" t="s">
        <v>443</v>
      </c>
      <c r="G190" s="2" t="s">
        <v>642</v>
      </c>
    </row>
    <row r="191" spans="1:7" x14ac:dyDescent="0.25">
      <c r="A191" t="s">
        <v>297</v>
      </c>
      <c r="B191" s="46" t="s">
        <v>371</v>
      </c>
      <c r="D191" t="s">
        <v>356</v>
      </c>
      <c r="E191" t="s">
        <v>357</v>
      </c>
      <c r="F191" t="s">
        <v>15</v>
      </c>
      <c r="G191" s="2" t="s">
        <v>644</v>
      </c>
    </row>
    <row r="192" spans="1:7" x14ac:dyDescent="0.25">
      <c r="A192" t="s">
        <v>306</v>
      </c>
      <c r="B192" s="46" t="s">
        <v>306</v>
      </c>
      <c r="D192" t="s">
        <v>356</v>
      </c>
      <c r="E192" t="s">
        <v>357</v>
      </c>
      <c r="F192" t="s">
        <v>15</v>
      </c>
      <c r="G192" s="2" t="s">
        <v>645</v>
      </c>
    </row>
    <row r="193" spans="1:7" x14ac:dyDescent="0.25">
      <c r="A193" t="s">
        <v>434</v>
      </c>
      <c r="B193" s="46" t="s">
        <v>361</v>
      </c>
      <c r="C193" s="46" t="s">
        <v>10</v>
      </c>
      <c r="D193" t="s">
        <v>356</v>
      </c>
      <c r="E193" t="s">
        <v>357</v>
      </c>
      <c r="F193" t="s">
        <v>15</v>
      </c>
      <c r="G193" s="2" t="s">
        <v>646</v>
      </c>
    </row>
    <row r="194" spans="1:7" x14ac:dyDescent="0.25">
      <c r="A194" t="s">
        <v>363</v>
      </c>
      <c r="B194" s="46" t="s">
        <v>363</v>
      </c>
      <c r="C194" s="46" t="s">
        <v>10</v>
      </c>
      <c r="D194" t="s">
        <v>356</v>
      </c>
      <c r="E194" t="s">
        <v>357</v>
      </c>
      <c r="F194" t="s">
        <v>21</v>
      </c>
    </row>
    <row r="195" spans="1:7" x14ac:dyDescent="0.25">
      <c r="A195" t="s">
        <v>435</v>
      </c>
      <c r="B195" s="46" t="s">
        <v>362</v>
      </c>
      <c r="C195" s="46" t="s">
        <v>10</v>
      </c>
      <c r="D195" t="s">
        <v>356</v>
      </c>
      <c r="E195" t="s">
        <v>357</v>
      </c>
      <c r="F195" t="s">
        <v>21</v>
      </c>
    </row>
    <row r="196" spans="1:7" x14ac:dyDescent="0.25">
      <c r="A196" t="s">
        <v>216</v>
      </c>
      <c r="B196" s="46" t="s">
        <v>216</v>
      </c>
      <c r="D196" t="s">
        <v>356</v>
      </c>
      <c r="E196" t="s">
        <v>357</v>
      </c>
      <c r="F196" t="s">
        <v>444</v>
      </c>
      <c r="G196" s="2"/>
    </row>
    <row r="197" spans="1:7" x14ac:dyDescent="0.25">
      <c r="A197" t="s">
        <v>438</v>
      </c>
      <c r="B197" s="46" t="s">
        <v>364</v>
      </c>
      <c r="C197" s="46" t="s">
        <v>10</v>
      </c>
      <c r="D197" t="s">
        <v>356</v>
      </c>
      <c r="E197" t="s">
        <v>357</v>
      </c>
      <c r="F197" t="s">
        <v>444</v>
      </c>
      <c r="G197" s="2"/>
    </row>
    <row r="198" spans="1:7" x14ac:dyDescent="0.25">
      <c r="A198" t="s">
        <v>418</v>
      </c>
      <c r="B198" s="46" t="s">
        <v>372</v>
      </c>
      <c r="D198" t="s">
        <v>356</v>
      </c>
      <c r="E198" t="s">
        <v>357</v>
      </c>
      <c r="F198" t="s">
        <v>444</v>
      </c>
      <c r="G198" s="2"/>
    </row>
    <row r="199" spans="1:7" x14ac:dyDescent="0.25">
      <c r="A199" t="s">
        <v>439</v>
      </c>
      <c r="B199" s="46" t="s">
        <v>366</v>
      </c>
      <c r="C199" s="46" t="s">
        <v>10</v>
      </c>
      <c r="D199" t="s">
        <v>356</v>
      </c>
      <c r="E199" t="s">
        <v>357</v>
      </c>
      <c r="F199" t="s">
        <v>445</v>
      </c>
    </row>
    <row r="200" spans="1:7" x14ac:dyDescent="0.25">
      <c r="A200" t="s">
        <v>367</v>
      </c>
      <c r="B200" s="46" t="s">
        <v>367</v>
      </c>
      <c r="C200" s="46" t="s">
        <v>10</v>
      </c>
      <c r="D200" t="s">
        <v>356</v>
      </c>
      <c r="E200" t="s">
        <v>357</v>
      </c>
      <c r="F200" t="s">
        <v>445</v>
      </c>
    </row>
    <row r="201" spans="1:7" x14ac:dyDescent="0.25">
      <c r="A201" t="s">
        <v>437</v>
      </c>
      <c r="B201" s="46" t="s">
        <v>365</v>
      </c>
      <c r="C201" s="46" t="s">
        <v>10</v>
      </c>
      <c r="D201" t="s">
        <v>356</v>
      </c>
      <c r="E201" t="s">
        <v>357</v>
      </c>
      <c r="F201" t="s">
        <v>445</v>
      </c>
    </row>
    <row r="202" spans="1:7" x14ac:dyDescent="0.25">
      <c r="A202" t="s">
        <v>368</v>
      </c>
      <c r="B202" s="46" t="s">
        <v>368</v>
      </c>
      <c r="C202" s="46" t="s">
        <v>10</v>
      </c>
      <c r="D202" t="s">
        <v>356</v>
      </c>
      <c r="E202" t="s">
        <v>357</v>
      </c>
      <c r="F202" t="s">
        <v>446</v>
      </c>
      <c r="G202" s="2"/>
    </row>
    <row r="203" spans="1:7" x14ac:dyDescent="0.25">
      <c r="A203" t="s">
        <v>269</v>
      </c>
      <c r="B203" s="46" t="s">
        <v>270</v>
      </c>
      <c r="C203" s="46"/>
      <c r="D203" t="s">
        <v>356</v>
      </c>
      <c r="E203" t="s">
        <v>357</v>
      </c>
      <c r="F203" t="s">
        <v>446</v>
      </c>
      <c r="G203" s="2"/>
    </row>
    <row r="204" spans="1:7" x14ac:dyDescent="0.25">
      <c r="A204" t="s">
        <v>436</v>
      </c>
      <c r="B204" s="46" t="s">
        <v>369</v>
      </c>
      <c r="C204" s="46" t="s">
        <v>10</v>
      </c>
      <c r="D204" t="s">
        <v>356</v>
      </c>
      <c r="E204" t="s">
        <v>357</v>
      </c>
      <c r="F204" t="s">
        <v>447</v>
      </c>
    </row>
    <row r="205" spans="1:7" x14ac:dyDescent="0.25">
      <c r="A205" t="s">
        <v>370</v>
      </c>
      <c r="B205" s="46" t="s">
        <v>370</v>
      </c>
      <c r="C205" s="46" t="s">
        <v>10</v>
      </c>
      <c r="D205" t="s">
        <v>356</v>
      </c>
      <c r="E205" t="s">
        <v>357</v>
      </c>
      <c r="F205" t="s">
        <v>447</v>
      </c>
    </row>
    <row r="206" spans="1:7" x14ac:dyDescent="0.25">
      <c r="A206" t="s">
        <v>648</v>
      </c>
      <c r="B206" t="s">
        <v>920</v>
      </c>
      <c r="D206" t="s">
        <v>577</v>
      </c>
      <c r="E206" t="s">
        <v>206</v>
      </c>
      <c r="G206" t="s">
        <v>719</v>
      </c>
    </row>
    <row r="207" spans="1:7" x14ac:dyDescent="0.25">
      <c r="A207" t="s">
        <v>647</v>
      </c>
      <c r="B207" t="s">
        <v>921</v>
      </c>
      <c r="D207" t="s">
        <v>577</v>
      </c>
      <c r="E207" t="s">
        <v>206</v>
      </c>
      <c r="G207" t="s">
        <v>720</v>
      </c>
    </row>
    <row r="208" spans="1:7" x14ac:dyDescent="0.25">
      <c r="A208" t="s">
        <v>469</v>
      </c>
      <c r="B208" t="s">
        <v>511</v>
      </c>
      <c r="C208" t="s">
        <v>45</v>
      </c>
      <c r="D208" t="s">
        <v>577</v>
      </c>
      <c r="E208" t="s">
        <v>304</v>
      </c>
      <c r="F208" t="s">
        <v>12</v>
      </c>
      <c r="G208" t="s">
        <v>651</v>
      </c>
    </row>
    <row r="209" spans="1:7" x14ac:dyDescent="0.25">
      <c r="A209" t="s">
        <v>591</v>
      </c>
      <c r="B209" t="s">
        <v>512</v>
      </c>
      <c r="C209" t="s">
        <v>10</v>
      </c>
      <c r="D209" t="s">
        <v>577</v>
      </c>
      <c r="E209" t="s">
        <v>304</v>
      </c>
      <c r="F209" t="s">
        <v>12</v>
      </c>
      <c r="G209" t="s">
        <v>649</v>
      </c>
    </row>
    <row r="210" spans="1:7" x14ac:dyDescent="0.25">
      <c r="A210" t="s">
        <v>582</v>
      </c>
      <c r="B210" t="s">
        <v>513</v>
      </c>
      <c r="C210" t="s">
        <v>45</v>
      </c>
      <c r="D210" t="s">
        <v>577</v>
      </c>
      <c r="E210" t="s">
        <v>304</v>
      </c>
      <c r="F210" t="s">
        <v>443</v>
      </c>
      <c r="G210" t="s">
        <v>650</v>
      </c>
    </row>
    <row r="211" spans="1:7" x14ac:dyDescent="0.25">
      <c r="A211" t="s">
        <v>589</v>
      </c>
      <c r="B211" t="s">
        <v>544</v>
      </c>
      <c r="C211" s="47"/>
      <c r="D211" t="s">
        <v>577</v>
      </c>
      <c r="E211" t="s">
        <v>304</v>
      </c>
      <c r="F211" t="s">
        <v>443</v>
      </c>
      <c r="G211" t="s">
        <v>652</v>
      </c>
    </row>
    <row r="212" spans="1:7" x14ac:dyDescent="0.25">
      <c r="A212" t="s">
        <v>583</v>
      </c>
      <c r="B212" t="s">
        <v>543</v>
      </c>
      <c r="C212" s="47"/>
      <c r="D212" t="s">
        <v>577</v>
      </c>
      <c r="E212" t="s">
        <v>304</v>
      </c>
      <c r="F212" t="s">
        <v>443</v>
      </c>
      <c r="G212" t="s">
        <v>712</v>
      </c>
    </row>
    <row r="213" spans="1:7" x14ac:dyDescent="0.25">
      <c r="A213" t="s">
        <v>584</v>
      </c>
      <c r="B213" t="s">
        <v>514</v>
      </c>
      <c r="C213" t="s">
        <v>10</v>
      </c>
      <c r="D213" t="s">
        <v>577</v>
      </c>
      <c r="E213" t="s">
        <v>304</v>
      </c>
      <c r="F213" t="s">
        <v>21</v>
      </c>
      <c r="G213" t="s">
        <v>653</v>
      </c>
    </row>
    <row r="214" spans="1:7" x14ac:dyDescent="0.25">
      <c r="A214" t="s">
        <v>590</v>
      </c>
      <c r="B214" t="s">
        <v>545</v>
      </c>
      <c r="C214" s="47"/>
      <c r="D214" t="s">
        <v>577</v>
      </c>
      <c r="E214" t="s">
        <v>304</v>
      </c>
      <c r="F214" t="s">
        <v>445</v>
      </c>
      <c r="G214" t="s">
        <v>654</v>
      </c>
    </row>
    <row r="215" spans="1:7" x14ac:dyDescent="0.25">
      <c r="A215" t="s">
        <v>585</v>
      </c>
      <c r="B215" t="s">
        <v>546</v>
      </c>
      <c r="C215" s="47"/>
      <c r="D215" t="s">
        <v>577</v>
      </c>
      <c r="E215" t="s">
        <v>304</v>
      </c>
      <c r="F215" t="s">
        <v>446</v>
      </c>
      <c r="G215" t="s">
        <v>657</v>
      </c>
    </row>
    <row r="216" spans="1:7" x14ac:dyDescent="0.25">
      <c r="A216" t="s">
        <v>286</v>
      </c>
      <c r="B216" t="s">
        <v>548</v>
      </c>
      <c r="C216" s="47"/>
      <c r="D216" t="s">
        <v>577</v>
      </c>
      <c r="E216" t="s">
        <v>304</v>
      </c>
      <c r="F216" t="s">
        <v>447</v>
      </c>
      <c r="G216" t="s">
        <v>656</v>
      </c>
    </row>
    <row r="217" spans="1:7" x14ac:dyDescent="0.25">
      <c r="A217" t="s">
        <v>384</v>
      </c>
      <c r="B217" t="s">
        <v>547</v>
      </c>
      <c r="C217" s="47"/>
      <c r="D217" t="s">
        <v>577</v>
      </c>
      <c r="E217" t="s">
        <v>304</v>
      </c>
      <c r="F217" t="s">
        <v>447</v>
      </c>
      <c r="G217" t="s">
        <v>658</v>
      </c>
    </row>
    <row r="218" spans="1:7" x14ac:dyDescent="0.25">
      <c r="A218" t="s">
        <v>592</v>
      </c>
      <c r="B218" t="s">
        <v>515</v>
      </c>
      <c r="C218" t="s">
        <v>45</v>
      </c>
      <c r="D218" t="s">
        <v>577</v>
      </c>
      <c r="E218" t="s">
        <v>304</v>
      </c>
      <c r="F218" t="s">
        <v>447</v>
      </c>
      <c r="G218" t="s">
        <v>655</v>
      </c>
    </row>
    <row r="219" spans="1:7" x14ac:dyDescent="0.25">
      <c r="A219" t="s">
        <v>593</v>
      </c>
      <c r="B219" t="s">
        <v>516</v>
      </c>
      <c r="C219" t="s">
        <v>10</v>
      </c>
      <c r="D219" t="s">
        <v>577</v>
      </c>
      <c r="E219" t="s">
        <v>578</v>
      </c>
      <c r="F219" t="s">
        <v>12</v>
      </c>
      <c r="G219" t="s">
        <v>659</v>
      </c>
    </row>
    <row r="220" spans="1:7" x14ac:dyDescent="0.25">
      <c r="A220" t="s">
        <v>586</v>
      </c>
      <c r="B220" t="s">
        <v>550</v>
      </c>
      <c r="C220" s="47"/>
      <c r="D220" t="s">
        <v>577</v>
      </c>
      <c r="E220" t="s">
        <v>578</v>
      </c>
      <c r="F220" t="s">
        <v>443</v>
      </c>
      <c r="G220" t="s">
        <v>676</v>
      </c>
    </row>
    <row r="221" spans="1:7" x14ac:dyDescent="0.25">
      <c r="A221" t="s">
        <v>476</v>
      </c>
      <c r="B221" t="s">
        <v>549</v>
      </c>
      <c r="C221" s="47"/>
      <c r="D221" t="s">
        <v>577</v>
      </c>
      <c r="E221" t="s">
        <v>578</v>
      </c>
      <c r="F221" t="s">
        <v>443</v>
      </c>
      <c r="G221" t="s">
        <v>660</v>
      </c>
    </row>
    <row r="222" spans="1:7" x14ac:dyDescent="0.25">
      <c r="A222" t="s">
        <v>628</v>
      </c>
      <c r="B222" t="s">
        <v>518</v>
      </c>
      <c r="C222" t="s">
        <v>10</v>
      </c>
      <c r="D222" t="s">
        <v>577</v>
      </c>
      <c r="E222" t="s">
        <v>578</v>
      </c>
      <c r="F222" t="s">
        <v>15</v>
      </c>
      <c r="G222" t="s">
        <v>661</v>
      </c>
    </row>
    <row r="223" spans="1:7" x14ac:dyDescent="0.25">
      <c r="A223" t="s">
        <v>668</v>
      </c>
      <c r="B223" t="s">
        <v>517</v>
      </c>
      <c r="C223" t="s">
        <v>10</v>
      </c>
      <c r="D223" t="s">
        <v>577</v>
      </c>
      <c r="E223" t="s">
        <v>578</v>
      </c>
      <c r="F223" t="s">
        <v>15</v>
      </c>
      <c r="G223" t="s">
        <v>669</v>
      </c>
    </row>
    <row r="224" spans="1:7" x14ac:dyDescent="0.25">
      <c r="A224" t="s">
        <v>594</v>
      </c>
      <c r="B224" t="s">
        <v>519</v>
      </c>
      <c r="C224" t="s">
        <v>10</v>
      </c>
      <c r="D224" t="s">
        <v>577</v>
      </c>
      <c r="E224" t="s">
        <v>578</v>
      </c>
      <c r="F224" t="s">
        <v>15</v>
      </c>
      <c r="G224" t="s">
        <v>662</v>
      </c>
    </row>
    <row r="225" spans="1:7" x14ac:dyDescent="0.25">
      <c r="A225" t="s">
        <v>595</v>
      </c>
      <c r="B225" t="s">
        <v>520</v>
      </c>
      <c r="C225" t="s">
        <v>45</v>
      </c>
      <c r="D225" t="s">
        <v>577</v>
      </c>
      <c r="E225" t="s">
        <v>578</v>
      </c>
      <c r="F225" t="s">
        <v>21</v>
      </c>
      <c r="G225" t="s">
        <v>663</v>
      </c>
    </row>
    <row r="226" spans="1:7" x14ac:dyDescent="0.25">
      <c r="A226" t="s">
        <v>596</v>
      </c>
      <c r="B226" t="s">
        <v>551</v>
      </c>
      <c r="C226" s="47"/>
      <c r="D226" t="s">
        <v>577</v>
      </c>
      <c r="E226" t="s">
        <v>578</v>
      </c>
      <c r="F226" t="s">
        <v>21</v>
      </c>
      <c r="G226" t="s">
        <v>672</v>
      </c>
    </row>
    <row r="227" spans="1:7" x14ac:dyDescent="0.25">
      <c r="A227" t="s">
        <v>597</v>
      </c>
      <c r="B227" t="s">
        <v>552</v>
      </c>
      <c r="C227" s="47"/>
      <c r="D227" t="s">
        <v>577</v>
      </c>
      <c r="E227" t="s">
        <v>578</v>
      </c>
      <c r="F227" t="s">
        <v>21</v>
      </c>
      <c r="G227" t="s">
        <v>675</v>
      </c>
    </row>
    <row r="228" spans="1:7" x14ac:dyDescent="0.25">
      <c r="A228" t="s">
        <v>587</v>
      </c>
      <c r="B228" t="s">
        <v>554</v>
      </c>
      <c r="C228" s="47"/>
      <c r="D228" t="s">
        <v>577</v>
      </c>
      <c r="E228" t="s">
        <v>578</v>
      </c>
      <c r="F228" t="s">
        <v>444</v>
      </c>
      <c r="G228" t="s">
        <v>665</v>
      </c>
    </row>
    <row r="229" spans="1:7" x14ac:dyDescent="0.25">
      <c r="A229" t="s">
        <v>598</v>
      </c>
      <c r="B229" t="s">
        <v>553</v>
      </c>
      <c r="C229" s="47"/>
      <c r="D229" t="s">
        <v>577</v>
      </c>
      <c r="E229" t="s">
        <v>578</v>
      </c>
      <c r="F229" t="s">
        <v>444</v>
      </c>
      <c r="G229" t="s">
        <v>674</v>
      </c>
    </row>
    <row r="230" spans="1:7" x14ac:dyDescent="0.25">
      <c r="A230" t="s">
        <v>599</v>
      </c>
      <c r="B230" t="s">
        <v>521</v>
      </c>
      <c r="C230" t="s">
        <v>10</v>
      </c>
      <c r="D230" t="s">
        <v>577</v>
      </c>
      <c r="E230" t="s">
        <v>578</v>
      </c>
      <c r="F230" t="s">
        <v>444</v>
      </c>
      <c r="G230" t="s">
        <v>664</v>
      </c>
    </row>
    <row r="231" spans="1:7" x14ac:dyDescent="0.25">
      <c r="A231" t="s">
        <v>588</v>
      </c>
      <c r="B231" t="s">
        <v>522</v>
      </c>
      <c r="C231" t="s">
        <v>10</v>
      </c>
      <c r="D231" t="s">
        <v>577</v>
      </c>
      <c r="E231" t="s">
        <v>578</v>
      </c>
      <c r="F231" t="s">
        <v>445</v>
      </c>
      <c r="G231" t="s">
        <v>671</v>
      </c>
    </row>
    <row r="232" spans="1:7" x14ac:dyDescent="0.25">
      <c r="A232" t="s">
        <v>677</v>
      </c>
      <c r="B232" t="s">
        <v>523</v>
      </c>
      <c r="C232" t="s">
        <v>10</v>
      </c>
      <c r="D232" t="s">
        <v>577</v>
      </c>
      <c r="E232" t="s">
        <v>578</v>
      </c>
      <c r="F232" t="s">
        <v>445</v>
      </c>
      <c r="G232" t="s">
        <v>678</v>
      </c>
    </row>
    <row r="233" spans="1:7" x14ac:dyDescent="0.25">
      <c r="A233" t="s">
        <v>472</v>
      </c>
      <c r="B233" t="s">
        <v>555</v>
      </c>
      <c r="C233" s="47"/>
      <c r="D233" t="s">
        <v>577</v>
      </c>
      <c r="E233" t="s">
        <v>578</v>
      </c>
      <c r="F233" t="s">
        <v>446</v>
      </c>
      <c r="G233" t="s">
        <v>666</v>
      </c>
    </row>
    <row r="234" spans="1:7" x14ac:dyDescent="0.25">
      <c r="A234" t="s">
        <v>600</v>
      </c>
      <c r="B234" t="s">
        <v>556</v>
      </c>
      <c r="C234" s="47"/>
      <c r="D234" t="s">
        <v>577</v>
      </c>
      <c r="E234" t="s">
        <v>578</v>
      </c>
      <c r="F234" t="s">
        <v>446</v>
      </c>
      <c r="G234" t="s">
        <v>667</v>
      </c>
    </row>
    <row r="235" spans="1:7" x14ac:dyDescent="0.25">
      <c r="A235" t="s">
        <v>601</v>
      </c>
      <c r="B235" t="s">
        <v>557</v>
      </c>
      <c r="C235" s="47"/>
      <c r="D235" t="s">
        <v>577</v>
      </c>
      <c r="E235" t="s">
        <v>578</v>
      </c>
      <c r="F235" t="s">
        <v>447</v>
      </c>
      <c r="G235" t="s">
        <v>670</v>
      </c>
    </row>
    <row r="236" spans="1:7" x14ac:dyDescent="0.25">
      <c r="A236" t="s">
        <v>602</v>
      </c>
      <c r="B236" t="s">
        <v>524</v>
      </c>
      <c r="C236" t="s">
        <v>10</v>
      </c>
      <c r="D236" t="s">
        <v>577</v>
      </c>
      <c r="E236" t="s">
        <v>578</v>
      </c>
      <c r="F236" t="s">
        <v>447</v>
      </c>
      <c r="G236" t="s">
        <v>673</v>
      </c>
    </row>
    <row r="237" spans="1:7" x14ac:dyDescent="0.25">
      <c r="A237" t="s">
        <v>603</v>
      </c>
      <c r="B237" t="s">
        <v>525</v>
      </c>
      <c r="C237" t="s">
        <v>45</v>
      </c>
      <c r="D237" t="s">
        <v>577</v>
      </c>
      <c r="E237" t="s">
        <v>479</v>
      </c>
      <c r="F237" t="s">
        <v>443</v>
      </c>
      <c r="G237" t="s">
        <v>689</v>
      </c>
    </row>
    <row r="238" spans="1:7" x14ac:dyDescent="0.25">
      <c r="A238" t="s">
        <v>604</v>
      </c>
      <c r="B238" t="s">
        <v>526</v>
      </c>
      <c r="C238" t="s">
        <v>45</v>
      </c>
      <c r="D238" t="s">
        <v>577</v>
      </c>
      <c r="E238" t="s">
        <v>479</v>
      </c>
      <c r="F238" t="s">
        <v>443</v>
      </c>
      <c r="G238" t="s">
        <v>691</v>
      </c>
    </row>
    <row r="239" spans="1:7" x14ac:dyDescent="0.25">
      <c r="A239" t="s">
        <v>605</v>
      </c>
      <c r="B239" t="s">
        <v>558</v>
      </c>
      <c r="C239" s="47"/>
      <c r="D239" t="s">
        <v>577</v>
      </c>
      <c r="E239" t="s">
        <v>479</v>
      </c>
      <c r="F239" t="s">
        <v>15</v>
      </c>
      <c r="G239" t="s">
        <v>685</v>
      </c>
    </row>
    <row r="240" spans="1:7" x14ac:dyDescent="0.25">
      <c r="A240" t="s">
        <v>679</v>
      </c>
      <c r="B240" t="s">
        <v>527</v>
      </c>
      <c r="C240" t="s">
        <v>10</v>
      </c>
      <c r="D240" t="s">
        <v>577</v>
      </c>
      <c r="E240" t="s">
        <v>479</v>
      </c>
      <c r="F240" t="s">
        <v>15</v>
      </c>
      <c r="G240" t="s">
        <v>680</v>
      </c>
    </row>
    <row r="241" spans="1:7" x14ac:dyDescent="0.25">
      <c r="A241" t="s">
        <v>683</v>
      </c>
      <c r="B241" t="s">
        <v>560</v>
      </c>
      <c r="C241" s="47"/>
      <c r="D241" t="s">
        <v>577</v>
      </c>
      <c r="E241" t="s">
        <v>479</v>
      </c>
      <c r="F241" t="s">
        <v>21</v>
      </c>
      <c r="G241" t="s">
        <v>682</v>
      </c>
    </row>
    <row r="242" spans="1:7" x14ac:dyDescent="0.25">
      <c r="A242" t="s">
        <v>477</v>
      </c>
      <c r="B242" t="s">
        <v>559</v>
      </c>
      <c r="C242" s="47"/>
      <c r="D242" t="s">
        <v>577</v>
      </c>
      <c r="E242" t="s">
        <v>479</v>
      </c>
      <c r="F242" t="s">
        <v>21</v>
      </c>
      <c r="G242" t="s">
        <v>694</v>
      </c>
    </row>
    <row r="243" spans="1:7" x14ac:dyDescent="0.25">
      <c r="A243" t="s">
        <v>606</v>
      </c>
      <c r="B243" t="s">
        <v>528</v>
      </c>
      <c r="C243" t="s">
        <v>45</v>
      </c>
      <c r="D243" t="s">
        <v>577</v>
      </c>
      <c r="E243" t="s">
        <v>479</v>
      </c>
      <c r="F243" t="s">
        <v>444</v>
      </c>
      <c r="G243" t="s">
        <v>688</v>
      </c>
    </row>
    <row r="244" spans="1:7" x14ac:dyDescent="0.25">
      <c r="A244" t="s">
        <v>607</v>
      </c>
      <c r="B244" t="s">
        <v>561</v>
      </c>
      <c r="C244" s="47"/>
      <c r="D244" t="s">
        <v>577</v>
      </c>
      <c r="E244" t="s">
        <v>479</v>
      </c>
      <c r="F244" t="s">
        <v>444</v>
      </c>
      <c r="G244" t="s">
        <v>687</v>
      </c>
    </row>
    <row r="245" spans="1:7" x14ac:dyDescent="0.25">
      <c r="A245" t="s">
        <v>608</v>
      </c>
      <c r="B245" t="s">
        <v>562</v>
      </c>
      <c r="C245" s="47"/>
      <c r="D245" t="s">
        <v>577</v>
      </c>
      <c r="E245" t="s">
        <v>479</v>
      </c>
      <c r="F245" t="s">
        <v>445</v>
      </c>
      <c r="G245" t="s">
        <v>681</v>
      </c>
    </row>
    <row r="246" spans="1:7" x14ac:dyDescent="0.25">
      <c r="A246" t="s">
        <v>510</v>
      </c>
      <c r="B246" t="s">
        <v>529</v>
      </c>
      <c r="C246" t="s">
        <v>45</v>
      </c>
      <c r="D246" t="s">
        <v>577</v>
      </c>
      <c r="E246" t="s">
        <v>479</v>
      </c>
      <c r="F246" t="s">
        <v>446</v>
      </c>
      <c r="G246" t="s">
        <v>684</v>
      </c>
    </row>
    <row r="247" spans="1:7" x14ac:dyDescent="0.25">
      <c r="A247" t="s">
        <v>693</v>
      </c>
      <c r="B247" t="s">
        <v>563</v>
      </c>
      <c r="C247" s="47"/>
      <c r="D247" t="s">
        <v>577</v>
      </c>
      <c r="E247" t="s">
        <v>479</v>
      </c>
      <c r="F247" t="s">
        <v>446</v>
      </c>
      <c r="G247" t="s">
        <v>692</v>
      </c>
    </row>
    <row r="248" spans="1:7" x14ac:dyDescent="0.25">
      <c r="A248" t="s">
        <v>609</v>
      </c>
      <c r="B248" t="s">
        <v>564</v>
      </c>
      <c r="C248" s="47"/>
      <c r="D248" t="s">
        <v>577</v>
      </c>
      <c r="E248" t="s">
        <v>479</v>
      </c>
      <c r="F248" t="s">
        <v>447</v>
      </c>
      <c r="G248" t="s">
        <v>690</v>
      </c>
    </row>
    <row r="249" spans="1:7" x14ac:dyDescent="0.25">
      <c r="A249" t="s">
        <v>629</v>
      </c>
      <c r="B249" t="s">
        <v>530</v>
      </c>
      <c r="C249" t="s">
        <v>10</v>
      </c>
      <c r="D249" t="s">
        <v>577</v>
      </c>
      <c r="E249" t="s">
        <v>479</v>
      </c>
      <c r="F249" t="s">
        <v>447</v>
      </c>
      <c r="G249" t="s">
        <v>686</v>
      </c>
    </row>
    <row r="250" spans="1:7" x14ac:dyDescent="0.25">
      <c r="A250" t="s">
        <v>610</v>
      </c>
      <c r="B250" t="s">
        <v>565</v>
      </c>
      <c r="C250" s="47"/>
      <c r="D250" t="s">
        <v>577</v>
      </c>
      <c r="E250" t="s">
        <v>464</v>
      </c>
      <c r="F250" t="s">
        <v>12</v>
      </c>
      <c r="G250" t="s">
        <v>702</v>
      </c>
    </row>
    <row r="251" spans="1:7" x14ac:dyDescent="0.25">
      <c r="A251" t="s">
        <v>630</v>
      </c>
      <c r="B251" t="s">
        <v>532</v>
      </c>
      <c r="C251" t="s">
        <v>45</v>
      </c>
      <c r="D251" t="s">
        <v>577</v>
      </c>
      <c r="E251" t="s">
        <v>464</v>
      </c>
      <c r="F251" t="s">
        <v>443</v>
      </c>
      <c r="G251" t="s">
        <v>709</v>
      </c>
    </row>
    <row r="252" spans="1:7" x14ac:dyDescent="0.25">
      <c r="A252" t="s">
        <v>475</v>
      </c>
      <c r="B252" t="s">
        <v>531</v>
      </c>
      <c r="C252" t="s">
        <v>45</v>
      </c>
      <c r="D252" t="s">
        <v>577</v>
      </c>
      <c r="E252" t="s">
        <v>464</v>
      </c>
      <c r="F252" t="s">
        <v>443</v>
      </c>
      <c r="G252" t="s">
        <v>708</v>
      </c>
    </row>
    <row r="253" spans="1:7" x14ac:dyDescent="0.25">
      <c r="A253" t="s">
        <v>611</v>
      </c>
      <c r="B253" t="s">
        <v>566</v>
      </c>
      <c r="C253" s="47"/>
      <c r="D253" t="s">
        <v>577</v>
      </c>
      <c r="E253" t="s">
        <v>464</v>
      </c>
      <c r="F253" t="s">
        <v>21</v>
      </c>
      <c r="G253" t="s">
        <v>706</v>
      </c>
    </row>
    <row r="254" spans="1:7" x14ac:dyDescent="0.25">
      <c r="A254" t="s">
        <v>612</v>
      </c>
      <c r="B254" t="s">
        <v>567</v>
      </c>
      <c r="C254" s="47"/>
      <c r="D254" t="s">
        <v>577</v>
      </c>
      <c r="E254" t="s">
        <v>464</v>
      </c>
      <c r="F254" t="s">
        <v>444</v>
      </c>
      <c r="G254" t="s">
        <v>710</v>
      </c>
    </row>
    <row r="255" spans="1:7" x14ac:dyDescent="0.25">
      <c r="A255" t="s">
        <v>613</v>
      </c>
      <c r="B255" t="s">
        <v>534</v>
      </c>
      <c r="C255" t="s">
        <v>45</v>
      </c>
      <c r="D255" t="s">
        <v>577</v>
      </c>
      <c r="E255" t="s">
        <v>464</v>
      </c>
      <c r="F255" t="s">
        <v>445</v>
      </c>
      <c r="G255" t="s">
        <v>707</v>
      </c>
    </row>
    <row r="256" spans="1:7" x14ac:dyDescent="0.25">
      <c r="A256" t="s">
        <v>614</v>
      </c>
      <c r="B256" t="s">
        <v>533</v>
      </c>
      <c r="C256" t="s">
        <v>45</v>
      </c>
      <c r="D256" t="s">
        <v>577</v>
      </c>
      <c r="E256" t="s">
        <v>464</v>
      </c>
      <c r="F256" t="s">
        <v>445</v>
      </c>
      <c r="G256" t="s">
        <v>703</v>
      </c>
    </row>
    <row r="257" spans="1:7" x14ac:dyDescent="0.25">
      <c r="A257" t="s">
        <v>615</v>
      </c>
      <c r="B257" t="s">
        <v>535</v>
      </c>
      <c r="C257" t="s">
        <v>45</v>
      </c>
      <c r="D257" t="s">
        <v>577</v>
      </c>
      <c r="E257" t="s">
        <v>464</v>
      </c>
      <c r="F257" t="s">
        <v>447</v>
      </c>
      <c r="G257" t="s">
        <v>704</v>
      </c>
    </row>
    <row r="258" spans="1:7" x14ac:dyDescent="0.25">
      <c r="A258" t="s">
        <v>631</v>
      </c>
      <c r="B258" t="s">
        <v>536</v>
      </c>
      <c r="C258" t="s">
        <v>45</v>
      </c>
      <c r="D258" t="s">
        <v>577</v>
      </c>
      <c r="E258" t="s">
        <v>464</v>
      </c>
      <c r="F258" t="s">
        <v>447</v>
      </c>
      <c r="G258" t="s">
        <v>705</v>
      </c>
    </row>
    <row r="259" spans="1:7" x14ac:dyDescent="0.25">
      <c r="A259" t="s">
        <v>616</v>
      </c>
      <c r="B259" t="s">
        <v>568</v>
      </c>
      <c r="C259" s="47"/>
      <c r="D259" t="s">
        <v>577</v>
      </c>
      <c r="E259" t="s">
        <v>579</v>
      </c>
      <c r="F259" t="s">
        <v>15</v>
      </c>
      <c r="G259" t="s">
        <v>718</v>
      </c>
    </row>
    <row r="260" spans="1:7" x14ac:dyDescent="0.25">
      <c r="A260" t="s">
        <v>633</v>
      </c>
      <c r="B260" t="s">
        <v>537</v>
      </c>
      <c r="C260" t="s">
        <v>45</v>
      </c>
      <c r="D260" t="s">
        <v>577</v>
      </c>
      <c r="E260" t="s">
        <v>579</v>
      </c>
      <c r="F260" t="s">
        <v>15</v>
      </c>
      <c r="G260" t="s">
        <v>717</v>
      </c>
    </row>
    <row r="261" spans="1:7" x14ac:dyDescent="0.25">
      <c r="A261" t="s">
        <v>617</v>
      </c>
      <c r="B261" t="s">
        <v>538</v>
      </c>
      <c r="C261" t="s">
        <v>10</v>
      </c>
      <c r="D261" t="s">
        <v>577</v>
      </c>
      <c r="E261" t="s">
        <v>580</v>
      </c>
      <c r="F261" t="s">
        <v>447</v>
      </c>
      <c r="G261" t="s">
        <v>711</v>
      </c>
    </row>
    <row r="262" spans="1:7" x14ac:dyDescent="0.25">
      <c r="A262" t="s">
        <v>618</v>
      </c>
      <c r="B262" t="s">
        <v>569</v>
      </c>
      <c r="C262" s="47"/>
      <c r="D262" t="s">
        <v>577</v>
      </c>
      <c r="E262" t="s">
        <v>581</v>
      </c>
      <c r="F262" t="s">
        <v>12</v>
      </c>
      <c r="G262" t="s">
        <v>715</v>
      </c>
    </row>
    <row r="263" spans="1:7" x14ac:dyDescent="0.25">
      <c r="A263" t="s">
        <v>619</v>
      </c>
      <c r="B263" t="s">
        <v>570</v>
      </c>
      <c r="C263" s="47"/>
      <c r="D263" t="s">
        <v>577</v>
      </c>
      <c r="E263" t="s">
        <v>581</v>
      </c>
      <c r="F263" t="s">
        <v>443</v>
      </c>
      <c r="G263" t="s">
        <v>716</v>
      </c>
    </row>
    <row r="264" spans="1:7" x14ac:dyDescent="0.25">
      <c r="A264" t="s">
        <v>620</v>
      </c>
      <c r="B264" t="s">
        <v>571</v>
      </c>
      <c r="C264" s="47"/>
      <c r="D264" t="s">
        <v>577</v>
      </c>
      <c r="E264" t="s">
        <v>581</v>
      </c>
      <c r="F264" t="s">
        <v>21</v>
      </c>
      <c r="G264" t="s">
        <v>713</v>
      </c>
    </row>
    <row r="265" spans="1:7" x14ac:dyDescent="0.25">
      <c r="A265" t="s">
        <v>949</v>
      </c>
      <c r="B265" t="s">
        <v>539</v>
      </c>
      <c r="C265" t="s">
        <v>45</v>
      </c>
      <c r="D265" t="s">
        <v>577</v>
      </c>
      <c r="E265" t="s">
        <v>354</v>
      </c>
      <c r="F265" t="s">
        <v>12</v>
      </c>
      <c r="G265" t="s">
        <v>695</v>
      </c>
    </row>
    <row r="266" spans="1:7" x14ac:dyDescent="0.25">
      <c r="A266" t="s">
        <v>621</v>
      </c>
      <c r="B266" t="s">
        <v>572</v>
      </c>
      <c r="C266" s="47"/>
      <c r="D266" t="s">
        <v>577</v>
      </c>
      <c r="E266" t="s">
        <v>354</v>
      </c>
      <c r="F266" t="s">
        <v>443</v>
      </c>
      <c r="G266" t="s">
        <v>699</v>
      </c>
    </row>
    <row r="267" spans="1:7" x14ac:dyDescent="0.25">
      <c r="A267" t="s">
        <v>622</v>
      </c>
      <c r="B267" t="s">
        <v>540</v>
      </c>
      <c r="C267" t="s">
        <v>45</v>
      </c>
      <c r="D267" t="s">
        <v>577</v>
      </c>
      <c r="E267" t="s">
        <v>354</v>
      </c>
      <c r="F267" t="s">
        <v>443</v>
      </c>
      <c r="G267" t="s">
        <v>696</v>
      </c>
    </row>
    <row r="268" spans="1:7" x14ac:dyDescent="0.25">
      <c r="A268" t="s">
        <v>623</v>
      </c>
      <c r="B268" t="s">
        <v>573</v>
      </c>
      <c r="C268" s="47"/>
      <c r="D268" t="s">
        <v>577</v>
      </c>
      <c r="E268" t="s">
        <v>354</v>
      </c>
      <c r="F268" t="s">
        <v>444</v>
      </c>
      <c r="G268" t="s">
        <v>700</v>
      </c>
    </row>
    <row r="269" spans="1:7" x14ac:dyDescent="0.25">
      <c r="A269" t="s">
        <v>624</v>
      </c>
      <c r="B269" t="s">
        <v>541</v>
      </c>
      <c r="C269" t="s">
        <v>45</v>
      </c>
      <c r="D269" t="s">
        <v>577</v>
      </c>
      <c r="E269" t="s">
        <v>354</v>
      </c>
      <c r="F269" t="s">
        <v>444</v>
      </c>
      <c r="G269" t="s">
        <v>701</v>
      </c>
    </row>
    <row r="270" spans="1:7" x14ac:dyDescent="0.25">
      <c r="A270" t="s">
        <v>625</v>
      </c>
      <c r="B270" t="s">
        <v>574</v>
      </c>
      <c r="C270" s="47"/>
      <c r="D270" t="s">
        <v>577</v>
      </c>
      <c r="E270" t="s">
        <v>354</v>
      </c>
      <c r="F270" t="s">
        <v>445</v>
      </c>
      <c r="G270" t="s">
        <v>714</v>
      </c>
    </row>
    <row r="271" spans="1:7" x14ac:dyDescent="0.25">
      <c r="A271" t="s">
        <v>632</v>
      </c>
      <c r="B271" t="s">
        <v>575</v>
      </c>
      <c r="C271" s="47"/>
      <c r="D271" t="s">
        <v>577</v>
      </c>
      <c r="E271" t="s">
        <v>354</v>
      </c>
      <c r="F271" t="s">
        <v>446</v>
      </c>
      <c r="G271" t="s">
        <v>721</v>
      </c>
    </row>
    <row r="272" spans="1:7" x14ac:dyDescent="0.25">
      <c r="A272" t="s">
        <v>627</v>
      </c>
      <c r="B272" t="s">
        <v>542</v>
      </c>
      <c r="C272" t="s">
        <v>10</v>
      </c>
      <c r="D272" t="s">
        <v>577</v>
      </c>
      <c r="E272" t="s">
        <v>354</v>
      </c>
      <c r="F272" t="s">
        <v>446</v>
      </c>
      <c r="G272" t="s">
        <v>698</v>
      </c>
    </row>
    <row r="273" spans="1:7" x14ac:dyDescent="0.25">
      <c r="A273" t="s">
        <v>626</v>
      </c>
      <c r="B273" t="s">
        <v>576</v>
      </c>
      <c r="C273" s="47"/>
      <c r="D273" t="s">
        <v>577</v>
      </c>
      <c r="E273" t="s">
        <v>354</v>
      </c>
      <c r="F273" t="s">
        <v>447</v>
      </c>
      <c r="G273" t="s">
        <v>697</v>
      </c>
    </row>
    <row r="274" spans="1:7" x14ac:dyDescent="0.25">
      <c r="A274" t="s">
        <v>984</v>
      </c>
      <c r="B274" t="s">
        <v>985</v>
      </c>
      <c r="C274" t="s">
        <v>45</v>
      </c>
      <c r="D274" t="s">
        <v>1145</v>
      </c>
      <c r="E274" t="s">
        <v>898</v>
      </c>
      <c r="F274" t="s">
        <v>443</v>
      </c>
      <c r="G274" t="s">
        <v>986</v>
      </c>
    </row>
    <row r="275" spans="1:7" x14ac:dyDescent="0.25">
      <c r="A275" t="s">
        <v>987</v>
      </c>
      <c r="B275" t="s">
        <v>988</v>
      </c>
      <c r="D275" t="s">
        <v>1145</v>
      </c>
      <c r="E275" t="s">
        <v>898</v>
      </c>
      <c r="F275" t="s">
        <v>444</v>
      </c>
      <c r="G275" t="s">
        <v>989</v>
      </c>
    </row>
    <row r="276" spans="1:7" x14ac:dyDescent="0.25">
      <c r="A276" t="s">
        <v>1109</v>
      </c>
      <c r="B276" t="s">
        <v>1110</v>
      </c>
      <c r="C276" s="47"/>
      <c r="D276" t="s">
        <v>1145</v>
      </c>
      <c r="E276" t="s">
        <v>898</v>
      </c>
      <c r="G276" t="s">
        <v>1107</v>
      </c>
    </row>
    <row r="277" spans="1:7" x14ac:dyDescent="0.25">
      <c r="A277" t="s">
        <v>940</v>
      </c>
      <c r="B277" t="s">
        <v>941</v>
      </c>
      <c r="C277" t="s">
        <v>10</v>
      </c>
      <c r="D277" t="s">
        <v>1145</v>
      </c>
      <c r="E277" t="s">
        <v>210</v>
      </c>
      <c r="G277" t="s">
        <v>942</v>
      </c>
    </row>
    <row r="278" spans="1:7" x14ac:dyDescent="0.25">
      <c r="A278" t="s">
        <v>937</v>
      </c>
      <c r="B278" t="s">
        <v>938</v>
      </c>
      <c r="C278" s="47"/>
      <c r="D278" t="s">
        <v>1145</v>
      </c>
      <c r="E278" t="s">
        <v>210</v>
      </c>
      <c r="G278" t="s">
        <v>939</v>
      </c>
    </row>
    <row r="279" spans="1:7" x14ac:dyDescent="0.25">
      <c r="A279" t="s">
        <v>990</v>
      </c>
      <c r="B279" t="s">
        <v>991</v>
      </c>
      <c r="D279" t="s">
        <v>1145</v>
      </c>
      <c r="E279" t="s">
        <v>992</v>
      </c>
      <c r="F279" t="s">
        <v>12</v>
      </c>
      <c r="G279" t="s">
        <v>993</v>
      </c>
    </row>
    <row r="280" spans="1:7" x14ac:dyDescent="0.25">
      <c r="A280" t="s">
        <v>997</v>
      </c>
      <c r="B280" t="s">
        <v>998</v>
      </c>
      <c r="C280" t="s">
        <v>10</v>
      </c>
      <c r="D280" t="s">
        <v>1145</v>
      </c>
      <c r="E280" t="s">
        <v>992</v>
      </c>
      <c r="F280" t="s">
        <v>443</v>
      </c>
      <c r="G280" t="s">
        <v>999</v>
      </c>
    </row>
    <row r="281" spans="1:7" x14ac:dyDescent="0.25">
      <c r="A281" t="s">
        <v>994</v>
      </c>
      <c r="B281" t="s">
        <v>995</v>
      </c>
      <c r="D281" t="s">
        <v>1145</v>
      </c>
      <c r="E281" t="s">
        <v>992</v>
      </c>
      <c r="F281" t="s">
        <v>443</v>
      </c>
      <c r="G281" t="s">
        <v>996</v>
      </c>
    </row>
    <row r="282" spans="1:7" x14ac:dyDescent="0.25">
      <c r="A282" t="s">
        <v>1000</v>
      </c>
      <c r="B282" t="s">
        <v>1001</v>
      </c>
      <c r="C282" t="s">
        <v>10</v>
      </c>
      <c r="D282" t="s">
        <v>1145</v>
      </c>
      <c r="E282" t="s">
        <v>992</v>
      </c>
      <c r="F282" t="s">
        <v>21</v>
      </c>
      <c r="G282" t="s">
        <v>1002</v>
      </c>
    </row>
    <row r="283" spans="1:7" x14ac:dyDescent="0.25">
      <c r="A283" t="s">
        <v>1003</v>
      </c>
      <c r="B283" t="s">
        <v>1004</v>
      </c>
      <c r="C283" t="s">
        <v>10</v>
      </c>
      <c r="D283" t="s">
        <v>1145</v>
      </c>
      <c r="E283" t="s">
        <v>992</v>
      </c>
      <c r="F283" t="s">
        <v>21</v>
      </c>
      <c r="G283" t="s">
        <v>1005</v>
      </c>
    </row>
    <row r="284" spans="1:7" x14ac:dyDescent="0.25">
      <c r="A284" t="s">
        <v>1006</v>
      </c>
      <c r="B284" t="s">
        <v>1007</v>
      </c>
      <c r="D284" t="s">
        <v>1145</v>
      </c>
      <c r="E284" t="s">
        <v>992</v>
      </c>
      <c r="F284" t="s">
        <v>444</v>
      </c>
      <c r="G284" t="s">
        <v>1008</v>
      </c>
    </row>
    <row r="285" spans="1:7" x14ac:dyDescent="0.25">
      <c r="A285" t="s">
        <v>1009</v>
      </c>
      <c r="B285" t="s">
        <v>1010</v>
      </c>
      <c r="C285" t="s">
        <v>10</v>
      </c>
      <c r="D285" t="s">
        <v>1145</v>
      </c>
      <c r="E285" t="s">
        <v>992</v>
      </c>
      <c r="F285" t="s">
        <v>445</v>
      </c>
      <c r="G285" t="s">
        <v>1011</v>
      </c>
    </row>
    <row r="286" spans="1:7" x14ac:dyDescent="0.25">
      <c r="A286" t="s">
        <v>1012</v>
      </c>
      <c r="B286" t="s">
        <v>1013</v>
      </c>
      <c r="D286" t="s">
        <v>1145</v>
      </c>
      <c r="E286" t="s">
        <v>992</v>
      </c>
      <c r="F286" t="s">
        <v>445</v>
      </c>
      <c r="G286" t="s">
        <v>1014</v>
      </c>
    </row>
    <row r="287" spans="1:7" x14ac:dyDescent="0.25">
      <c r="A287" t="s">
        <v>1015</v>
      </c>
      <c r="B287" t="s">
        <v>1016</v>
      </c>
      <c r="D287" t="s">
        <v>1145</v>
      </c>
      <c r="E287" t="s">
        <v>992</v>
      </c>
      <c r="F287" t="s">
        <v>447</v>
      </c>
      <c r="G287" t="s">
        <v>1017</v>
      </c>
    </row>
    <row r="288" spans="1:7" x14ac:dyDescent="0.25">
      <c r="A288" t="s">
        <v>1018</v>
      </c>
      <c r="B288" t="s">
        <v>1019</v>
      </c>
      <c r="C288" t="s">
        <v>10</v>
      </c>
      <c r="D288" t="s">
        <v>1145</v>
      </c>
      <c r="E288" t="s">
        <v>992</v>
      </c>
      <c r="F288" t="s">
        <v>447</v>
      </c>
      <c r="G288" t="s">
        <v>1020</v>
      </c>
    </row>
    <row r="289" spans="1:7" x14ac:dyDescent="0.25">
      <c r="A289" t="s">
        <v>1068</v>
      </c>
      <c r="B289" t="s">
        <v>1069</v>
      </c>
      <c r="D289" t="s">
        <v>1145</v>
      </c>
      <c r="E289" t="s">
        <v>304</v>
      </c>
      <c r="F289" t="s">
        <v>12</v>
      </c>
      <c r="G289" t="s">
        <v>1070</v>
      </c>
    </row>
    <row r="290" spans="1:7" x14ac:dyDescent="0.25">
      <c r="A290" t="s">
        <v>1057</v>
      </c>
      <c r="B290" t="s">
        <v>1058</v>
      </c>
      <c r="C290" t="s">
        <v>10</v>
      </c>
      <c r="D290" t="s">
        <v>1145</v>
      </c>
      <c r="E290" t="s">
        <v>304</v>
      </c>
      <c r="F290" t="s">
        <v>447</v>
      </c>
      <c r="G290" t="s">
        <v>1059</v>
      </c>
    </row>
    <row r="291" spans="1:7" x14ac:dyDescent="0.25">
      <c r="A291" t="s">
        <v>1071</v>
      </c>
      <c r="B291" t="s">
        <v>1072</v>
      </c>
      <c r="C291" t="s">
        <v>10</v>
      </c>
      <c r="D291" t="s">
        <v>1145</v>
      </c>
      <c r="E291" t="s">
        <v>304</v>
      </c>
      <c r="G291" t="s">
        <v>1073</v>
      </c>
    </row>
    <row r="292" spans="1:7" x14ac:dyDescent="0.25">
      <c r="A292" t="s">
        <v>1085</v>
      </c>
      <c r="B292" t="s">
        <v>1119</v>
      </c>
      <c r="C292" t="s">
        <v>10</v>
      </c>
      <c r="D292" t="s">
        <v>1145</v>
      </c>
      <c r="E292" t="s">
        <v>1021</v>
      </c>
      <c r="F292" t="s">
        <v>12</v>
      </c>
      <c r="G292" t="s">
        <v>1086</v>
      </c>
    </row>
    <row r="293" spans="1:7" x14ac:dyDescent="0.25">
      <c r="A293" t="s">
        <v>1022</v>
      </c>
      <c r="B293" t="s">
        <v>1023</v>
      </c>
      <c r="C293" t="s">
        <v>1024</v>
      </c>
      <c r="D293" t="s">
        <v>1145</v>
      </c>
      <c r="E293" t="s">
        <v>1021</v>
      </c>
      <c r="F293" t="s">
        <v>443</v>
      </c>
      <c r="G293" t="s">
        <v>1025</v>
      </c>
    </row>
    <row r="294" spans="1:7" x14ac:dyDescent="0.25">
      <c r="A294" t="s">
        <v>1026</v>
      </c>
      <c r="B294" t="s">
        <v>1027</v>
      </c>
      <c r="C294" t="s">
        <v>1024</v>
      </c>
      <c r="D294" t="s">
        <v>1145</v>
      </c>
      <c r="E294" t="s">
        <v>1021</v>
      </c>
      <c r="F294" t="s">
        <v>21</v>
      </c>
      <c r="G294" t="s">
        <v>1028</v>
      </c>
    </row>
    <row r="295" spans="1:7" x14ac:dyDescent="0.25">
      <c r="A295" t="s">
        <v>1029</v>
      </c>
      <c r="B295" t="s">
        <v>1030</v>
      </c>
      <c r="C295" t="s">
        <v>10</v>
      </c>
      <c r="D295" t="s">
        <v>1145</v>
      </c>
      <c r="E295" t="s">
        <v>1021</v>
      </c>
      <c r="F295" t="s">
        <v>444</v>
      </c>
      <c r="G295" t="s">
        <v>1031</v>
      </c>
    </row>
    <row r="296" spans="1:7" x14ac:dyDescent="0.25">
      <c r="A296" t="s">
        <v>1032</v>
      </c>
      <c r="B296" t="s">
        <v>1033</v>
      </c>
      <c r="C296" t="s">
        <v>1024</v>
      </c>
      <c r="D296" t="s">
        <v>1145</v>
      </c>
      <c r="E296" t="s">
        <v>1021</v>
      </c>
      <c r="F296" t="s">
        <v>444</v>
      </c>
      <c r="G296" t="s">
        <v>1034</v>
      </c>
    </row>
    <row r="297" spans="1:7" x14ac:dyDescent="0.25">
      <c r="A297" t="s">
        <v>1035</v>
      </c>
      <c r="B297" t="s">
        <v>1036</v>
      </c>
      <c r="C297" t="s">
        <v>1024</v>
      </c>
      <c r="D297" t="s">
        <v>1145</v>
      </c>
      <c r="E297" t="s">
        <v>1021</v>
      </c>
      <c r="F297" t="s">
        <v>445</v>
      </c>
      <c r="G297" t="s">
        <v>1037</v>
      </c>
    </row>
    <row r="298" spans="1:7" x14ac:dyDescent="0.25">
      <c r="A298" t="s">
        <v>1038</v>
      </c>
      <c r="B298" t="s">
        <v>1039</v>
      </c>
      <c r="C298" t="s">
        <v>1024</v>
      </c>
      <c r="D298" t="s">
        <v>1145</v>
      </c>
      <c r="E298" t="s">
        <v>1021</v>
      </c>
      <c r="F298" t="s">
        <v>447</v>
      </c>
      <c r="G298" t="s">
        <v>1040</v>
      </c>
    </row>
    <row r="299" spans="1:7" x14ac:dyDescent="0.25">
      <c r="A299" t="s">
        <v>1087</v>
      </c>
      <c r="B299" t="s">
        <v>1126</v>
      </c>
      <c r="D299" t="s">
        <v>1145</v>
      </c>
      <c r="E299" t="s">
        <v>1021</v>
      </c>
      <c r="F299" t="s">
        <v>447</v>
      </c>
      <c r="G299" t="s">
        <v>1088</v>
      </c>
    </row>
    <row r="300" spans="1:7" x14ac:dyDescent="0.25">
      <c r="A300" t="s">
        <v>1041</v>
      </c>
      <c r="B300" t="s">
        <v>1042</v>
      </c>
      <c r="C300" t="s">
        <v>10</v>
      </c>
      <c r="D300" t="s">
        <v>1145</v>
      </c>
      <c r="E300" t="s">
        <v>1021</v>
      </c>
      <c r="F300" t="s">
        <v>447</v>
      </c>
      <c r="G300" t="s">
        <v>1043</v>
      </c>
    </row>
    <row r="301" spans="1:7" x14ac:dyDescent="0.25">
      <c r="A301" t="s">
        <v>1089</v>
      </c>
      <c r="B301" t="s">
        <v>1120</v>
      </c>
      <c r="C301" t="s">
        <v>1024</v>
      </c>
      <c r="D301" t="s">
        <v>1145</v>
      </c>
      <c r="E301" t="s">
        <v>1021</v>
      </c>
      <c r="F301" t="s">
        <v>447</v>
      </c>
      <c r="G301" t="s">
        <v>1136</v>
      </c>
    </row>
    <row r="302" spans="1:7" x14ac:dyDescent="0.25">
      <c r="A302" t="s">
        <v>1092</v>
      </c>
      <c r="B302" t="s">
        <v>1122</v>
      </c>
      <c r="C302" t="s">
        <v>10</v>
      </c>
      <c r="D302" t="s">
        <v>1145</v>
      </c>
      <c r="E302" t="s">
        <v>1021</v>
      </c>
      <c r="G302" s="48" t="s">
        <v>1093</v>
      </c>
    </row>
    <row r="303" spans="1:7" x14ac:dyDescent="0.25">
      <c r="A303" t="s">
        <v>1094</v>
      </c>
      <c r="B303" t="s">
        <v>1123</v>
      </c>
      <c r="C303" t="s">
        <v>1024</v>
      </c>
      <c r="D303" t="s">
        <v>1145</v>
      </c>
      <c r="E303" t="s">
        <v>1021</v>
      </c>
      <c r="G303" t="s">
        <v>1142</v>
      </c>
    </row>
    <row r="304" spans="1:7" x14ac:dyDescent="0.25">
      <c r="A304" t="s">
        <v>952</v>
      </c>
      <c r="B304" t="s">
        <v>953</v>
      </c>
      <c r="C304" t="s">
        <v>10</v>
      </c>
      <c r="D304" t="s">
        <v>1145</v>
      </c>
      <c r="E304" t="s">
        <v>1021</v>
      </c>
      <c r="G304" t="s">
        <v>954</v>
      </c>
    </row>
    <row r="305" spans="1:7" x14ac:dyDescent="0.25">
      <c r="A305" t="s">
        <v>1095</v>
      </c>
      <c r="B305" t="s">
        <v>1124</v>
      </c>
      <c r="D305" t="s">
        <v>1145</v>
      </c>
      <c r="E305" t="s">
        <v>1021</v>
      </c>
      <c r="G305" t="s">
        <v>1096</v>
      </c>
    </row>
    <row r="306" spans="1:7" x14ac:dyDescent="0.25">
      <c r="A306" t="s">
        <v>1097</v>
      </c>
      <c r="B306" t="s">
        <v>1125</v>
      </c>
      <c r="C306" t="s">
        <v>10</v>
      </c>
      <c r="D306" t="s">
        <v>1145</v>
      </c>
      <c r="E306" t="s">
        <v>1021</v>
      </c>
      <c r="G306" t="s">
        <v>1098</v>
      </c>
    </row>
    <row r="307" spans="1:7" x14ac:dyDescent="0.25">
      <c r="A307" t="s">
        <v>1044</v>
      </c>
      <c r="B307" t="s">
        <v>1045</v>
      </c>
      <c r="C307" t="s">
        <v>1024</v>
      </c>
      <c r="D307" t="s">
        <v>1145</v>
      </c>
      <c r="E307" t="s">
        <v>1021</v>
      </c>
      <c r="G307" t="s">
        <v>1046</v>
      </c>
    </row>
    <row r="308" spans="1:7" x14ac:dyDescent="0.25">
      <c r="A308" t="s">
        <v>1047</v>
      </c>
      <c r="B308" t="s">
        <v>1048</v>
      </c>
      <c r="C308" t="s">
        <v>10</v>
      </c>
      <c r="D308" t="s">
        <v>1145</v>
      </c>
      <c r="E308" t="s">
        <v>728</v>
      </c>
      <c r="F308" t="s">
        <v>443</v>
      </c>
      <c r="G308" t="s">
        <v>1146</v>
      </c>
    </row>
    <row r="309" spans="1:7" x14ac:dyDescent="0.25">
      <c r="A309" t="s">
        <v>1065</v>
      </c>
      <c r="B309" t="s">
        <v>1066</v>
      </c>
      <c r="C309" t="s">
        <v>10</v>
      </c>
      <c r="D309" t="s">
        <v>1145</v>
      </c>
      <c r="E309" t="s">
        <v>728</v>
      </c>
      <c r="F309" t="s">
        <v>21</v>
      </c>
      <c r="G309" t="s">
        <v>1067</v>
      </c>
    </row>
    <row r="310" spans="1:7" x14ac:dyDescent="0.25">
      <c r="A310" t="s">
        <v>983</v>
      </c>
      <c r="B310" t="s">
        <v>1049</v>
      </c>
      <c r="C310" t="s">
        <v>10</v>
      </c>
      <c r="D310" t="s">
        <v>1145</v>
      </c>
      <c r="E310" t="s">
        <v>728</v>
      </c>
      <c r="F310" t="s">
        <v>444</v>
      </c>
      <c r="G310" t="s">
        <v>1050</v>
      </c>
    </row>
    <row r="311" spans="1:7" x14ac:dyDescent="0.25">
      <c r="A311" t="s">
        <v>1051</v>
      </c>
      <c r="B311" t="s">
        <v>1052</v>
      </c>
      <c r="D311" t="s">
        <v>1145</v>
      </c>
      <c r="E311" t="s">
        <v>728</v>
      </c>
      <c r="F311" t="s">
        <v>445</v>
      </c>
      <c r="G311" t="s">
        <v>1053</v>
      </c>
    </row>
    <row r="312" spans="1:7" x14ac:dyDescent="0.25">
      <c r="A312" t="s">
        <v>1054</v>
      </c>
      <c r="B312" t="s">
        <v>1055</v>
      </c>
      <c r="D312" t="s">
        <v>1145</v>
      </c>
      <c r="E312" t="s">
        <v>728</v>
      </c>
      <c r="F312" t="s">
        <v>445</v>
      </c>
      <c r="G312" t="s">
        <v>1056</v>
      </c>
    </row>
    <row r="313" spans="1:7" x14ac:dyDescent="0.25">
      <c r="A313" t="s">
        <v>935</v>
      </c>
      <c r="B313" t="s">
        <v>936</v>
      </c>
      <c r="C313" t="s">
        <v>10</v>
      </c>
      <c r="D313" t="s">
        <v>1145</v>
      </c>
      <c r="E313" t="s">
        <v>728</v>
      </c>
      <c r="G313" t="s">
        <v>975</v>
      </c>
    </row>
    <row r="314" spans="1:7" x14ac:dyDescent="0.25">
      <c r="A314" t="s">
        <v>932</v>
      </c>
      <c r="B314" t="s">
        <v>933</v>
      </c>
      <c r="C314" t="s">
        <v>10</v>
      </c>
      <c r="D314" t="s">
        <v>1145</v>
      </c>
      <c r="E314" t="s">
        <v>728</v>
      </c>
      <c r="G314" t="s">
        <v>934</v>
      </c>
    </row>
    <row r="315" spans="1:7" x14ac:dyDescent="0.25">
      <c r="A315" t="s">
        <v>943</v>
      </c>
      <c r="B315" t="s">
        <v>944</v>
      </c>
      <c r="C315" t="s">
        <v>10</v>
      </c>
      <c r="D315" t="s">
        <v>1145</v>
      </c>
      <c r="E315" t="s">
        <v>722</v>
      </c>
      <c r="G315" t="s">
        <v>945</v>
      </c>
    </row>
    <row r="316" spans="1:7" x14ac:dyDescent="0.25">
      <c r="A316" t="s">
        <v>946</v>
      </c>
      <c r="B316" t="s">
        <v>947</v>
      </c>
      <c r="C316" s="47"/>
      <c r="D316" t="s">
        <v>1145</v>
      </c>
      <c r="E316" t="s">
        <v>722</v>
      </c>
      <c r="G316" t="s">
        <v>948</v>
      </c>
    </row>
    <row r="317" spans="1:7" x14ac:dyDescent="0.25">
      <c r="A317" t="s">
        <v>950</v>
      </c>
      <c r="B317" t="s">
        <v>951</v>
      </c>
      <c r="C317" t="s">
        <v>10</v>
      </c>
      <c r="D317" t="s">
        <v>1145</v>
      </c>
      <c r="E317" t="s">
        <v>467</v>
      </c>
      <c r="G317" t="s">
        <v>1127</v>
      </c>
    </row>
    <row r="318" spans="1:7" x14ac:dyDescent="0.25">
      <c r="A318" t="s">
        <v>955</v>
      </c>
      <c r="B318" t="s">
        <v>956</v>
      </c>
      <c r="C318" t="s">
        <v>10</v>
      </c>
      <c r="D318" t="s">
        <v>1145</v>
      </c>
      <c r="E318" t="s">
        <v>467</v>
      </c>
      <c r="G318" t="s">
        <v>957</v>
      </c>
    </row>
    <row r="319" spans="1:7" x14ac:dyDescent="0.25">
      <c r="A319" t="s">
        <v>1076</v>
      </c>
      <c r="B319" t="s">
        <v>1077</v>
      </c>
      <c r="C319" t="s">
        <v>45</v>
      </c>
      <c r="D319" t="s">
        <v>1145</v>
      </c>
      <c r="E319" t="s">
        <v>461</v>
      </c>
      <c r="F319" t="s">
        <v>12</v>
      </c>
      <c r="G319" t="s">
        <v>1078</v>
      </c>
    </row>
    <row r="320" spans="1:7" x14ac:dyDescent="0.25">
      <c r="A320" t="s">
        <v>981</v>
      </c>
      <c r="B320" t="s">
        <v>982</v>
      </c>
      <c r="C320" t="s">
        <v>10</v>
      </c>
      <c r="D320" t="s">
        <v>1145</v>
      </c>
      <c r="E320" t="s">
        <v>461</v>
      </c>
      <c r="F320" t="s">
        <v>12</v>
      </c>
      <c r="G320" t="s">
        <v>1081</v>
      </c>
    </row>
    <row r="321" spans="1:7" x14ac:dyDescent="0.25">
      <c r="A321" t="s">
        <v>1082</v>
      </c>
      <c r="B321" t="s">
        <v>1083</v>
      </c>
      <c r="C321" t="s">
        <v>45</v>
      </c>
      <c r="D321" t="s">
        <v>1145</v>
      </c>
      <c r="E321" t="s">
        <v>461</v>
      </c>
      <c r="F321" t="s">
        <v>443</v>
      </c>
      <c r="G321" t="s">
        <v>1138</v>
      </c>
    </row>
    <row r="322" spans="1:7" x14ac:dyDescent="0.25">
      <c r="A322" t="s">
        <v>1112</v>
      </c>
      <c r="B322" t="s">
        <v>1113</v>
      </c>
      <c r="C322" t="s">
        <v>10</v>
      </c>
      <c r="D322" t="s">
        <v>1145</v>
      </c>
      <c r="E322" t="s">
        <v>461</v>
      </c>
      <c r="F322" t="s">
        <v>443</v>
      </c>
      <c r="G322" t="s">
        <v>1137</v>
      </c>
    </row>
    <row r="323" spans="1:7" x14ac:dyDescent="0.25">
      <c r="A323" t="s">
        <v>1115</v>
      </c>
      <c r="B323" t="s">
        <v>1116</v>
      </c>
      <c r="D323" t="s">
        <v>1145</v>
      </c>
      <c r="E323" t="s">
        <v>461</v>
      </c>
      <c r="F323" t="s">
        <v>15</v>
      </c>
      <c r="G323" t="s">
        <v>1084</v>
      </c>
    </row>
    <row r="324" spans="1:7" x14ac:dyDescent="0.25">
      <c r="A324" t="s">
        <v>1129</v>
      </c>
      <c r="B324" t="s">
        <v>1130</v>
      </c>
      <c r="C324" t="s">
        <v>45</v>
      </c>
      <c r="D324" t="s">
        <v>1145</v>
      </c>
      <c r="E324" t="s">
        <v>461</v>
      </c>
      <c r="F324" t="s">
        <v>447</v>
      </c>
      <c r="G324" t="s">
        <v>1133</v>
      </c>
    </row>
    <row r="325" spans="1:7" x14ac:dyDescent="0.25">
      <c r="A325" t="s">
        <v>1131</v>
      </c>
      <c r="B325" t="s">
        <v>1132</v>
      </c>
      <c r="C325" t="s">
        <v>10</v>
      </c>
      <c r="D325" t="s">
        <v>1145</v>
      </c>
      <c r="E325" t="s">
        <v>461</v>
      </c>
      <c r="F325" t="s">
        <v>447</v>
      </c>
      <c r="G325" t="s">
        <v>1134</v>
      </c>
    </row>
    <row r="326" spans="1:7" x14ac:dyDescent="0.25">
      <c r="A326" t="s">
        <v>1079</v>
      </c>
      <c r="B326" t="s">
        <v>1080</v>
      </c>
      <c r="D326" t="s">
        <v>1145</v>
      </c>
      <c r="E326" t="s">
        <v>461</v>
      </c>
      <c r="G326" t="s">
        <v>1114</v>
      </c>
    </row>
    <row r="327" spans="1:7" x14ac:dyDescent="0.25">
      <c r="A327" t="s">
        <v>871</v>
      </c>
      <c r="B327" t="s">
        <v>1143</v>
      </c>
      <c r="D327" t="s">
        <v>1145</v>
      </c>
      <c r="E327" t="s">
        <v>461</v>
      </c>
      <c r="G327" t="s">
        <v>1144</v>
      </c>
    </row>
    <row r="328" spans="1:7" x14ac:dyDescent="0.25">
      <c r="A328" t="s">
        <v>1111</v>
      </c>
      <c r="B328" t="s">
        <v>1141</v>
      </c>
      <c r="D328" t="s">
        <v>1145</v>
      </c>
      <c r="E328" t="s">
        <v>461</v>
      </c>
      <c r="G328" t="s">
        <v>1117</v>
      </c>
    </row>
    <row r="329" spans="1:7" x14ac:dyDescent="0.25">
      <c r="A329" t="s">
        <v>1060</v>
      </c>
      <c r="B329" t="s">
        <v>1061</v>
      </c>
      <c r="D329" t="s">
        <v>1145</v>
      </c>
      <c r="E329" t="s">
        <v>580</v>
      </c>
      <c r="F329" t="s">
        <v>443</v>
      </c>
      <c r="G329" t="s">
        <v>1128</v>
      </c>
    </row>
    <row r="330" spans="1:7" x14ac:dyDescent="0.25">
      <c r="A330" t="s">
        <v>1062</v>
      </c>
      <c r="B330" t="s">
        <v>1063</v>
      </c>
      <c r="C330" t="s">
        <v>10</v>
      </c>
      <c r="D330" t="s">
        <v>1145</v>
      </c>
      <c r="E330" t="s">
        <v>580</v>
      </c>
      <c r="F330" t="s">
        <v>15</v>
      </c>
      <c r="G330" t="s">
        <v>1064</v>
      </c>
    </row>
    <row r="331" spans="1:7" x14ac:dyDescent="0.25">
      <c r="A331" t="s">
        <v>1139</v>
      </c>
      <c r="B331" t="s">
        <v>1202</v>
      </c>
      <c r="D331" t="s">
        <v>1145</v>
      </c>
      <c r="E331" t="s">
        <v>580</v>
      </c>
      <c r="F331" t="s">
        <v>447</v>
      </c>
      <c r="G331" t="s">
        <v>1140</v>
      </c>
    </row>
    <row r="332" spans="1:7" x14ac:dyDescent="0.25">
      <c r="A332" t="s">
        <v>927</v>
      </c>
      <c r="B332" t="s">
        <v>928</v>
      </c>
      <c r="D332" t="s">
        <v>1145</v>
      </c>
      <c r="E332" t="s">
        <v>580</v>
      </c>
      <c r="G332" t="s">
        <v>929</v>
      </c>
    </row>
    <row r="333" spans="1:7" x14ac:dyDescent="0.25">
      <c r="A333" t="s">
        <v>930</v>
      </c>
      <c r="B333" t="s">
        <v>931</v>
      </c>
      <c r="D333" t="s">
        <v>1145</v>
      </c>
      <c r="E333" t="s">
        <v>580</v>
      </c>
      <c r="G333" t="s">
        <v>977</v>
      </c>
    </row>
    <row r="334" spans="1:7" x14ac:dyDescent="0.25">
      <c r="A334" t="s">
        <v>925</v>
      </c>
      <c r="B334" t="s">
        <v>926</v>
      </c>
      <c r="C334" t="s">
        <v>10</v>
      </c>
      <c r="D334" t="s">
        <v>1145</v>
      </c>
      <c r="E334" t="s">
        <v>580</v>
      </c>
      <c r="G334" t="s">
        <v>958</v>
      </c>
    </row>
    <row r="335" spans="1:7" x14ac:dyDescent="0.25">
      <c r="A335" t="s">
        <v>1090</v>
      </c>
      <c r="B335" t="s">
        <v>1121</v>
      </c>
      <c r="D335" t="s">
        <v>1145</v>
      </c>
      <c r="E335" t="s">
        <v>403</v>
      </c>
      <c r="G335" t="s">
        <v>1091</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3:B268">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2017-06-08T01:36:10Z</dcterms:modified>
</cp:coreProperties>
</file>